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docProps/core.xml" ContentType="application/vnd.openxmlformats-package.core-propertie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REVENDA"/>
    <sheet r:id="rId2" sheetId="2" name="PCI"/>
    <sheet r:id="rId3" sheetId="3" name="Regras"/>
  </sheets>
  <definedNames>
    <definedName name="_xlnm._FilterDatabase" localSheetId="0">REVENDA!$A$2:$J$52</definedName>
  </definedNames>
  <calcPr fullCalcOnLoad="1"/>
</workbook>
</file>

<file path=xl/sharedStrings.xml><?xml version="1.0" encoding="utf-8"?>
<sst xmlns="http://schemas.openxmlformats.org/spreadsheetml/2006/main" count="676" uniqueCount="152">
  <si>
    <t>Todo cliente que estiver dentro da area da Revenda, obrigatoriamente esta na area do representante BMAX e quem atende é o Vendedor 2 (V2)</t>
  </si>
  <si>
    <t>Maquinas Industriais, são maquinas que estão no escopo do projeto (Maquinas &gt;300a, Plasma &gt;80a, Tocha linha M)</t>
  </si>
  <si>
    <t>Se compra de Maquina Industria for MENOR que R$ 50 mil, venda deve ser prioridade da revenda e do representante</t>
  </si>
  <si>
    <t>1ª VERSÃO</t>
  </si>
  <si>
    <t>2ª VERSÃO</t>
  </si>
  <si>
    <t>Venda de ROBO</t>
  </si>
  <si>
    <t>Venda de Laser</t>
  </si>
  <si>
    <t>Venda de Maquinas - Lead Boxer</t>
  </si>
  <si>
    <t>Qualquer venda - Lead Revenda</t>
  </si>
  <si>
    <t>Criterios de Classificação cliente Industria</t>
  </si>
  <si>
    <t>PCI1</t>
  </si>
  <si>
    <t>PCI2</t>
  </si>
  <si>
    <t>PCI3</t>
  </si>
  <si>
    <t>Criterios de Classificação</t>
  </si>
  <si>
    <t>PCI4</t>
  </si>
  <si>
    <t>PCI5</t>
  </si>
  <si>
    <t>PCI6</t>
  </si>
  <si>
    <t>PCI7</t>
  </si>
  <si>
    <t>PCI8</t>
  </si>
  <si>
    <t>PCI9</t>
  </si>
  <si>
    <t>PCI10</t>
  </si>
  <si>
    <t>PCI11</t>
  </si>
  <si>
    <t>PCI12</t>
  </si>
  <si>
    <t>PCI13</t>
  </si>
  <si>
    <t>PCI14</t>
  </si>
  <si>
    <t>PCI15</t>
  </si>
  <si>
    <t>PCI16</t>
  </si>
  <si>
    <t>PCI17</t>
  </si>
  <si>
    <t>Classificação</t>
  </si>
  <si>
    <t>ROBO</t>
  </si>
  <si>
    <t>LASER</t>
  </si>
  <si>
    <t>MAQUINA INDUSTRIAL</t>
  </si>
  <si>
    <t>DISTANCIA DA REVENDA (ATÉ 50KM)</t>
  </si>
  <si>
    <t>REPRESENTANTE BMAX</t>
  </si>
  <si>
    <t>ORIGEM LEAD</t>
  </si>
  <si>
    <t>ATENDIMENTO</t>
  </si>
  <si>
    <t>Mais de 30 postos de solda</t>
  </si>
  <si>
    <t>Sim</t>
  </si>
  <si>
    <t>Não</t>
  </si>
  <si>
    <t>SIM</t>
  </si>
  <si>
    <t>n/a</t>
  </si>
  <si>
    <t>N/A</t>
  </si>
  <si>
    <t>NÃO</t>
  </si>
  <si>
    <t>BOXER</t>
  </si>
  <si>
    <t>V1</t>
  </si>
  <si>
    <t>70 km do Lojista BMAX</t>
  </si>
  <si>
    <t>+2</t>
  </si>
  <si>
    <t>relação com Lojista BMAX</t>
  </si>
  <si>
    <t>&gt;R$50K</t>
  </si>
  <si>
    <t>&lt;R$50K</t>
  </si>
  <si>
    <t>DISTANCIA REVENDA BMAX (ATÉ 50KM)</t>
  </si>
  <si>
    <t>Vendedor 1 (atual)</t>
  </si>
  <si>
    <t>REVENDA</t>
  </si>
  <si>
    <t>V2</t>
  </si>
  <si>
    <t>REP</t>
  </si>
  <si>
    <t>Comisssionamentos</t>
  </si>
  <si>
    <t>Modelo Atendimento</t>
  </si>
  <si>
    <t>BOX&gt;IND</t>
  </si>
  <si>
    <t>BOX+REV&gt;IND</t>
  </si>
  <si>
    <t>BOX&gt;REV</t>
  </si>
  <si>
    <t>Revenda</t>
  </si>
  <si>
    <t>Representate</t>
  </si>
  <si>
    <t>COMISSIONAMENTO</t>
  </si>
  <si>
    <t>Vendedor Interno</t>
  </si>
  <si>
    <t>REPRESENTANTE</t>
  </si>
  <si>
    <t>VENDEDOR INTERNO</t>
  </si>
  <si>
    <t>Modelo atendimento - Politica Comercial Industria</t>
  </si>
  <si>
    <t>REVENDA - CONF. % CLASSE PREÇO</t>
  </si>
  <si>
    <t>4-10%</t>
  </si>
  <si>
    <t>Margem</t>
  </si>
  <si>
    <t>BOX&gt;IND1 - Mod. A</t>
  </si>
  <si>
    <t>Modelo A</t>
  </si>
  <si>
    <t>BOX&gt;IND2 - Mod. B</t>
  </si>
  <si>
    <t>CLASSE PREÇO - conf. Tabela BI</t>
  </si>
  <si>
    <t>Modelo B</t>
  </si>
  <si>
    <t>BOX+REV&gt;IND 1 - Mod. C</t>
  </si>
  <si>
    <t>Modelo C</t>
  </si>
  <si>
    <t>BOX+REV&gt;IND 2 - Mod. D</t>
  </si>
  <si>
    <t>Modelo D</t>
  </si>
  <si>
    <t>Quem atende</t>
  </si>
  <si>
    <t>Vendedor Interno 1</t>
  </si>
  <si>
    <t>Vendedor Interno 2</t>
  </si>
  <si>
    <t>Representante</t>
  </si>
  <si>
    <t>Contato</t>
  </si>
  <si>
    <t>Demonstração</t>
  </si>
  <si>
    <t>PORTAL BMAX</t>
  </si>
  <si>
    <t>ADM</t>
  </si>
  <si>
    <t>TODOS</t>
  </si>
  <si>
    <t>Negociação</t>
  </si>
  <si>
    <t>Vendido/ Perdido</t>
  </si>
  <si>
    <t>Assistencia</t>
  </si>
  <si>
    <t>Cliente</t>
  </si>
  <si>
    <t>cidade/estado</t>
  </si>
  <si>
    <t>Loja Fisica</t>
  </si>
  <si>
    <t>Equip. Demonstração</t>
  </si>
  <si>
    <t>Venda Industria</t>
  </si>
  <si>
    <t>Divulga mix industria</t>
  </si>
  <si>
    <t>Cilindro Gás</t>
  </si>
  <si>
    <t>Boxer 1ª</t>
  </si>
  <si>
    <t>Relação Positiva</t>
  </si>
  <si>
    <t>NOTA</t>
  </si>
  <si>
    <t>CLASSIFICAÇÃO</t>
  </si>
  <si>
    <t>ALMAM</t>
  </si>
  <si>
    <t>Prata</t>
  </si>
  <si>
    <t>MAQ SOLDAS</t>
  </si>
  <si>
    <t>S</t>
  </si>
  <si>
    <t>Ouro</t>
  </si>
  <si>
    <t>FERMARCS</t>
  </si>
  <si>
    <t>SERVWELD</t>
  </si>
  <si>
    <t>ELETRORAFA</t>
  </si>
  <si>
    <t>ELETRO SOLDA</t>
  </si>
  <si>
    <t>TECHNOFER ARARAQUARA</t>
  </si>
  <si>
    <t>CASCAVEL SOLDAS</t>
  </si>
  <si>
    <t>ELETRICA EDP</t>
  </si>
  <si>
    <t>SUPRIMIG</t>
  </si>
  <si>
    <t>SOLDAR</t>
  </si>
  <si>
    <t>LUITEX</t>
  </si>
  <si>
    <t>LOJA DO MECANICO</t>
  </si>
  <si>
    <t>DUTRA</t>
  </si>
  <si>
    <t>LEROY MERLIN</t>
  </si>
  <si>
    <t>OXI-RIO</t>
  </si>
  <si>
    <t>DOMINIK</t>
  </si>
  <si>
    <t>CICAMPO</t>
  </si>
  <si>
    <t>APIGUANA</t>
  </si>
  <si>
    <t>BRINEL</t>
  </si>
  <si>
    <t>DEMIL</t>
  </si>
  <si>
    <t>CORDEIRO</t>
  </si>
  <si>
    <t>DIAFER</t>
  </si>
  <si>
    <t>CASA DO SOLDADOR</t>
  </si>
  <si>
    <t>LUITEX SBO</t>
  </si>
  <si>
    <t>LUITEX MOGI</t>
  </si>
  <si>
    <t>LUITEX AMERICANA</t>
  </si>
  <si>
    <t>LUITEX SUMARÉ</t>
  </si>
  <si>
    <t>ALPHABRAS POÇOS</t>
  </si>
  <si>
    <t>ED MAQ</t>
  </si>
  <si>
    <t>D SOLDAS</t>
  </si>
  <si>
    <t>CICAMPO INDAIAL</t>
  </si>
  <si>
    <t>MANFER</t>
  </si>
  <si>
    <t>SAMTA</t>
  </si>
  <si>
    <t>CERTTO FERRAGENS</t>
  </si>
  <si>
    <t>SOLDAFORTE</t>
  </si>
  <si>
    <t>OXIGENIO JAGUAR</t>
  </si>
  <si>
    <t>DIAFER ITAPEVA</t>
  </si>
  <si>
    <t>TATA PARAFUSOS</t>
  </si>
  <si>
    <t>DIAFER PONTA GROSSA</t>
  </si>
  <si>
    <t>MEPAR</t>
  </si>
  <si>
    <t>IPIRANGA METAIS</t>
  </si>
  <si>
    <t>FERRAGISTA</t>
  </si>
  <si>
    <t>SANTA RITA</t>
  </si>
  <si>
    <t>SOLENGE SOLDAS</t>
  </si>
  <si>
    <t>TECNIVALE SOLDATEC</t>
  </si>
  <si>
    <t>L B SOLDAS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</si>
</sst>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#,##0.0%"/>
    <numFmt numFmtId="165" formatCode="#,##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rgb="FFffffff"/>
      <name val="Aptos Narrow"/>
      <family val="2"/>
    </font>
    <font>
      <b/>
      <sz val="10"/>
      <color rgb="FF222222"/>
      <name val="Arial"/>
      <family val="2"/>
    </font>
    <font>
      <b/>
      <sz val="10"/>
      <color rgb="FF000000"/>
      <name val="Arial"/>
      <family val="2"/>
    </font>
    <font>
      <sz val="10"/>
      <color rgb="FF222222"/>
      <name val="Arial"/>
      <family val="2"/>
    </font>
    <font>
      <sz val="7"/>
      <color rgb="FF222222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f0000"/>
      </patternFill>
    </fill>
    <fill>
      <patternFill patternType="solid">
        <fgColor rgb="FFa6a6a6"/>
      </patternFill>
    </fill>
    <fill>
      <patternFill patternType="solid">
        <fgColor rgb="FF00b050"/>
      </patternFill>
    </fill>
    <fill>
      <patternFill patternType="solid">
        <fgColor rgb="FF000000"/>
      </patternFill>
    </fill>
    <fill>
      <patternFill patternType="solid">
        <fgColor rgb="FFd9d9d9"/>
      </patternFill>
    </fill>
    <fill>
      <patternFill patternType="solid">
        <fgColor rgb="FF595959"/>
      </patternFill>
    </fill>
    <fill>
      <patternFill patternType="solid">
        <fgColor rgb="FF002060"/>
      </patternFill>
    </fill>
    <fill>
      <patternFill patternType="solid">
        <fgColor rgb="FF215f9a"/>
      </patternFill>
    </fill>
    <fill>
      <patternFill patternType="solid">
        <fgColor rgb="FFcaeefb"/>
      </patternFill>
    </fill>
    <fill>
      <patternFill patternType="solid">
        <fgColor rgb="FF61cbf4"/>
      </patternFill>
    </fill>
    <fill>
      <patternFill patternType="solid">
        <fgColor rgb="FF00b0f0"/>
      </patternFill>
    </fill>
    <fill>
      <patternFill patternType="solid">
        <fgColor rgb="FFffc000"/>
      </patternFill>
    </fill>
    <fill>
      <patternFill patternType="solid">
        <fgColor rgb="FF404040"/>
      </patternFill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78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left"/>
    </xf>
    <xf xfId="0" numFmtId="164" applyNumberFormat="1" borderId="2" applyBorder="1" fontId="2" applyFont="1" fillId="2" applyFill="1" applyAlignment="1">
      <alignment horizontal="left"/>
    </xf>
    <xf xfId="0" numFmtId="164" applyNumberFormat="1" borderId="2" applyBorder="1" fontId="3" applyFont="1" fillId="2" applyFill="1" applyAlignment="1">
      <alignment horizontal="center"/>
    </xf>
    <xf xfId="0" numFmtId="164" applyNumberFormat="1" borderId="2" applyBorder="1" fontId="2" applyFont="1" fillId="3" applyFill="1" applyAlignment="1">
      <alignment horizontal="left"/>
    </xf>
    <xf xfId="0" numFmtId="164" applyNumberFormat="1" borderId="2" applyBorder="1" fontId="4" applyFont="1" fillId="3" applyFill="1" applyAlignment="1">
      <alignment horizontal="left"/>
    </xf>
    <xf xfId="0" numFmtId="165" applyNumberFormat="1" borderId="2" applyBorder="1" fontId="4" applyFont="1" fillId="3" applyFill="1" applyAlignment="1">
      <alignment horizontal="left"/>
    </xf>
    <xf xfId="0" numFmtId="164" applyNumberFormat="1" borderId="2" applyBorder="1" fontId="3" applyFont="1" fillId="4" applyFill="1" applyAlignment="1">
      <alignment horizontal="left"/>
    </xf>
    <xf xfId="0" numFmtId="165" applyNumberFormat="1" borderId="2" applyBorder="1" fontId="3" applyFont="1" fillId="4" applyFill="1" applyAlignment="1">
      <alignment horizontal="left"/>
    </xf>
    <xf xfId="0" numFmtId="164" applyNumberFormat="1" borderId="2" applyBorder="1" fontId="2" applyFont="1" fillId="5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3" applyBorder="1" fontId="2" applyFont="1" fillId="6" applyFill="1" applyAlignment="1">
      <alignment horizontal="left"/>
    </xf>
    <xf xfId="0" numFmtId="164" applyNumberFormat="1" borderId="3" applyBorder="1" fontId="2" applyFont="1" fillId="6" applyFill="1" applyAlignment="1">
      <alignment horizontal="center"/>
    </xf>
    <xf xfId="0" numFmtId="3" applyNumberFormat="1" borderId="3" applyBorder="1" fontId="2" applyFont="1" fillId="6" applyFill="1" applyAlignment="1">
      <alignment horizontal="left"/>
    </xf>
    <xf xfId="0" numFmtId="165" applyNumberFormat="1" borderId="3" applyBorder="1" fontId="2" applyFont="1" fillId="6" applyFill="1" applyAlignment="1">
      <alignment horizontal="center"/>
    </xf>
    <xf xfId="0" numFmtId="164" applyNumberFormat="1" borderId="3" applyBorder="1" fontId="2" applyFont="1" fillId="2" applyFill="1" applyAlignment="1">
      <alignment horizontal="center"/>
    </xf>
    <xf xfId="0" numFmtId="0" borderId="4" applyBorder="1" fontId="3" applyFont="1" fillId="0" applyAlignment="1">
      <alignment horizontal="center"/>
    </xf>
    <xf xfId="0" numFmtId="3" applyNumberFormat="1" borderId="4" applyBorder="1" fontId="3" applyFont="1" fillId="0" applyAlignment="1">
      <alignment horizontal="center"/>
    </xf>
    <xf xfId="0" numFmtId="0" borderId="3" applyBorder="1" fontId="4" applyFont="1" fillId="0" applyAlignment="1">
      <alignment horizontal="left"/>
    </xf>
    <xf xfId="0" numFmtId="164" applyNumberFormat="1" borderId="3" applyBorder="1" fontId="4" applyFont="1" fillId="0" applyAlignment="1">
      <alignment horizontal="center"/>
    </xf>
    <xf xfId="0" numFmtId="3" applyNumberFormat="1" borderId="3" applyBorder="1" fontId="5" applyFont="1" fillId="0" applyAlignment="1">
      <alignment horizontal="left"/>
    </xf>
    <xf xfId="0" numFmtId="164" applyNumberFormat="1" borderId="3" applyBorder="1" fontId="3" applyFont="1" fillId="0" applyAlignment="1">
      <alignment horizontal="center"/>
    </xf>
    <xf xfId="0" numFmtId="164" applyNumberFormat="1" borderId="3" applyBorder="1" fontId="5" applyFont="1" fillId="0" applyAlignment="1">
      <alignment horizontal="center"/>
    </xf>
    <xf xfId="0" numFmtId="165" applyNumberFormat="1" borderId="3" applyBorder="1" fontId="5" applyFont="1" fillId="0" applyAlignment="1">
      <alignment horizontal="center"/>
    </xf>
    <xf xfId="0" numFmtId="165" applyNumberFormat="1" borderId="3" applyBorder="1" fontId="4" applyFont="1" fillId="0" applyAlignment="1">
      <alignment horizontal="center"/>
    </xf>
    <xf xfId="0" numFmtId="0" borderId="4" applyBorder="1" fontId="4" applyFont="1" fillId="0" applyAlignment="1">
      <alignment horizontal="center"/>
    </xf>
    <xf xfId="0" numFmtId="3" applyNumberFormat="1" borderId="4" applyBorder="1" fontId="4" applyFont="1" fillId="0" applyAlignment="1">
      <alignment horizontal="center"/>
    </xf>
    <xf xfId="0" numFmtId="3" applyNumberFormat="1" borderId="3" applyBorder="1" fontId="3" applyFont="1" fillId="0" applyAlignment="1">
      <alignment horizontal="center"/>
    </xf>
    <xf xfId="0" numFmtId="165" applyNumberFormat="1" borderId="3" applyBorder="1" fontId="3" applyFont="1" fillId="0" applyAlignment="1">
      <alignment horizontal="center"/>
    </xf>
    <xf xfId="0" numFmtId="0" borderId="3" applyBorder="1" fontId="3" applyFont="1" fillId="7" applyFill="1" applyAlignment="1">
      <alignment horizontal="left"/>
    </xf>
    <xf xfId="0" numFmtId="164" applyNumberFormat="1" borderId="3" applyBorder="1" fontId="3" applyFont="1" fillId="7" applyFill="1" applyAlignment="1">
      <alignment horizontal="center"/>
    </xf>
    <xf xfId="0" numFmtId="164" applyNumberFormat="1" borderId="1" applyBorder="1" fontId="4" applyFont="1" fillId="0" applyAlignment="1">
      <alignment horizontal="center"/>
    </xf>
    <xf xfId="0" numFmtId="3" applyNumberFormat="1" borderId="3" applyBorder="1" fontId="3" applyFont="1" fillId="7" applyFill="1" applyAlignment="1">
      <alignment horizontal="left"/>
    </xf>
    <xf xfId="0" numFmtId="164" applyNumberFormat="1" borderId="3" applyBorder="1" fontId="2" applyFont="1" fillId="8" applyFill="1" applyAlignment="1">
      <alignment horizontal="center"/>
    </xf>
    <xf xfId="0" numFmtId="165" applyNumberFormat="1" borderId="3" applyBorder="1" fontId="2" applyFont="1" fillId="8" applyFill="1" applyAlignment="1">
      <alignment horizontal="center"/>
    </xf>
    <xf xfId="0" numFmtId="0" borderId="1" applyBorder="1" fontId="4" applyFont="1" fillId="0" applyAlignment="1">
      <alignment horizontal="left"/>
    </xf>
    <xf xfId="0" numFmtId="3" applyNumberFormat="1" borderId="3" applyBorder="1" fontId="2" applyFont="1" fillId="9" applyFill="1" applyAlignment="1">
      <alignment horizontal="left"/>
    </xf>
    <xf xfId="0" numFmtId="164" applyNumberFormat="1" borderId="3" applyBorder="1" fontId="2" applyFont="1" fillId="10" applyFill="1" applyAlignment="1">
      <alignment horizontal="center"/>
    </xf>
    <xf xfId="0" numFmtId="165" applyNumberFormat="1" borderId="3" applyBorder="1" fontId="3" applyFont="1" fillId="11" applyFill="1" applyAlignment="1">
      <alignment horizontal="center"/>
    </xf>
    <xf xfId="0" numFmtId="164" applyNumberFormat="1" borderId="3" applyBorder="1" fontId="3" applyFont="1" fillId="12" applyFill="1" applyAlignment="1">
      <alignment horizontal="center"/>
    </xf>
    <xf xfId="0" numFmtId="165" applyNumberFormat="1" borderId="1" applyBorder="1" fontId="1" applyFont="1" fillId="0" applyAlignment="1">
      <alignment horizontal="right"/>
    </xf>
    <xf xfId="0" numFmtId="3" applyNumberFormat="1" borderId="2" applyBorder="1" fontId="2" applyFont="1" fillId="13" applyFill="1" applyAlignment="1">
      <alignment horizontal="left"/>
    </xf>
    <xf xfId="0" numFmtId="164" applyNumberFormat="1" borderId="2" applyBorder="1" fontId="6" applyFont="1" fillId="13" applyFill="1" applyAlignment="1">
      <alignment horizontal="center"/>
    </xf>
    <xf xfId="0" numFmtId="165" applyNumberFormat="1" borderId="2" applyBorder="1" fontId="6" applyFont="1" fillId="13" applyFill="1" applyAlignment="1">
      <alignment horizontal="center"/>
    </xf>
    <xf xfId="0" numFmtId="164" applyNumberFormat="1" borderId="2" applyBorder="1" fontId="6" applyFont="1" fillId="13" applyFill="1" applyAlignment="1">
      <alignment horizontal="left"/>
    </xf>
    <xf xfId="0" numFmtId="3" applyNumberFormat="1" borderId="5" applyBorder="1" fontId="4" applyFont="1" fillId="0" applyAlignment="1">
      <alignment horizontal="left"/>
    </xf>
    <xf xfId="0" numFmtId="164" applyNumberFormat="1" borderId="5" applyBorder="1" fontId="4" applyFont="1" fillId="0" applyAlignment="1">
      <alignment horizontal="center"/>
    </xf>
    <xf xfId="0" numFmtId="0" borderId="3" applyBorder="1" fontId="3" applyFont="1" fillId="0" applyAlignment="1">
      <alignment horizontal="center"/>
    </xf>
    <xf xfId="0" numFmtId="165" applyNumberFormat="1" borderId="5" applyBorder="1" fontId="4" applyFont="1" fillId="14" applyFill="1" applyAlignment="1">
      <alignment horizontal="center"/>
    </xf>
    <xf xfId="0" numFmtId="3" applyNumberFormat="1" borderId="5" applyBorder="1" fontId="3" applyFont="1" fillId="14" applyFill="1" applyAlignment="1">
      <alignment horizontal="left"/>
    </xf>
    <xf xfId="0" numFmtId="164" applyNumberFormat="1" borderId="2" applyBorder="1" fontId="6" applyFont="1" fillId="14" applyFill="1" applyAlignment="1">
      <alignment horizontal="center"/>
    </xf>
    <xf xfId="0" numFmtId="165" applyNumberFormat="1" borderId="2" applyBorder="1" fontId="6" applyFont="1" fillId="14" applyFill="1" applyAlignment="1">
      <alignment horizontal="center"/>
    </xf>
    <xf xfId="0" numFmtId="164" applyNumberFormat="1" borderId="2" applyBorder="1" fontId="6" applyFont="1" fillId="14" applyFill="1" applyAlignment="1">
      <alignment horizontal="left"/>
    </xf>
    <xf xfId="0" numFmtId="3" applyNumberFormat="1" borderId="5" applyBorder="1" fontId="3" applyFont="1" fillId="0" applyAlignment="1">
      <alignment horizontal="center"/>
    </xf>
    <xf xfId="0" numFmtId="165" applyNumberFormat="1" borderId="5" applyBorder="1" fontId="4" applyFont="1" fillId="0" applyAlignment="1">
      <alignment horizontal="center"/>
    </xf>
    <xf xfId="0" numFmtId="0" borderId="3" applyBorder="1" fontId="3" applyFont="1" fillId="0" applyAlignment="1">
      <alignment horizontal="left"/>
    </xf>
    <xf xfId="0" numFmtId="3" applyNumberFormat="1" borderId="5" applyBorder="1" fontId="6" applyFont="1" fillId="15" applyFill="1" applyAlignment="1">
      <alignment horizontal="left"/>
    </xf>
    <xf xfId="0" numFmtId="164" applyNumberFormat="1" borderId="5" applyBorder="1" fontId="5" applyFont="1" fillId="0" applyAlignment="1">
      <alignment horizontal="center"/>
    </xf>
    <xf xfId="0" numFmtId="164" applyNumberFormat="1" borderId="5" applyBorder="1" fontId="3" applyFont="1" fillId="3" applyFill="1" applyAlignment="1">
      <alignment horizontal="center"/>
    </xf>
    <xf xfId="0" numFmtId="164" applyNumberFormat="1" borderId="0" fontId="0" fillId="0" applyAlignment="1">
      <alignment horizontal="center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  <xf xfId="0" numFmtId="0" borderId="0" fontId="0" fillId="0" applyAlignment="1">
      <alignment horizontal="left"/>
    </xf>
    <xf xfId="0" numFmtId="0" borderId="1" applyBorder="1" fontId="4" applyFont="1" fillId="0" applyAlignment="1">
      <alignment horizontal="center"/>
    </xf>
    <xf xfId="0" numFmtId="0" borderId="1" applyBorder="1" fontId="7" applyFont="1" fillId="0" applyAlignment="1">
      <alignment horizontal="left" wrapText="1"/>
    </xf>
    <xf xfId="0" numFmtId="0" borderId="1" applyBorder="1" fontId="8" applyFont="1" fillId="0" applyAlignment="1">
      <alignment horizontal="center"/>
    </xf>
    <xf xfId="0" numFmtId="0" borderId="2" applyBorder="1" fontId="8" applyFont="1" fillId="16" applyFill="1" applyAlignment="1">
      <alignment horizontal="center"/>
    </xf>
    <xf xfId="0" numFmtId="3" applyNumberFormat="1" borderId="1" applyBorder="1" fontId="8" applyFont="1" fillId="0" applyAlignment="1">
      <alignment horizontal="center"/>
    </xf>
    <xf xfId="0" numFmtId="0" borderId="1" applyBorder="1" fontId="9" applyFont="1" fillId="0" applyAlignment="1">
      <alignment horizontal="left"/>
    </xf>
    <xf xfId="0" numFmtId="0" borderId="1" applyBorder="1" fontId="10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52"/>
  <sheetViews>
    <sheetView workbookViewId="0">
      <pane state="frozen" activePane="bottomLeft" topLeftCell="A3" ySplit="2" xSplit="0"/>
    </sheetView>
  </sheetViews>
  <sheetFormatPr defaultRowHeight="15" x14ac:dyDescent="0.25"/>
  <cols>
    <col min="1" max="1" style="77" width="25.576428571428572" customWidth="1" bestFit="1"/>
    <col min="2" max="2" style="2" width="15.719285714285713" customWidth="1" bestFit="1"/>
    <col min="3" max="3" style="2" width="15.147857142857141" customWidth="1" bestFit="1"/>
    <col min="4" max="4" style="2" width="14.576428571428572" customWidth="1" bestFit="1"/>
    <col min="5" max="5" style="2" width="24.005" customWidth="1" bestFit="1"/>
    <col min="6" max="6" style="2" width="18.862142857142857" customWidth="1" bestFit="1"/>
    <col min="7" max="7" style="2" width="23.576428571428572" customWidth="1" bestFit="1"/>
    <col min="8" max="8" style="2" width="16.005" customWidth="1" bestFit="1"/>
    <col min="9" max="9" style="2" width="12.576428571428572" customWidth="1" bestFit="1"/>
    <col min="10" max="10" style="2" width="19.576428571428572" customWidth="1" bestFit="1"/>
    <col min="11" max="11" style="65" width="5.862142857142857" customWidth="1" bestFit="1"/>
    <col min="12" max="12" style="2" width="15.43357142857143" customWidth="1" bestFit="1"/>
    <col min="13" max="13" style="2" width="13.576428571428572" customWidth="1" bestFit="1"/>
    <col min="14" max="14" style="65" width="13.576428571428572" customWidth="1" bestFit="1"/>
    <col min="15" max="15" style="2" width="13.576428571428572" customWidth="1" bestFit="1"/>
  </cols>
  <sheetData>
    <row x14ac:dyDescent="0.25" r="1" customHeight="1" ht="18.75">
      <c r="A1" s="67"/>
      <c r="B1" s="1"/>
      <c r="C1" s="1"/>
      <c r="D1" s="1"/>
      <c r="E1" s="1"/>
      <c r="F1" s="1"/>
      <c r="G1" s="1"/>
      <c r="H1" s="68" t="s">
        <v>90</v>
      </c>
      <c r="I1" s="1"/>
      <c r="J1" s="1"/>
      <c r="K1" s="14"/>
      <c r="L1" s="1"/>
      <c r="M1" s="1"/>
      <c r="N1" s="14"/>
      <c r="O1" s="1"/>
    </row>
    <row x14ac:dyDescent="0.25" r="2" customHeight="1" ht="18.75">
      <c r="A2" s="69" t="s">
        <v>91</v>
      </c>
      <c r="B2" s="69" t="s">
        <v>82</v>
      </c>
      <c r="C2" s="69" t="s">
        <v>92</v>
      </c>
      <c r="D2" s="70" t="s">
        <v>93</v>
      </c>
      <c r="E2" s="70" t="s">
        <v>94</v>
      </c>
      <c r="F2" s="71" t="s">
        <v>95</v>
      </c>
      <c r="G2" s="70" t="s">
        <v>96</v>
      </c>
      <c r="H2" s="70" t="s">
        <v>97</v>
      </c>
      <c r="I2" s="70" t="s">
        <v>98</v>
      </c>
      <c r="J2" s="70" t="s">
        <v>99</v>
      </c>
      <c r="K2" s="72" t="s">
        <v>100</v>
      </c>
      <c r="L2" s="70" t="s">
        <v>101</v>
      </c>
      <c r="M2" s="1"/>
      <c r="N2" s="14"/>
      <c r="O2" s="1"/>
    </row>
    <row x14ac:dyDescent="0.25" r="3" customHeight="1" ht="18.75">
      <c r="A3" s="73" t="s">
        <v>102</v>
      </c>
      <c r="B3" s="74"/>
      <c r="C3" s="74"/>
      <c r="D3" s="1"/>
      <c r="E3" s="1"/>
      <c r="F3" s="1"/>
      <c r="G3" s="1"/>
      <c r="H3" s="1"/>
      <c r="I3" s="1"/>
      <c r="J3" s="1"/>
      <c r="K3" s="75">
        <f>COUNTA(D3:J3)</f>
      </c>
      <c r="L3" s="76">
        <f>IF(K3&gt;=$N$4,$O$4,IF(K3&gt;=$N$3,$O$3,"Não Aplica"))</f>
      </c>
      <c r="M3" s="1"/>
      <c r="N3" s="75">
        <v>5</v>
      </c>
      <c r="O3" s="1" t="s">
        <v>103</v>
      </c>
    </row>
    <row x14ac:dyDescent="0.25" r="4" customHeight="1" ht="18.75">
      <c r="A4" s="73" t="s">
        <v>104</v>
      </c>
      <c r="B4" s="74"/>
      <c r="C4" s="74"/>
      <c r="D4" s="68" t="s">
        <v>105</v>
      </c>
      <c r="E4" s="68" t="s">
        <v>105</v>
      </c>
      <c r="F4" s="68" t="s">
        <v>105</v>
      </c>
      <c r="G4" s="68" t="s">
        <v>105</v>
      </c>
      <c r="H4" s="68" t="s">
        <v>105</v>
      </c>
      <c r="I4" s="1"/>
      <c r="J4" s="68" t="s">
        <v>105</v>
      </c>
      <c r="K4" s="75">
        <f>COUNTA(D4:J4)</f>
      </c>
      <c r="L4" s="76">
        <f>IF(K4&gt;=$N$4,$O$4,IF(K4&gt;=$N$3,$O$3,"Não Aplica"))</f>
      </c>
      <c r="M4" s="1"/>
      <c r="N4" s="75">
        <v>6</v>
      </c>
      <c r="O4" s="1" t="s">
        <v>106</v>
      </c>
    </row>
    <row x14ac:dyDescent="0.25" r="5" customHeight="1" ht="18.75">
      <c r="A5" s="73" t="s">
        <v>107</v>
      </c>
      <c r="B5" s="74"/>
      <c r="C5" s="74"/>
      <c r="D5" s="68" t="s">
        <v>105</v>
      </c>
      <c r="E5" s="68" t="s">
        <v>105</v>
      </c>
      <c r="F5" s="68" t="s">
        <v>105</v>
      </c>
      <c r="G5" s="68" t="s">
        <v>105</v>
      </c>
      <c r="H5" s="68" t="s">
        <v>105</v>
      </c>
      <c r="I5" s="68" t="s">
        <v>105</v>
      </c>
      <c r="J5" s="68" t="s">
        <v>105</v>
      </c>
      <c r="K5" s="75">
        <f>COUNTA(D5:J5)</f>
      </c>
      <c r="L5" s="76">
        <f>IF(K5&gt;=$N$4,$O$4,IF(K5&gt;=$N$3,$O$3,"Não Aplica"))</f>
      </c>
      <c r="M5" s="1"/>
      <c r="N5" s="14"/>
      <c r="O5" s="1"/>
    </row>
    <row x14ac:dyDescent="0.25" r="6" customHeight="1" ht="18.75">
      <c r="A6" s="73" t="s">
        <v>108</v>
      </c>
      <c r="B6" s="74"/>
      <c r="C6" s="74"/>
      <c r="D6" s="68" t="s">
        <v>105</v>
      </c>
      <c r="E6" s="68" t="s">
        <v>105</v>
      </c>
      <c r="F6" s="68" t="s">
        <v>105</v>
      </c>
      <c r="G6" s="68" t="s">
        <v>105</v>
      </c>
      <c r="H6" s="68" t="s">
        <v>105</v>
      </c>
      <c r="I6" s="68" t="s">
        <v>105</v>
      </c>
      <c r="J6" s="68" t="s">
        <v>105</v>
      </c>
      <c r="K6" s="75">
        <f>COUNTA(D6:J6)</f>
      </c>
      <c r="L6" s="76">
        <f>IF(K6&gt;=$N$4,$O$4,IF(K6&gt;=$N$3,$O$3,"Não Aplica"))</f>
      </c>
      <c r="M6" s="1"/>
      <c r="N6" s="14"/>
      <c r="O6" s="1"/>
    </row>
    <row x14ac:dyDescent="0.25" r="7" customHeight="1" ht="18.75">
      <c r="A7" s="73" t="s">
        <v>109</v>
      </c>
      <c r="B7" s="74"/>
      <c r="C7" s="74"/>
      <c r="D7" s="68" t="s">
        <v>105</v>
      </c>
      <c r="E7" s="68" t="s">
        <v>105</v>
      </c>
      <c r="F7" s="68" t="s">
        <v>105</v>
      </c>
      <c r="G7" s="68" t="s">
        <v>105</v>
      </c>
      <c r="H7" s="68" t="s">
        <v>105</v>
      </c>
      <c r="I7" s="68" t="s">
        <v>105</v>
      </c>
      <c r="J7" s="1"/>
      <c r="K7" s="75">
        <f>COUNTA(D7:J7)</f>
      </c>
      <c r="L7" s="76">
        <f>IF(K7&gt;=$N$4,$O$4,IF(K7&gt;=$N$3,$O$3,"Não Aplica"))</f>
      </c>
      <c r="M7" s="1"/>
      <c r="N7" s="14"/>
      <c r="O7" s="1"/>
    </row>
    <row x14ac:dyDescent="0.25" r="8" customHeight="1" ht="18.75">
      <c r="A8" s="73" t="s">
        <v>110</v>
      </c>
      <c r="B8" s="74"/>
      <c r="C8" s="74"/>
      <c r="D8" s="68" t="s">
        <v>105</v>
      </c>
      <c r="E8" s="68" t="s">
        <v>105</v>
      </c>
      <c r="F8" s="68" t="s">
        <v>105</v>
      </c>
      <c r="G8" s="68" t="s">
        <v>105</v>
      </c>
      <c r="H8" s="68" t="s">
        <v>105</v>
      </c>
      <c r="I8" s="1"/>
      <c r="J8" s="68" t="s">
        <v>105</v>
      </c>
      <c r="K8" s="75">
        <f>COUNTA(D8:J8)</f>
      </c>
      <c r="L8" s="76">
        <f>IF(K8&gt;=$N$4,$O$4,IF(K8&gt;=$N$3,$O$3,"Não Aplica"))</f>
      </c>
      <c r="M8" s="1"/>
      <c r="N8" s="14"/>
      <c r="O8" s="1"/>
    </row>
    <row x14ac:dyDescent="0.25" r="9" customHeight="1" ht="18.75">
      <c r="A9" s="73" t="s">
        <v>111</v>
      </c>
      <c r="B9" s="74"/>
      <c r="C9" s="74"/>
      <c r="D9" s="68" t="s">
        <v>105</v>
      </c>
      <c r="E9" s="68" t="s">
        <v>105</v>
      </c>
      <c r="F9" s="68" t="s">
        <v>105</v>
      </c>
      <c r="G9" s="68" t="s">
        <v>105</v>
      </c>
      <c r="H9" s="1"/>
      <c r="I9" s="68" t="s">
        <v>105</v>
      </c>
      <c r="J9" s="68" t="s">
        <v>105</v>
      </c>
      <c r="K9" s="75">
        <f>COUNTA(D9:J9)</f>
      </c>
      <c r="L9" s="76">
        <f>IF(K9&gt;=$N$4,$O$4,IF(K9&gt;=$N$3,$O$3,"Não Aplica"))</f>
      </c>
      <c r="M9" s="1"/>
      <c r="N9" s="14"/>
      <c r="O9" s="1"/>
    </row>
    <row x14ac:dyDescent="0.25" r="10" customHeight="1" ht="18.75">
      <c r="A10" s="73" t="s">
        <v>112</v>
      </c>
      <c r="B10" s="74"/>
      <c r="C10" s="74"/>
      <c r="D10" s="68" t="s">
        <v>105</v>
      </c>
      <c r="E10" s="68" t="s">
        <v>105</v>
      </c>
      <c r="F10" s="68" t="s">
        <v>105</v>
      </c>
      <c r="G10" s="68" t="s">
        <v>105</v>
      </c>
      <c r="H10" s="1"/>
      <c r="I10" s="1"/>
      <c r="J10" s="68" t="s">
        <v>105</v>
      </c>
      <c r="K10" s="75">
        <f>COUNTA(D10:J10)</f>
      </c>
      <c r="L10" s="76">
        <f>IF(K10&gt;=$N$4,$O$4,IF(K10&gt;=$N$3,$O$3,"Não Aplica"))</f>
      </c>
      <c r="M10" s="1"/>
      <c r="N10" s="14"/>
      <c r="O10" s="1"/>
    </row>
    <row x14ac:dyDescent="0.25" r="11" customHeight="1" ht="18.75">
      <c r="A11" s="73" t="s">
        <v>113</v>
      </c>
      <c r="B11" s="74"/>
      <c r="C11" s="74"/>
      <c r="D11" s="1"/>
      <c r="E11" s="1"/>
      <c r="F11" s="1"/>
      <c r="G11" s="1"/>
      <c r="H11" s="1"/>
      <c r="I11" s="1"/>
      <c r="J11" s="1"/>
      <c r="K11" s="75">
        <f>COUNTA(D11:J11)</f>
      </c>
      <c r="L11" s="76">
        <f>IF(K11&gt;=$N$4,$O$4,IF(K11&gt;=$N$3,$O$3,"Não Aplica"))</f>
      </c>
      <c r="M11" s="1"/>
      <c r="N11" s="14"/>
      <c r="O11" s="1"/>
    </row>
    <row x14ac:dyDescent="0.25" r="12" customHeight="1" ht="18.75">
      <c r="A12" s="73" t="s">
        <v>114</v>
      </c>
      <c r="B12" s="74"/>
      <c r="C12" s="74"/>
      <c r="D12" s="68" t="s">
        <v>105</v>
      </c>
      <c r="E12" s="68" t="s">
        <v>105</v>
      </c>
      <c r="F12" s="68" t="s">
        <v>105</v>
      </c>
      <c r="G12" s="68" t="s">
        <v>105</v>
      </c>
      <c r="H12" s="1"/>
      <c r="I12" s="68" t="s">
        <v>105</v>
      </c>
      <c r="J12" s="68" t="s">
        <v>105</v>
      </c>
      <c r="K12" s="75">
        <f>COUNTA(D12:J12)</f>
      </c>
      <c r="L12" s="76">
        <f>IF(K12&gt;=$N$4,$O$4,IF(K12&gt;=$N$3,$O$3,"Não Aplica"))</f>
      </c>
      <c r="M12" s="1"/>
      <c r="N12" s="14"/>
      <c r="O12" s="1"/>
    </row>
    <row x14ac:dyDescent="0.25" r="13" customHeight="1" ht="18.75">
      <c r="A13" s="73" t="s">
        <v>115</v>
      </c>
      <c r="B13" s="74"/>
      <c r="C13" s="74"/>
      <c r="D13" s="1"/>
      <c r="E13" s="1"/>
      <c r="F13" s="1"/>
      <c r="G13" s="1"/>
      <c r="H13" s="1"/>
      <c r="I13" s="1"/>
      <c r="J13" s="1"/>
      <c r="K13" s="75">
        <f>COUNTA(D13:J13)</f>
      </c>
      <c r="L13" s="76">
        <f>IF(K13&gt;=$N$4,$O$4,IF(K13&gt;=$N$3,$O$3,"Não Aplica"))</f>
      </c>
      <c r="M13" s="1"/>
      <c r="N13" s="14"/>
      <c r="O13" s="1"/>
    </row>
    <row x14ac:dyDescent="0.25" r="14" customHeight="1" ht="18.75">
      <c r="A14" s="73" t="s">
        <v>116</v>
      </c>
      <c r="B14" s="74"/>
      <c r="C14" s="74"/>
      <c r="D14" s="68" t="s">
        <v>105</v>
      </c>
      <c r="E14" s="68" t="s">
        <v>105</v>
      </c>
      <c r="F14" s="68" t="s">
        <v>105</v>
      </c>
      <c r="G14" s="68" t="s">
        <v>105</v>
      </c>
      <c r="H14" s="1"/>
      <c r="I14" s="68" t="s">
        <v>105</v>
      </c>
      <c r="J14" s="68" t="s">
        <v>105</v>
      </c>
      <c r="K14" s="75">
        <f>COUNTA(D14:J14)</f>
      </c>
      <c r="L14" s="76">
        <f>IF(K14&gt;=$N$4,$O$4,IF(K14&gt;=$N$3,$O$3,"Não Aplica"))</f>
      </c>
      <c r="M14" s="1"/>
      <c r="N14" s="14"/>
      <c r="O14" s="1"/>
    </row>
    <row x14ac:dyDescent="0.25" r="15" customHeight="1" ht="18.75">
      <c r="A15" s="73" t="s">
        <v>117</v>
      </c>
      <c r="B15" s="74"/>
      <c r="C15" s="74"/>
      <c r="D15" s="68" t="s">
        <v>105</v>
      </c>
      <c r="E15" s="1"/>
      <c r="F15" s="68" t="s">
        <v>105</v>
      </c>
      <c r="G15" s="1"/>
      <c r="H15" s="1"/>
      <c r="I15" s="68" t="s">
        <v>105</v>
      </c>
      <c r="J15" s="1"/>
      <c r="K15" s="75">
        <f>COUNTA(D15:J15)</f>
      </c>
      <c r="L15" s="76">
        <f>IF(K15&gt;=$N$4,$O$4,IF(K15&gt;=$N$3,$O$3,"Não Aplica"))</f>
      </c>
      <c r="M15" s="1"/>
      <c r="N15" s="14"/>
      <c r="O15" s="1"/>
    </row>
    <row x14ac:dyDescent="0.25" r="16" customHeight="1" ht="18.75">
      <c r="A16" s="73" t="s">
        <v>118</v>
      </c>
      <c r="B16" s="74"/>
      <c r="C16" s="74"/>
      <c r="D16" s="68" t="s">
        <v>105</v>
      </c>
      <c r="E16" s="1"/>
      <c r="F16" s="68" t="s">
        <v>105</v>
      </c>
      <c r="G16" s="68" t="s">
        <v>105</v>
      </c>
      <c r="H16" s="1"/>
      <c r="I16" s="68" t="s">
        <v>105</v>
      </c>
      <c r="J16" s="1"/>
      <c r="K16" s="75">
        <f>COUNTA(D16:J16)</f>
      </c>
      <c r="L16" s="76">
        <f>IF(K16&gt;=$N$4,$O$4,IF(K16&gt;=$N$3,$O$3,"Não Aplica"))</f>
      </c>
      <c r="M16" s="1"/>
      <c r="N16" s="14"/>
      <c r="O16" s="1"/>
    </row>
    <row x14ac:dyDescent="0.25" r="17" customHeight="1" ht="18.75">
      <c r="A17" s="73" t="s">
        <v>119</v>
      </c>
      <c r="B17" s="74"/>
      <c r="C17" s="74"/>
      <c r="D17" s="68" t="s">
        <v>105</v>
      </c>
      <c r="E17" s="1"/>
      <c r="F17" s="68" t="s">
        <v>105</v>
      </c>
      <c r="G17" s="1"/>
      <c r="H17" s="1"/>
      <c r="I17" s="68" t="s">
        <v>105</v>
      </c>
      <c r="J17" s="1"/>
      <c r="K17" s="75">
        <f>COUNTA(D17:J17)</f>
      </c>
      <c r="L17" s="76">
        <f>IF(K17&gt;=$N$4,$O$4,IF(K17&gt;=$N$3,$O$3,"Não Aplica"))</f>
      </c>
      <c r="M17" s="1"/>
      <c r="N17" s="14"/>
      <c r="O17" s="1"/>
    </row>
    <row x14ac:dyDescent="0.25" r="18" customHeight="1" ht="18.75">
      <c r="A18" s="73" t="s">
        <v>120</v>
      </c>
      <c r="B18" s="74"/>
      <c r="C18" s="74"/>
      <c r="D18" s="68" t="s">
        <v>105</v>
      </c>
      <c r="E18" s="68" t="s">
        <v>105</v>
      </c>
      <c r="F18" s="68" t="s">
        <v>105</v>
      </c>
      <c r="G18" s="68" t="s">
        <v>105</v>
      </c>
      <c r="H18" s="68" t="s">
        <v>105</v>
      </c>
      <c r="I18" s="1"/>
      <c r="J18" s="68" t="s">
        <v>105</v>
      </c>
      <c r="K18" s="75">
        <f>COUNTA(D18:J18)</f>
      </c>
      <c r="L18" s="76">
        <f>IF(K18&gt;=$N$4,$O$4,IF(K18&gt;=$N$3,$O$3,"Não Aplica"))</f>
      </c>
      <c r="M18" s="1"/>
      <c r="N18" s="14"/>
      <c r="O18" s="1"/>
    </row>
    <row x14ac:dyDescent="0.25" r="19" customHeight="1" ht="18.75">
      <c r="A19" s="73" t="s">
        <v>121</v>
      </c>
      <c r="B19" s="74"/>
      <c r="C19" s="74"/>
      <c r="D19" s="68" t="s">
        <v>105</v>
      </c>
      <c r="E19" s="68" t="s">
        <v>105</v>
      </c>
      <c r="F19" s="68" t="s">
        <v>105</v>
      </c>
      <c r="G19" s="68" t="s">
        <v>105</v>
      </c>
      <c r="H19" s="1"/>
      <c r="I19" s="1"/>
      <c r="J19" s="68" t="s">
        <v>105</v>
      </c>
      <c r="K19" s="75">
        <f>COUNTA(D19:J19)</f>
      </c>
      <c r="L19" s="76">
        <f>IF(K19&gt;=$N$4,$O$4,IF(K19&gt;=$N$3,$O$3,"Não Aplica"))</f>
      </c>
      <c r="M19" s="1"/>
      <c r="N19" s="14"/>
      <c r="O19" s="1"/>
    </row>
    <row x14ac:dyDescent="0.25" r="20" customHeight="1" ht="18.75">
      <c r="A20" s="73" t="s">
        <v>122</v>
      </c>
      <c r="B20" s="74"/>
      <c r="C20" s="74"/>
      <c r="D20" s="68" t="s">
        <v>105</v>
      </c>
      <c r="E20" s="68" t="s">
        <v>105</v>
      </c>
      <c r="F20" s="68" t="s">
        <v>105</v>
      </c>
      <c r="G20" s="68" t="s">
        <v>105</v>
      </c>
      <c r="H20" s="1"/>
      <c r="I20" s="1"/>
      <c r="J20" s="1"/>
      <c r="K20" s="75">
        <f>COUNTA(D20:J20)</f>
      </c>
      <c r="L20" s="76">
        <f>IF(K20&gt;=$N$4,$O$4,IF(K20&gt;=$N$3,$O$3,"Não Aplica"))</f>
      </c>
      <c r="M20" s="1"/>
      <c r="N20" s="14"/>
      <c r="O20" s="1"/>
    </row>
    <row x14ac:dyDescent="0.25" r="21" customHeight="1" ht="18.75">
      <c r="A21" s="73" t="s">
        <v>123</v>
      </c>
      <c r="B21" s="74"/>
      <c r="C21" s="74"/>
      <c r="D21" s="68" t="s">
        <v>105</v>
      </c>
      <c r="E21" s="1"/>
      <c r="F21" s="68" t="s">
        <v>105</v>
      </c>
      <c r="G21" s="68" t="s">
        <v>105</v>
      </c>
      <c r="H21" s="1"/>
      <c r="I21" s="68" t="s">
        <v>105</v>
      </c>
      <c r="J21" s="68" t="s">
        <v>105</v>
      </c>
      <c r="K21" s="75">
        <f>COUNTA(D21:J21)</f>
      </c>
      <c r="L21" s="76">
        <f>IF(K21&gt;=$N$4,$O$4,IF(K21&gt;=$N$3,$O$3,"Não Aplica"))</f>
      </c>
      <c r="M21" s="1"/>
      <c r="N21" s="14"/>
      <c r="O21" s="1"/>
    </row>
    <row x14ac:dyDescent="0.25" r="22" customHeight="1" ht="18.75">
      <c r="A22" s="73" t="s">
        <v>124</v>
      </c>
      <c r="B22" s="74"/>
      <c r="C22" s="74"/>
      <c r="D22" s="68" t="s">
        <v>105</v>
      </c>
      <c r="E22" s="68" t="s">
        <v>105</v>
      </c>
      <c r="F22" s="68" t="s">
        <v>105</v>
      </c>
      <c r="G22" s="68" t="s">
        <v>105</v>
      </c>
      <c r="H22" s="68" t="s">
        <v>105</v>
      </c>
      <c r="I22" s="1"/>
      <c r="J22" s="1"/>
      <c r="K22" s="75">
        <f>COUNTA(D22:J22)</f>
      </c>
      <c r="L22" s="76">
        <f>IF(K22&gt;=$N$4,$O$4,IF(K22&gt;=$N$3,$O$3,"Não Aplica"))</f>
      </c>
      <c r="M22" s="1"/>
      <c r="N22" s="14"/>
      <c r="O22" s="1"/>
    </row>
    <row x14ac:dyDescent="0.25" r="23" customHeight="1" ht="18.75">
      <c r="A23" s="73" t="s">
        <v>125</v>
      </c>
      <c r="B23" s="74"/>
      <c r="C23" s="74"/>
      <c r="D23" s="68" t="s">
        <v>105</v>
      </c>
      <c r="E23" s="1"/>
      <c r="F23" s="68" t="s">
        <v>105</v>
      </c>
      <c r="G23" s="68" t="s">
        <v>105</v>
      </c>
      <c r="H23" s="1"/>
      <c r="I23" s="68" t="s">
        <v>105</v>
      </c>
      <c r="J23" s="68" t="s">
        <v>105</v>
      </c>
      <c r="K23" s="75">
        <f>COUNTA(D23:J23)</f>
      </c>
      <c r="L23" s="76">
        <f>IF(K23&gt;=$N$4,$O$4,IF(K23&gt;=$N$3,$O$3,"Não Aplica"))</f>
      </c>
      <c r="M23" s="1"/>
      <c r="N23" s="14"/>
      <c r="O23" s="1"/>
    </row>
    <row x14ac:dyDescent="0.25" r="24" customHeight="1" ht="18.75">
      <c r="A24" s="73" t="s">
        <v>126</v>
      </c>
      <c r="B24" s="74"/>
      <c r="C24" s="74"/>
      <c r="D24" s="68" t="s">
        <v>105</v>
      </c>
      <c r="E24" s="68" t="s">
        <v>105</v>
      </c>
      <c r="F24" s="68" t="s">
        <v>105</v>
      </c>
      <c r="G24" s="68" t="s">
        <v>105</v>
      </c>
      <c r="H24" s="1"/>
      <c r="I24" s="1"/>
      <c r="J24" s="68" t="s">
        <v>105</v>
      </c>
      <c r="K24" s="75">
        <f>COUNTA(D24:J24)</f>
      </c>
      <c r="L24" s="76">
        <f>IF(K24&gt;=$N$4,$O$4,IF(K24&gt;=$N$3,$O$3,"Não Aplica"))</f>
      </c>
      <c r="M24" s="1"/>
      <c r="N24" s="14"/>
      <c r="O24" s="1"/>
    </row>
    <row x14ac:dyDescent="0.25" r="25" customHeight="1" ht="18.75">
      <c r="A25" s="73" t="s">
        <v>127</v>
      </c>
      <c r="B25" s="74"/>
      <c r="C25" s="74"/>
      <c r="D25" s="68" t="s">
        <v>105</v>
      </c>
      <c r="E25" s="68" t="s">
        <v>105</v>
      </c>
      <c r="F25" s="68" t="s">
        <v>105</v>
      </c>
      <c r="G25" s="68" t="s">
        <v>105</v>
      </c>
      <c r="H25" s="1"/>
      <c r="I25" s="68" t="s">
        <v>105</v>
      </c>
      <c r="J25" s="68" t="s">
        <v>105</v>
      </c>
      <c r="K25" s="75">
        <f>COUNTA(D25:J25)</f>
      </c>
      <c r="L25" s="76">
        <f>IF(K25&gt;=$N$4,$O$4,IF(K25&gt;=$N$3,$O$3,"Não Aplica"))</f>
      </c>
      <c r="M25" s="1"/>
      <c r="N25" s="14"/>
      <c r="O25" s="1"/>
    </row>
    <row x14ac:dyDescent="0.25" r="26" customHeight="1" ht="18.75">
      <c r="A26" s="73" t="s">
        <v>128</v>
      </c>
      <c r="B26" s="74"/>
      <c r="C26" s="74"/>
      <c r="D26" s="68" t="s">
        <v>105</v>
      </c>
      <c r="E26" s="68" t="s">
        <v>105</v>
      </c>
      <c r="F26" s="68" t="s">
        <v>105</v>
      </c>
      <c r="G26" s="68" t="s">
        <v>105</v>
      </c>
      <c r="H26" s="1"/>
      <c r="I26" s="1"/>
      <c r="J26" s="68" t="s">
        <v>105</v>
      </c>
      <c r="K26" s="75">
        <f>COUNTA(D26:J26)</f>
      </c>
      <c r="L26" s="76">
        <f>IF(K26&gt;=$N$4,$O$4,IF(K26&gt;=$N$3,$O$3,"Não Aplica"))</f>
      </c>
      <c r="M26" s="1"/>
      <c r="N26" s="14"/>
      <c r="O26" s="1"/>
    </row>
    <row x14ac:dyDescent="0.25" r="27" customHeight="1" ht="18.75">
      <c r="A27" s="73" t="s">
        <v>129</v>
      </c>
      <c r="B27" s="1"/>
      <c r="C27" s="1"/>
      <c r="D27" s="1"/>
      <c r="E27" s="1"/>
      <c r="F27" s="1"/>
      <c r="G27" s="1"/>
      <c r="H27" s="1"/>
      <c r="I27" s="1"/>
      <c r="J27" s="1"/>
      <c r="K27" s="14"/>
      <c r="L27" s="1"/>
      <c r="M27" s="1"/>
      <c r="N27" s="14"/>
      <c r="O27" s="1"/>
    </row>
    <row x14ac:dyDescent="0.25" r="28" customHeight="1" ht="18.75">
      <c r="A28" s="73" t="s">
        <v>130</v>
      </c>
      <c r="B28" s="1"/>
      <c r="C28" s="1"/>
      <c r="D28" s="1"/>
      <c r="E28" s="1"/>
      <c r="F28" s="1"/>
      <c r="G28" s="1"/>
      <c r="H28" s="1"/>
      <c r="I28" s="1"/>
      <c r="J28" s="1"/>
      <c r="K28" s="14"/>
      <c r="L28" s="1"/>
      <c r="M28" s="1"/>
      <c r="N28" s="14"/>
      <c r="O28" s="1"/>
    </row>
    <row x14ac:dyDescent="0.25" r="29" customHeight="1" ht="18.75">
      <c r="A29" s="73" t="s">
        <v>131</v>
      </c>
      <c r="B29" s="1"/>
      <c r="C29" s="1"/>
      <c r="D29" s="1"/>
      <c r="E29" s="1"/>
      <c r="F29" s="1"/>
      <c r="G29" s="1"/>
      <c r="H29" s="1"/>
      <c r="I29" s="1"/>
      <c r="J29" s="1"/>
      <c r="K29" s="14"/>
      <c r="L29" s="1"/>
      <c r="M29" s="1"/>
      <c r="N29" s="14"/>
      <c r="O29" s="1"/>
    </row>
    <row x14ac:dyDescent="0.25" r="30" customHeight="1" ht="18.75">
      <c r="A30" s="73" t="s">
        <v>132</v>
      </c>
      <c r="B30" s="1"/>
      <c r="C30" s="1"/>
      <c r="D30" s="1"/>
      <c r="E30" s="1"/>
      <c r="F30" s="1"/>
      <c r="G30" s="1"/>
      <c r="H30" s="1"/>
      <c r="I30" s="1"/>
      <c r="J30" s="1"/>
      <c r="K30" s="14"/>
      <c r="L30" s="1"/>
      <c r="M30" s="1"/>
      <c r="N30" s="14"/>
      <c r="O30" s="1"/>
    </row>
    <row x14ac:dyDescent="0.25" r="31" customHeight="1" ht="18.75">
      <c r="A31" s="73" t="s">
        <v>133</v>
      </c>
      <c r="B31" s="1"/>
      <c r="C31" s="1"/>
      <c r="D31" s="1"/>
      <c r="E31" s="1"/>
      <c r="F31" s="1"/>
      <c r="G31" s="1"/>
      <c r="H31" s="1"/>
      <c r="I31" s="1"/>
      <c r="J31" s="1"/>
      <c r="K31" s="14"/>
      <c r="L31" s="1"/>
      <c r="M31" s="1"/>
      <c r="N31" s="14"/>
      <c r="O31" s="1"/>
    </row>
    <row x14ac:dyDescent="0.25" r="32" customHeight="1" ht="18.75">
      <c r="A32" s="73" t="s">
        <v>134</v>
      </c>
      <c r="B32" s="1"/>
      <c r="C32" s="1"/>
      <c r="D32" s="1"/>
      <c r="E32" s="1"/>
      <c r="F32" s="1"/>
      <c r="G32" s="1"/>
      <c r="H32" s="1"/>
      <c r="I32" s="1"/>
      <c r="J32" s="1"/>
      <c r="K32" s="14"/>
      <c r="L32" s="1"/>
      <c r="M32" s="1"/>
      <c r="N32" s="14"/>
      <c r="O32" s="1"/>
    </row>
    <row x14ac:dyDescent="0.25" r="33" customHeight="1" ht="18.75">
      <c r="A33" s="73" t="s">
        <v>135</v>
      </c>
      <c r="B33" s="1"/>
      <c r="C33" s="1"/>
      <c r="D33" s="1"/>
      <c r="E33" s="1"/>
      <c r="F33" s="1"/>
      <c r="G33" s="1"/>
      <c r="H33" s="1"/>
      <c r="I33" s="1"/>
      <c r="J33" s="1"/>
      <c r="K33" s="14"/>
      <c r="L33" s="1"/>
      <c r="M33" s="1"/>
      <c r="N33" s="14"/>
      <c r="O33" s="1"/>
    </row>
    <row x14ac:dyDescent="0.25" r="34" customHeight="1" ht="18.75">
      <c r="A34" s="73" t="s">
        <v>122</v>
      </c>
      <c r="B34" s="1"/>
      <c r="C34" s="1"/>
      <c r="D34" s="1"/>
      <c r="E34" s="1"/>
      <c r="F34" s="1"/>
      <c r="G34" s="1"/>
      <c r="H34" s="1"/>
      <c r="I34" s="1"/>
      <c r="J34" s="1"/>
      <c r="K34" s="14"/>
      <c r="L34" s="1"/>
      <c r="M34" s="1"/>
      <c r="N34" s="14"/>
      <c r="O34" s="1"/>
    </row>
    <row x14ac:dyDescent="0.25" r="35" customHeight="1" ht="18.75">
      <c r="A35" s="73" t="s">
        <v>136</v>
      </c>
      <c r="B35" s="1"/>
      <c r="C35" s="1"/>
      <c r="D35" s="1"/>
      <c r="E35" s="1"/>
      <c r="F35" s="1"/>
      <c r="G35" s="1"/>
      <c r="H35" s="1"/>
      <c r="I35" s="1"/>
      <c r="J35" s="1"/>
      <c r="K35" s="14"/>
      <c r="L35" s="1"/>
      <c r="M35" s="1"/>
      <c r="N35" s="14"/>
      <c r="O35" s="1"/>
    </row>
    <row x14ac:dyDescent="0.25" r="36" customHeight="1" ht="18.75">
      <c r="A36" s="73" t="s">
        <v>137</v>
      </c>
      <c r="B36" s="1"/>
      <c r="C36" s="1"/>
      <c r="D36" s="1"/>
      <c r="E36" s="1"/>
      <c r="F36" s="1"/>
      <c r="G36" s="1"/>
      <c r="H36" s="1"/>
      <c r="I36" s="1"/>
      <c r="J36" s="1"/>
      <c r="K36" s="14"/>
      <c r="L36" s="1"/>
      <c r="M36" s="1"/>
      <c r="N36" s="14"/>
      <c r="O36" s="1"/>
    </row>
    <row x14ac:dyDescent="0.25" r="37" customHeight="1" ht="18.75">
      <c r="A37" s="73" t="s">
        <v>121</v>
      </c>
      <c r="B37" s="1"/>
      <c r="C37" s="1"/>
      <c r="D37" s="1"/>
      <c r="E37" s="1"/>
      <c r="F37" s="1"/>
      <c r="G37" s="1"/>
      <c r="H37" s="1"/>
      <c r="I37" s="1"/>
      <c r="J37" s="1"/>
      <c r="K37" s="14"/>
      <c r="L37" s="1"/>
      <c r="M37" s="1"/>
      <c r="N37" s="14"/>
      <c r="O37" s="1"/>
    </row>
    <row x14ac:dyDescent="0.25" r="38" customHeight="1" ht="18.75">
      <c r="A38" s="73" t="s">
        <v>138</v>
      </c>
      <c r="B38" s="1"/>
      <c r="C38" s="1"/>
      <c r="D38" s="1"/>
      <c r="E38" s="1"/>
      <c r="F38" s="1"/>
      <c r="G38" s="1"/>
      <c r="H38" s="1"/>
      <c r="I38" s="1"/>
      <c r="J38" s="1"/>
      <c r="K38" s="14"/>
      <c r="L38" s="1"/>
      <c r="M38" s="1"/>
      <c r="N38" s="14"/>
      <c r="O38" s="1"/>
    </row>
    <row x14ac:dyDescent="0.25" r="39" customHeight="1" ht="18.75">
      <c r="A39" s="73" t="s">
        <v>139</v>
      </c>
      <c r="B39" s="1"/>
      <c r="C39" s="1"/>
      <c r="D39" s="1"/>
      <c r="E39" s="1"/>
      <c r="F39" s="1"/>
      <c r="G39" s="1"/>
      <c r="H39" s="1"/>
      <c r="I39" s="1"/>
      <c r="J39" s="1"/>
      <c r="K39" s="14"/>
      <c r="L39" s="1"/>
      <c r="M39" s="1"/>
      <c r="N39" s="14"/>
      <c r="O39" s="1"/>
    </row>
    <row x14ac:dyDescent="0.25" r="40" customHeight="1" ht="18.75">
      <c r="A40" s="73" t="s">
        <v>140</v>
      </c>
      <c r="B40" s="1"/>
      <c r="C40" s="1"/>
      <c r="D40" s="1"/>
      <c r="E40" s="1"/>
      <c r="F40" s="1"/>
      <c r="G40" s="1"/>
      <c r="H40" s="1"/>
      <c r="I40" s="1"/>
      <c r="J40" s="1"/>
      <c r="K40" s="14"/>
      <c r="L40" s="1"/>
      <c r="M40" s="1"/>
      <c r="N40" s="14"/>
      <c r="O40" s="1"/>
    </row>
    <row x14ac:dyDescent="0.25" r="41" customHeight="1" ht="18.75">
      <c r="A41" s="73" t="s">
        <v>141</v>
      </c>
      <c r="B41" s="1"/>
      <c r="C41" s="1"/>
      <c r="D41" s="1"/>
      <c r="E41" s="1"/>
      <c r="F41" s="1"/>
      <c r="G41" s="1"/>
      <c r="H41" s="1"/>
      <c r="I41" s="1"/>
      <c r="J41" s="1"/>
      <c r="K41" s="14"/>
      <c r="L41" s="1"/>
      <c r="M41" s="1"/>
      <c r="N41" s="14"/>
      <c r="O41" s="1"/>
    </row>
    <row x14ac:dyDescent="0.25" r="42" customHeight="1" ht="18.75">
      <c r="A42" s="73" t="s">
        <v>142</v>
      </c>
      <c r="B42" s="1"/>
      <c r="C42" s="1"/>
      <c r="D42" s="1"/>
      <c r="E42" s="1"/>
      <c r="F42" s="1"/>
      <c r="G42" s="1"/>
      <c r="H42" s="1"/>
      <c r="I42" s="1"/>
      <c r="J42" s="1"/>
      <c r="K42" s="14"/>
      <c r="L42" s="1"/>
      <c r="M42" s="1"/>
      <c r="N42" s="14"/>
      <c r="O42" s="1"/>
    </row>
    <row x14ac:dyDescent="0.25" r="43" customHeight="1" ht="18.75">
      <c r="A43" s="73" t="s">
        <v>143</v>
      </c>
      <c r="B43" s="1"/>
      <c r="C43" s="1"/>
      <c r="D43" s="1"/>
      <c r="E43" s="1"/>
      <c r="F43" s="1"/>
      <c r="G43" s="1"/>
      <c r="H43" s="1"/>
      <c r="I43" s="1"/>
      <c r="J43" s="1"/>
      <c r="K43" s="14"/>
      <c r="L43" s="1"/>
      <c r="M43" s="1"/>
      <c r="N43" s="14"/>
      <c r="O43" s="1"/>
    </row>
    <row x14ac:dyDescent="0.25" r="44" customHeight="1" ht="18.75">
      <c r="A44" s="73" t="s">
        <v>144</v>
      </c>
      <c r="B44" s="1"/>
      <c r="C44" s="1"/>
      <c r="D44" s="1"/>
      <c r="E44" s="1"/>
      <c r="F44" s="1"/>
      <c r="G44" s="1"/>
      <c r="H44" s="1"/>
      <c r="I44" s="1"/>
      <c r="J44" s="1"/>
      <c r="K44" s="14"/>
      <c r="L44" s="1"/>
      <c r="M44" s="1"/>
      <c r="N44" s="14"/>
      <c r="O44" s="1"/>
    </row>
    <row x14ac:dyDescent="0.25" r="45" customHeight="1" ht="18.75">
      <c r="A45" s="73" t="s">
        <v>145</v>
      </c>
      <c r="B45" s="1"/>
      <c r="C45" s="1"/>
      <c r="D45" s="1"/>
      <c r="E45" s="1"/>
      <c r="F45" s="1"/>
      <c r="G45" s="1"/>
      <c r="H45" s="1"/>
      <c r="I45" s="1"/>
      <c r="J45" s="1"/>
      <c r="K45" s="14"/>
      <c r="L45" s="1"/>
      <c r="M45" s="1"/>
      <c r="N45" s="14"/>
      <c r="O45" s="1"/>
    </row>
    <row x14ac:dyDescent="0.25" r="46" customHeight="1" ht="18.75">
      <c r="A46" s="73" t="s">
        <v>146</v>
      </c>
      <c r="B46" s="1"/>
      <c r="C46" s="1"/>
      <c r="D46" s="1"/>
      <c r="E46" s="1"/>
      <c r="F46" s="1"/>
      <c r="G46" s="1"/>
      <c r="H46" s="1"/>
      <c r="I46" s="1"/>
      <c r="J46" s="1"/>
      <c r="K46" s="14"/>
      <c r="L46" s="1"/>
      <c r="M46" s="1"/>
      <c r="N46" s="14"/>
      <c r="O46" s="1"/>
    </row>
    <row x14ac:dyDescent="0.25" r="47" customHeight="1" ht="18.75">
      <c r="A47" s="73" t="s">
        <v>147</v>
      </c>
      <c r="B47" s="1"/>
      <c r="C47" s="1"/>
      <c r="D47" s="1"/>
      <c r="E47" s="1"/>
      <c r="F47" s="1"/>
      <c r="G47" s="1"/>
      <c r="H47" s="1"/>
      <c r="I47" s="1"/>
      <c r="J47" s="1"/>
      <c r="K47" s="14"/>
      <c r="L47" s="1"/>
      <c r="M47" s="1"/>
      <c r="N47" s="14"/>
      <c r="O47" s="1"/>
    </row>
    <row x14ac:dyDescent="0.25" r="48" customHeight="1" ht="18.75">
      <c r="A48" s="73" t="s">
        <v>148</v>
      </c>
      <c r="B48" s="1"/>
      <c r="C48" s="1"/>
      <c r="D48" s="1"/>
      <c r="E48" s="1"/>
      <c r="F48" s="1"/>
      <c r="G48" s="1"/>
      <c r="H48" s="1"/>
      <c r="I48" s="1"/>
      <c r="J48" s="1"/>
      <c r="K48" s="14"/>
      <c r="L48" s="1"/>
      <c r="M48" s="1"/>
      <c r="N48" s="14"/>
      <c r="O48" s="1"/>
    </row>
    <row x14ac:dyDescent="0.25" r="49" customHeight="1" ht="18.75">
      <c r="A49" s="73" t="s">
        <v>128</v>
      </c>
      <c r="B49" s="1"/>
      <c r="C49" s="1"/>
      <c r="D49" s="1"/>
      <c r="E49" s="1"/>
      <c r="F49" s="1"/>
      <c r="G49" s="1"/>
      <c r="H49" s="1"/>
      <c r="I49" s="1"/>
      <c r="J49" s="1"/>
      <c r="K49" s="14"/>
      <c r="L49" s="1"/>
      <c r="M49" s="1"/>
      <c r="N49" s="14"/>
      <c r="O49" s="1"/>
    </row>
    <row x14ac:dyDescent="0.25" r="50" customHeight="1" ht="18.75">
      <c r="A50" s="73" t="s">
        <v>149</v>
      </c>
      <c r="B50" s="1"/>
      <c r="C50" s="1"/>
      <c r="D50" s="1"/>
      <c r="E50" s="1"/>
      <c r="F50" s="1"/>
      <c r="G50" s="1"/>
      <c r="H50" s="1"/>
      <c r="I50" s="1"/>
      <c r="J50" s="1"/>
      <c r="K50" s="14"/>
      <c r="L50" s="1"/>
      <c r="M50" s="1"/>
      <c r="N50" s="14"/>
      <c r="O50" s="1"/>
    </row>
    <row x14ac:dyDescent="0.25" r="51" customHeight="1" ht="18.75">
      <c r="A51" s="73" t="s">
        <v>150</v>
      </c>
      <c r="B51" s="1"/>
      <c r="C51" s="1"/>
      <c r="D51" s="1"/>
      <c r="E51" s="1"/>
      <c r="F51" s="1"/>
      <c r="G51" s="1"/>
      <c r="H51" s="1"/>
      <c r="I51" s="1"/>
      <c r="J51" s="1"/>
      <c r="K51" s="14"/>
      <c r="L51" s="1"/>
      <c r="M51" s="1"/>
      <c r="N51" s="14"/>
      <c r="O51" s="1"/>
    </row>
    <row x14ac:dyDescent="0.25" r="52" customHeight="1" ht="18.75">
      <c r="A52" s="73" t="s">
        <v>151</v>
      </c>
      <c r="B52" s="1"/>
      <c r="C52" s="1"/>
      <c r="D52" s="1"/>
      <c r="E52" s="1"/>
      <c r="F52" s="1"/>
      <c r="G52" s="1"/>
      <c r="H52" s="1"/>
      <c r="I52" s="1"/>
      <c r="J52" s="1"/>
      <c r="K52" s="14"/>
      <c r="L52" s="1"/>
      <c r="M52" s="1"/>
      <c r="N52" s="14"/>
      <c r="O5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G28"/>
  <sheetViews>
    <sheetView workbookViewId="0" tabSelected="1">
      <pane state="frozen" activePane="bottomLeft" topLeftCell="A3" ySplit="2" xSplit="0"/>
    </sheetView>
  </sheetViews>
  <sheetFormatPr defaultRowHeight="15" x14ac:dyDescent="0.25"/>
  <cols>
    <col min="1" max="1" style="2" width="13.576428571428572" customWidth="1" bestFit="1" hidden="1"/>
    <col min="2" max="2" style="2" width="13.576428571428572" customWidth="1" bestFit="1" hidden="1"/>
    <col min="3" max="3" style="63" width="13.576428571428572" customWidth="1" bestFit="1" hidden="1"/>
    <col min="4" max="4" style="64" width="13.576428571428572" customWidth="1" bestFit="1" hidden="1"/>
    <col min="5" max="5" style="64" width="13.576428571428572" customWidth="1" bestFit="1" hidden="1"/>
    <col min="6" max="6" style="2" width="13.576428571428572" customWidth="1" bestFit="1" hidden="1"/>
    <col min="7" max="7" style="65" width="32.57642857142857" customWidth="1" bestFit="1"/>
    <col min="8" max="8" style="64" width="11.43357142857143" customWidth="1" bestFit="1"/>
    <col min="9" max="9" style="64" width="11.43357142857143" customWidth="1" bestFit="1"/>
    <col min="10" max="10" style="64" width="11.43357142857143" customWidth="1" bestFit="1"/>
    <col min="11" max="11" style="64" width="11.43357142857143" customWidth="1" bestFit="1"/>
    <col min="12" max="12" style="64" width="11.43357142857143" customWidth="1" bestFit="1"/>
    <col min="13" max="13" style="64" width="11.43357142857143" customWidth="1" bestFit="1"/>
    <col min="14" max="14" style="64" width="11.43357142857143" customWidth="1" bestFit="1"/>
    <col min="15" max="15" style="64" width="11.43357142857143" customWidth="1" bestFit="1"/>
    <col min="16" max="16" style="66" width="15.147857142857141" customWidth="1" bestFit="1"/>
    <col min="17" max="17" style="64" width="11.576428571428572" customWidth="1" bestFit="1"/>
    <col min="18" max="18" style="64" width="11.576428571428572" customWidth="1" bestFit="1"/>
    <col min="19" max="19" style="66" width="15.147857142857141" customWidth="1" bestFit="1"/>
    <col min="20" max="20" style="64" width="11.719285714285713" customWidth="1" bestFit="1"/>
    <col min="21" max="21" style="64" width="11.719285714285713" customWidth="1" bestFit="1"/>
    <col min="22" max="22" style="64" width="11.43357142857143" customWidth="1" bestFit="1"/>
    <col min="23" max="23" style="64" width="11.43357142857143" customWidth="1" bestFit="1"/>
    <col min="24" max="24" style="64" width="11.43357142857143" customWidth="1" bestFit="1"/>
    <col min="25" max="25" style="2" width="13.576428571428572" customWidth="1" bestFit="1"/>
    <col min="26" max="26" style="2" width="17.14785714285714" customWidth="1" bestFit="1"/>
    <col min="27" max="27" style="2" width="8.719285714285713" customWidth="1" bestFit="1"/>
    <col min="28" max="28" style="65" width="9.576428571428572" customWidth="1" bestFit="1"/>
    <col min="29" max="29" style="2" width="27.719285714285714" customWidth="1" bestFit="1"/>
    <col min="30" max="30" style="2" width="44.43357142857143" customWidth="1" bestFit="1"/>
    <col min="31" max="31" style="2" width="29.719285714285714" customWidth="1" bestFit="1"/>
    <col min="32" max="32" style="2" width="17.862142857142857" customWidth="1" bestFit="1"/>
    <col min="33" max="33" style="2" width="18.576428571428572" customWidth="1" bestFit="1"/>
  </cols>
  <sheetData>
    <row x14ac:dyDescent="0.25" r="1" customHeight="1" ht="18.75">
      <c r="A1" s="1"/>
      <c r="B1" s="1" t="s">
        <v>3</v>
      </c>
      <c r="C1" s="3"/>
      <c r="D1" s="4"/>
      <c r="E1" s="4"/>
      <c r="F1" s="1"/>
      <c r="G1" s="5" t="s">
        <v>4</v>
      </c>
      <c r="H1" s="6" t="s">
        <v>5</v>
      </c>
      <c r="I1" s="7"/>
      <c r="J1" s="7"/>
      <c r="K1" s="8" t="s">
        <v>6</v>
      </c>
      <c r="L1" s="9"/>
      <c r="M1" s="9"/>
      <c r="N1" s="9"/>
      <c r="O1" s="9"/>
      <c r="P1" s="10"/>
      <c r="Q1" s="11" t="s">
        <v>7</v>
      </c>
      <c r="R1" s="11"/>
      <c r="S1" s="12"/>
      <c r="T1" s="11"/>
      <c r="U1" s="11"/>
      <c r="V1" s="11"/>
      <c r="W1" s="13" t="s">
        <v>8</v>
      </c>
      <c r="X1" s="13"/>
      <c r="Y1" s="1"/>
      <c r="Z1" s="1"/>
      <c r="AA1" s="1"/>
      <c r="AB1" s="14"/>
      <c r="AC1" s="1"/>
      <c r="AD1" s="1"/>
      <c r="AE1" s="1"/>
      <c r="AF1" s="1"/>
      <c r="AG1" s="1"/>
    </row>
    <row x14ac:dyDescent="0.25" r="2" customHeight="1" ht="18.75">
      <c r="A2" s="1"/>
      <c r="B2" s="15" t="s">
        <v>9</v>
      </c>
      <c r="C2" s="16" t="s">
        <v>10</v>
      </c>
      <c r="D2" s="16" t="s">
        <v>11</v>
      </c>
      <c r="E2" s="16" t="s">
        <v>12</v>
      </c>
      <c r="F2" s="1"/>
      <c r="G2" s="17" t="s">
        <v>13</v>
      </c>
      <c r="H2" s="16" t="s">
        <v>10</v>
      </c>
      <c r="I2" s="16" t="s">
        <v>11</v>
      </c>
      <c r="J2" s="16" t="s">
        <v>12</v>
      </c>
      <c r="K2" s="16" t="s">
        <v>14</v>
      </c>
      <c r="L2" s="16" t="s">
        <v>15</v>
      </c>
      <c r="M2" s="16" t="s">
        <v>16</v>
      </c>
      <c r="N2" s="16" t="s">
        <v>17</v>
      </c>
      <c r="O2" s="16" t="s">
        <v>18</v>
      </c>
      <c r="P2" s="18" t="s">
        <v>19</v>
      </c>
      <c r="Q2" s="16" t="s">
        <v>20</v>
      </c>
      <c r="R2" s="16" t="s">
        <v>21</v>
      </c>
      <c r="S2" s="18" t="s">
        <v>22</v>
      </c>
      <c r="T2" s="16" t="s">
        <v>23</v>
      </c>
      <c r="U2" s="16" t="s">
        <v>24</v>
      </c>
      <c r="V2" s="16" t="s">
        <v>25</v>
      </c>
      <c r="W2" s="19" t="s">
        <v>26</v>
      </c>
      <c r="X2" s="19" t="s">
        <v>27</v>
      </c>
      <c r="Y2" s="1"/>
      <c r="Z2" s="20" t="s">
        <v>28</v>
      </c>
      <c r="AA2" s="20" t="s">
        <v>29</v>
      </c>
      <c r="AB2" s="21" t="s">
        <v>30</v>
      </c>
      <c r="AC2" s="20" t="s">
        <v>31</v>
      </c>
      <c r="AD2" s="20" t="s">
        <v>32</v>
      </c>
      <c r="AE2" s="20" t="s">
        <v>33</v>
      </c>
      <c r="AF2" s="20" t="s">
        <v>34</v>
      </c>
      <c r="AG2" s="20" t="s">
        <v>35</v>
      </c>
    </row>
    <row x14ac:dyDescent="0.25" r="3" customHeight="1" ht="19.5">
      <c r="A3" s="1"/>
      <c r="B3" s="22" t="s">
        <v>36</v>
      </c>
      <c r="C3" s="23" t="s">
        <v>37</v>
      </c>
      <c r="D3" s="23" t="s">
        <v>37</v>
      </c>
      <c r="E3" s="23" t="s">
        <v>38</v>
      </c>
      <c r="F3" s="1"/>
      <c r="G3" s="24" t="s">
        <v>29</v>
      </c>
      <c r="H3" s="25" t="s">
        <v>39</v>
      </c>
      <c r="I3" s="25" t="s">
        <v>39</v>
      </c>
      <c r="J3" s="25" t="s">
        <v>39</v>
      </c>
      <c r="K3" s="26" t="s">
        <v>40</v>
      </c>
      <c r="L3" s="26" t="s">
        <v>40</v>
      </c>
      <c r="M3" s="26" t="s">
        <v>40</v>
      </c>
      <c r="N3" s="26" t="s">
        <v>40</v>
      </c>
      <c r="O3" s="26" t="s">
        <v>40</v>
      </c>
      <c r="P3" s="27" t="s">
        <v>40</v>
      </c>
      <c r="Q3" s="23" t="s">
        <v>40</v>
      </c>
      <c r="R3" s="23" t="s">
        <v>40</v>
      </c>
      <c r="S3" s="28" t="s">
        <v>40</v>
      </c>
      <c r="T3" s="23" t="s">
        <v>40</v>
      </c>
      <c r="U3" s="23" t="s">
        <v>40</v>
      </c>
      <c r="V3" s="23" t="s">
        <v>40</v>
      </c>
      <c r="W3" s="23" t="s">
        <v>39</v>
      </c>
      <c r="X3" s="23" t="s">
        <v>39</v>
      </c>
      <c r="Y3" s="1"/>
      <c r="Z3" s="20" t="s">
        <v>10</v>
      </c>
      <c r="AA3" s="29" t="s">
        <v>39</v>
      </c>
      <c r="AB3" s="30" t="s">
        <v>41</v>
      </c>
      <c r="AC3" s="29" t="s">
        <v>41</v>
      </c>
      <c r="AD3" s="29" t="s">
        <v>42</v>
      </c>
      <c r="AE3" s="29" t="s">
        <v>42</v>
      </c>
      <c r="AF3" s="29" t="s">
        <v>43</v>
      </c>
      <c r="AG3" s="29" t="s">
        <v>44</v>
      </c>
    </row>
    <row x14ac:dyDescent="0.25" r="4" customHeight="1" ht="19.5">
      <c r="A4" s="1"/>
      <c r="B4" s="22" t="s">
        <v>45</v>
      </c>
      <c r="C4" s="23" t="s">
        <v>38</v>
      </c>
      <c r="D4" s="23" t="s">
        <v>37</v>
      </c>
      <c r="E4" s="23" t="s">
        <v>37</v>
      </c>
      <c r="F4" s="1"/>
      <c r="G4" s="24" t="s">
        <v>30</v>
      </c>
      <c r="H4" s="26" t="s">
        <v>40</v>
      </c>
      <c r="I4" s="26" t="s">
        <v>40</v>
      </c>
      <c r="J4" s="26" t="s">
        <v>40</v>
      </c>
      <c r="K4" s="25" t="s">
        <v>46</v>
      </c>
      <c r="L4" s="25" t="s">
        <v>46</v>
      </c>
      <c r="M4" s="25" t="s">
        <v>46</v>
      </c>
      <c r="N4" s="31">
        <v>1</v>
      </c>
      <c r="O4" s="31">
        <v>1</v>
      </c>
      <c r="P4" s="31">
        <v>1</v>
      </c>
      <c r="Q4" s="23" t="s">
        <v>40</v>
      </c>
      <c r="R4" s="23" t="s">
        <v>40</v>
      </c>
      <c r="S4" s="28" t="s">
        <v>40</v>
      </c>
      <c r="T4" s="23" t="s">
        <v>40</v>
      </c>
      <c r="U4" s="23" t="s">
        <v>40</v>
      </c>
      <c r="V4" s="23" t="s">
        <v>40</v>
      </c>
      <c r="W4" s="23" t="s">
        <v>39</v>
      </c>
      <c r="X4" s="23" t="s">
        <v>39</v>
      </c>
      <c r="Y4" s="1"/>
      <c r="Z4" s="20" t="s">
        <v>11</v>
      </c>
      <c r="AA4" s="29" t="s">
        <v>39</v>
      </c>
      <c r="AB4" s="30" t="s">
        <v>41</v>
      </c>
      <c r="AC4" s="29" t="s">
        <v>41</v>
      </c>
      <c r="AD4" s="29" t="s">
        <v>42</v>
      </c>
      <c r="AE4" s="29" t="s">
        <v>39</v>
      </c>
      <c r="AF4" s="29" t="s">
        <v>43</v>
      </c>
      <c r="AG4" s="29" t="s">
        <v>44</v>
      </c>
    </row>
    <row x14ac:dyDescent="0.25" r="5" customHeight="1" ht="19.5">
      <c r="A5" s="1"/>
      <c r="B5" s="22" t="s">
        <v>47</v>
      </c>
      <c r="C5" s="23" t="s">
        <v>38</v>
      </c>
      <c r="D5" s="23" t="s">
        <v>38</v>
      </c>
      <c r="E5" s="23" t="s">
        <v>37</v>
      </c>
      <c r="F5" s="1"/>
      <c r="G5" s="24" t="s">
        <v>31</v>
      </c>
      <c r="H5" s="26" t="s">
        <v>40</v>
      </c>
      <c r="I5" s="26" t="s">
        <v>40</v>
      </c>
      <c r="J5" s="26" t="s">
        <v>40</v>
      </c>
      <c r="K5" s="26" t="s">
        <v>40</v>
      </c>
      <c r="L5" s="26" t="s">
        <v>40</v>
      </c>
      <c r="M5" s="26" t="s">
        <v>40</v>
      </c>
      <c r="N5" s="26" t="s">
        <v>40</v>
      </c>
      <c r="O5" s="26" t="s">
        <v>40</v>
      </c>
      <c r="P5" s="27" t="s">
        <v>40</v>
      </c>
      <c r="Q5" s="25" t="s">
        <v>48</v>
      </c>
      <c r="R5" s="25" t="s">
        <v>48</v>
      </c>
      <c r="S5" s="32" t="s">
        <v>48</v>
      </c>
      <c r="T5" s="25" t="s">
        <v>49</v>
      </c>
      <c r="U5" s="25" t="s">
        <v>49</v>
      </c>
      <c r="V5" s="25" t="s">
        <v>49</v>
      </c>
      <c r="W5" s="23" t="s">
        <v>39</v>
      </c>
      <c r="X5" s="23" t="s">
        <v>39</v>
      </c>
      <c r="Y5" s="1"/>
      <c r="Z5" s="20" t="s">
        <v>12</v>
      </c>
      <c r="AA5" s="29" t="s">
        <v>39</v>
      </c>
      <c r="AB5" s="30" t="s">
        <v>41</v>
      </c>
      <c r="AC5" s="29" t="s">
        <v>41</v>
      </c>
      <c r="AD5" s="29" t="s">
        <v>39</v>
      </c>
      <c r="AE5" s="29" t="s">
        <v>39</v>
      </c>
      <c r="AF5" s="29" t="s">
        <v>43</v>
      </c>
      <c r="AG5" s="29" t="s">
        <v>44</v>
      </c>
    </row>
    <row x14ac:dyDescent="0.25" r="6" customHeight="1" ht="19.5">
      <c r="A6" s="1"/>
      <c r="B6" s="22"/>
      <c r="C6" s="23"/>
      <c r="D6" s="23"/>
      <c r="E6" s="23"/>
      <c r="F6" s="1"/>
      <c r="G6" s="24" t="s">
        <v>50</v>
      </c>
      <c r="H6" s="26" t="s">
        <v>42</v>
      </c>
      <c r="I6" s="26" t="s">
        <v>42</v>
      </c>
      <c r="J6" s="25" t="s">
        <v>39</v>
      </c>
      <c r="K6" s="26" t="s">
        <v>42</v>
      </c>
      <c r="L6" s="26" t="s">
        <v>42</v>
      </c>
      <c r="M6" s="25" t="s">
        <v>39</v>
      </c>
      <c r="N6" s="26" t="s">
        <v>42</v>
      </c>
      <c r="O6" s="26" t="s">
        <v>42</v>
      </c>
      <c r="P6" s="32" t="s">
        <v>39</v>
      </c>
      <c r="Q6" s="23" t="s">
        <v>42</v>
      </c>
      <c r="R6" s="23" t="s">
        <v>42</v>
      </c>
      <c r="S6" s="32" t="s">
        <v>39</v>
      </c>
      <c r="T6" s="23" t="s">
        <v>42</v>
      </c>
      <c r="U6" s="23" t="s">
        <v>42</v>
      </c>
      <c r="V6" s="25" t="s">
        <v>39</v>
      </c>
      <c r="W6" s="23" t="s">
        <v>39</v>
      </c>
      <c r="X6" s="23" t="s">
        <v>39</v>
      </c>
      <c r="Y6" s="1"/>
      <c r="Z6" s="20" t="s">
        <v>14</v>
      </c>
      <c r="AA6" s="29" t="s">
        <v>41</v>
      </c>
      <c r="AB6" s="30" t="s">
        <v>46</v>
      </c>
      <c r="AC6" s="29" t="s">
        <v>41</v>
      </c>
      <c r="AD6" s="29" t="s">
        <v>42</v>
      </c>
      <c r="AE6" s="29" t="s">
        <v>42</v>
      </c>
      <c r="AF6" s="29" t="s">
        <v>43</v>
      </c>
      <c r="AG6" s="29" t="s">
        <v>44</v>
      </c>
    </row>
    <row x14ac:dyDescent="0.25" r="7" customHeight="1" ht="19.5">
      <c r="A7" s="1"/>
      <c r="B7" s="22"/>
      <c r="C7" s="23"/>
      <c r="D7" s="23"/>
      <c r="E7" s="23"/>
      <c r="F7" s="1"/>
      <c r="G7" s="24" t="s">
        <v>33</v>
      </c>
      <c r="H7" s="26" t="s">
        <v>42</v>
      </c>
      <c r="I7" s="25" t="s">
        <v>39</v>
      </c>
      <c r="J7" s="25" t="s">
        <v>39</v>
      </c>
      <c r="K7" s="26" t="s">
        <v>42</v>
      </c>
      <c r="L7" s="25" t="s">
        <v>39</v>
      </c>
      <c r="M7" s="25" t="s">
        <v>39</v>
      </c>
      <c r="N7" s="26" t="s">
        <v>42</v>
      </c>
      <c r="O7" s="25" t="s">
        <v>39</v>
      </c>
      <c r="P7" s="32" t="s">
        <v>39</v>
      </c>
      <c r="Q7" s="23" t="s">
        <v>42</v>
      </c>
      <c r="R7" s="25" t="s">
        <v>39</v>
      </c>
      <c r="S7" s="32" t="s">
        <v>39</v>
      </c>
      <c r="T7" s="23" t="s">
        <v>42</v>
      </c>
      <c r="U7" s="25" t="s">
        <v>39</v>
      </c>
      <c r="V7" s="25" t="s">
        <v>39</v>
      </c>
      <c r="W7" s="23" t="s">
        <v>39</v>
      </c>
      <c r="X7" s="23" t="s">
        <v>39</v>
      </c>
      <c r="Y7" s="1"/>
      <c r="Z7" s="20" t="s">
        <v>15</v>
      </c>
      <c r="AA7" s="29" t="s">
        <v>41</v>
      </c>
      <c r="AB7" s="30" t="s">
        <v>46</v>
      </c>
      <c r="AC7" s="29" t="s">
        <v>41</v>
      </c>
      <c r="AD7" s="29" t="s">
        <v>42</v>
      </c>
      <c r="AE7" s="29" t="s">
        <v>39</v>
      </c>
      <c r="AF7" s="29" t="s">
        <v>43</v>
      </c>
      <c r="AG7" s="29" t="s">
        <v>44</v>
      </c>
    </row>
    <row x14ac:dyDescent="0.25" r="8" customHeight="1" ht="19.5">
      <c r="A8" s="1"/>
      <c r="B8" s="33" t="s">
        <v>35</v>
      </c>
      <c r="C8" s="34" t="s">
        <v>51</v>
      </c>
      <c r="D8" s="34" t="s">
        <v>51</v>
      </c>
      <c r="E8" s="34" t="s">
        <v>51</v>
      </c>
      <c r="F8" s="1"/>
      <c r="G8" s="24" t="s">
        <v>34</v>
      </c>
      <c r="H8" s="26" t="s">
        <v>43</v>
      </c>
      <c r="I8" s="26" t="s">
        <v>43</v>
      </c>
      <c r="J8" s="26" t="s">
        <v>43</v>
      </c>
      <c r="K8" s="26" t="s">
        <v>43</v>
      </c>
      <c r="L8" s="26" t="s">
        <v>43</v>
      </c>
      <c r="M8" s="26" t="s">
        <v>43</v>
      </c>
      <c r="N8" s="26" t="s">
        <v>43</v>
      </c>
      <c r="O8" s="26" t="s">
        <v>43</v>
      </c>
      <c r="P8" s="27" t="s">
        <v>43</v>
      </c>
      <c r="Q8" s="23" t="s">
        <v>43</v>
      </c>
      <c r="R8" s="23" t="s">
        <v>43</v>
      </c>
      <c r="S8" s="28" t="s">
        <v>43</v>
      </c>
      <c r="T8" s="23" t="s">
        <v>43</v>
      </c>
      <c r="U8" s="23" t="s">
        <v>43</v>
      </c>
      <c r="V8" s="23" t="s">
        <v>43</v>
      </c>
      <c r="W8" s="23" t="s">
        <v>52</v>
      </c>
      <c r="X8" s="23" t="s">
        <v>52</v>
      </c>
      <c r="Y8" s="1"/>
      <c r="Z8" s="20" t="s">
        <v>16</v>
      </c>
      <c r="AA8" s="29" t="s">
        <v>41</v>
      </c>
      <c r="AB8" s="30" t="s">
        <v>46</v>
      </c>
      <c r="AC8" s="29" t="s">
        <v>41</v>
      </c>
      <c r="AD8" s="29" t="s">
        <v>39</v>
      </c>
      <c r="AE8" s="29" t="s">
        <v>39</v>
      </c>
      <c r="AF8" s="29" t="s">
        <v>43</v>
      </c>
      <c r="AG8" s="29" t="s">
        <v>53</v>
      </c>
    </row>
    <row x14ac:dyDescent="0.25" r="9" customHeight="1" ht="19.5">
      <c r="A9" s="1"/>
      <c r="B9" s="1"/>
      <c r="C9" s="35"/>
      <c r="D9" s="35"/>
      <c r="E9" s="35"/>
      <c r="F9" s="1"/>
      <c r="G9" s="36" t="s">
        <v>35</v>
      </c>
      <c r="H9" s="34" t="s">
        <v>44</v>
      </c>
      <c r="I9" s="34" t="s">
        <v>44</v>
      </c>
      <c r="J9" s="37" t="s">
        <v>53</v>
      </c>
      <c r="K9" s="34" t="s">
        <v>44</v>
      </c>
      <c r="L9" s="34" t="s">
        <v>44</v>
      </c>
      <c r="M9" s="37" t="s">
        <v>53</v>
      </c>
      <c r="N9" s="34" t="s">
        <v>44</v>
      </c>
      <c r="O9" s="34" t="s">
        <v>44</v>
      </c>
      <c r="P9" s="38" t="s">
        <v>53</v>
      </c>
      <c r="Q9" s="34" t="s">
        <v>44</v>
      </c>
      <c r="R9" s="34" t="s">
        <v>44</v>
      </c>
      <c r="S9" s="38" t="s">
        <v>53</v>
      </c>
      <c r="T9" s="34" t="s">
        <v>44</v>
      </c>
      <c r="U9" s="34" t="s">
        <v>44</v>
      </c>
      <c r="V9" s="37" t="s">
        <v>53</v>
      </c>
      <c r="W9" s="34" t="s">
        <v>54</v>
      </c>
      <c r="X9" s="34" t="s">
        <v>54</v>
      </c>
      <c r="Y9" s="1"/>
      <c r="Z9" s="20" t="s">
        <v>17</v>
      </c>
      <c r="AA9" s="29" t="s">
        <v>41</v>
      </c>
      <c r="AB9" s="30">
        <v>1</v>
      </c>
      <c r="AC9" s="29" t="s">
        <v>41</v>
      </c>
      <c r="AD9" s="29" t="s">
        <v>42</v>
      </c>
      <c r="AE9" s="29" t="s">
        <v>42</v>
      </c>
      <c r="AF9" s="29" t="s">
        <v>43</v>
      </c>
      <c r="AG9" s="29" t="s">
        <v>44</v>
      </c>
    </row>
    <row x14ac:dyDescent="0.25" r="10" customHeight="1" ht="19.5">
      <c r="A10" s="1"/>
      <c r="B10" s="39" t="s">
        <v>55</v>
      </c>
      <c r="C10" s="35"/>
      <c r="D10" s="35"/>
      <c r="E10" s="35"/>
      <c r="F10" s="1"/>
      <c r="G10" s="40" t="s">
        <v>56</v>
      </c>
      <c r="H10" s="41" t="s">
        <v>57</v>
      </c>
      <c r="I10" s="41" t="s">
        <v>57</v>
      </c>
      <c r="J10" s="41" t="s">
        <v>57</v>
      </c>
      <c r="K10" s="41" t="s">
        <v>57</v>
      </c>
      <c r="L10" s="41" t="s">
        <v>57</v>
      </c>
      <c r="M10" s="41" t="s">
        <v>57</v>
      </c>
      <c r="N10" s="41" t="s">
        <v>57</v>
      </c>
      <c r="O10" s="41" t="s">
        <v>57</v>
      </c>
      <c r="P10" s="42" t="s">
        <v>58</v>
      </c>
      <c r="Q10" s="41" t="s">
        <v>57</v>
      </c>
      <c r="R10" s="41" t="s">
        <v>57</v>
      </c>
      <c r="S10" s="42" t="s">
        <v>58</v>
      </c>
      <c r="T10" s="41" t="s">
        <v>57</v>
      </c>
      <c r="U10" s="41" t="s">
        <v>57</v>
      </c>
      <c r="V10" s="43" t="s">
        <v>59</v>
      </c>
      <c r="W10" s="43" t="s">
        <v>59</v>
      </c>
      <c r="X10" s="43" t="s">
        <v>59</v>
      </c>
      <c r="Y10" s="1"/>
      <c r="Z10" s="29" t="s">
        <v>18</v>
      </c>
      <c r="AA10" s="29" t="s">
        <v>41</v>
      </c>
      <c r="AB10" s="30">
        <v>1</v>
      </c>
      <c r="AC10" s="29" t="s">
        <v>41</v>
      </c>
      <c r="AD10" s="29" t="s">
        <v>42</v>
      </c>
      <c r="AE10" s="29" t="s">
        <v>39</v>
      </c>
      <c r="AF10" s="29" t="s">
        <v>43</v>
      </c>
      <c r="AG10" s="29" t="s">
        <v>44</v>
      </c>
    </row>
    <row x14ac:dyDescent="0.25" r="11" customHeight="1" ht="19.5">
      <c r="A11" s="1"/>
      <c r="B11" s="1" t="s">
        <v>60</v>
      </c>
      <c r="C11" s="35">
        <v>0</v>
      </c>
      <c r="D11" s="35">
        <v>0.03</v>
      </c>
      <c r="E11" s="35">
        <v>0.05</v>
      </c>
      <c r="F11" s="1"/>
      <c r="G11" s="14"/>
      <c r="H11" s="4"/>
      <c r="I11" s="4"/>
      <c r="J11" s="4"/>
      <c r="K11" s="4"/>
      <c r="L11" s="4"/>
      <c r="M11" s="4"/>
      <c r="N11" s="4"/>
      <c r="O11" s="4"/>
      <c r="P11" s="44"/>
      <c r="Q11" s="4"/>
      <c r="R11" s="4"/>
      <c r="S11" s="44"/>
      <c r="T11" s="4"/>
      <c r="U11" s="4"/>
      <c r="V11" s="4"/>
      <c r="W11" s="4"/>
      <c r="X11" s="4"/>
      <c r="Y11" s="1"/>
      <c r="Z11" s="29" t="s">
        <v>19</v>
      </c>
      <c r="AA11" s="29" t="s">
        <v>41</v>
      </c>
      <c r="AB11" s="30">
        <v>1</v>
      </c>
      <c r="AC11" s="29" t="s">
        <v>41</v>
      </c>
      <c r="AD11" s="29" t="s">
        <v>39</v>
      </c>
      <c r="AE11" s="29" t="s">
        <v>39</v>
      </c>
      <c r="AF11" s="29" t="s">
        <v>43</v>
      </c>
      <c r="AG11" s="29" t="s">
        <v>53</v>
      </c>
    </row>
    <row x14ac:dyDescent="0.25" r="12" customHeight="1" ht="19.5">
      <c r="A12" s="1"/>
      <c r="B12" s="1" t="s">
        <v>61</v>
      </c>
      <c r="C12" s="35">
        <v>0.01</v>
      </c>
      <c r="D12" s="35">
        <v>0.02</v>
      </c>
      <c r="E12" s="35">
        <v>0.04</v>
      </c>
      <c r="F12" s="1"/>
      <c r="G12" s="45" t="s">
        <v>62</v>
      </c>
      <c r="H12" s="46"/>
      <c r="I12" s="46"/>
      <c r="J12" s="46"/>
      <c r="K12" s="46"/>
      <c r="L12" s="46"/>
      <c r="M12" s="46"/>
      <c r="N12" s="46"/>
      <c r="O12" s="46"/>
      <c r="P12" s="47"/>
      <c r="Q12" s="46"/>
      <c r="R12" s="46"/>
      <c r="S12" s="47"/>
      <c r="T12" s="46"/>
      <c r="U12" s="46"/>
      <c r="V12" s="46"/>
      <c r="W12" s="48"/>
      <c r="X12" s="48"/>
      <c r="Y12" s="1"/>
      <c r="Z12" s="29" t="s">
        <v>20</v>
      </c>
      <c r="AA12" s="29" t="s">
        <v>41</v>
      </c>
      <c r="AB12" s="30" t="s">
        <v>41</v>
      </c>
      <c r="AC12" s="29" t="s">
        <v>48</v>
      </c>
      <c r="AD12" s="29" t="s">
        <v>42</v>
      </c>
      <c r="AE12" s="29" t="s">
        <v>42</v>
      </c>
      <c r="AF12" s="29" t="s">
        <v>43</v>
      </c>
      <c r="AG12" s="29" t="s">
        <v>44</v>
      </c>
    </row>
    <row x14ac:dyDescent="0.25" r="13" customHeight="1" ht="19.5">
      <c r="A13" s="1"/>
      <c r="B13" s="1" t="s">
        <v>63</v>
      </c>
      <c r="C13" s="35">
        <v>0.012</v>
      </c>
      <c r="D13" s="35">
        <v>0.012</v>
      </c>
      <c r="E13" s="35">
        <v>0.012</v>
      </c>
      <c r="F13" s="1"/>
      <c r="G13" s="49" t="s">
        <v>64</v>
      </c>
      <c r="H13" s="50">
        <v>0</v>
      </c>
      <c r="I13" s="50">
        <v>0.01</v>
      </c>
      <c r="J13" s="50">
        <v>0.01</v>
      </c>
      <c r="K13" s="50">
        <v>0</v>
      </c>
      <c r="L13" s="50">
        <v>0.01</v>
      </c>
      <c r="M13" s="50">
        <v>0.01</v>
      </c>
      <c r="N13" s="50">
        <v>0</v>
      </c>
      <c r="O13" s="50">
        <v>0.01</v>
      </c>
      <c r="P13" s="50">
        <v>0.03</v>
      </c>
      <c r="Q13" s="50">
        <v>0</v>
      </c>
      <c r="R13" s="50">
        <v>0.03</v>
      </c>
      <c r="S13" s="50">
        <v>0.03</v>
      </c>
      <c r="T13" s="50">
        <v>0</v>
      </c>
      <c r="U13" s="50">
        <v>0.03</v>
      </c>
      <c r="V13" s="50">
        <v>0.05</v>
      </c>
      <c r="W13" s="50">
        <v>0.05</v>
      </c>
      <c r="X13" s="50">
        <v>0.05</v>
      </c>
      <c r="Y13" s="1"/>
      <c r="Z13" s="29" t="s">
        <v>21</v>
      </c>
      <c r="AA13" s="29" t="s">
        <v>41</v>
      </c>
      <c r="AB13" s="30" t="s">
        <v>41</v>
      </c>
      <c r="AC13" s="29" t="s">
        <v>48</v>
      </c>
      <c r="AD13" s="29" t="s">
        <v>42</v>
      </c>
      <c r="AE13" s="29" t="s">
        <v>39</v>
      </c>
      <c r="AF13" s="29" t="s">
        <v>43</v>
      </c>
      <c r="AG13" s="29" t="s">
        <v>44</v>
      </c>
    </row>
    <row x14ac:dyDescent="0.25" r="14" customHeight="1" ht="19.5">
      <c r="A14" s="1"/>
      <c r="B14" s="1"/>
      <c r="C14" s="3"/>
      <c r="D14" s="4"/>
      <c r="E14" s="4"/>
      <c r="F14" s="1"/>
      <c r="G14" s="49" t="s">
        <v>65</v>
      </c>
      <c r="H14" s="50">
        <v>0.012</v>
      </c>
      <c r="I14" s="50">
        <v>0.012</v>
      </c>
      <c r="J14" s="50">
        <v>0.012</v>
      </c>
      <c r="K14" s="50">
        <v>0.012</v>
      </c>
      <c r="L14" s="50">
        <v>0.012</v>
      </c>
      <c r="M14" s="50">
        <v>0.012</v>
      </c>
      <c r="N14" s="50">
        <v>0.012</v>
      </c>
      <c r="O14" s="50">
        <v>0.012</v>
      </c>
      <c r="P14" s="50">
        <v>0.012</v>
      </c>
      <c r="Q14" s="50">
        <v>0.012</v>
      </c>
      <c r="R14" s="50">
        <v>0.012</v>
      </c>
      <c r="S14" s="50">
        <v>0.012</v>
      </c>
      <c r="T14" s="50">
        <v>0.012</v>
      </c>
      <c r="U14" s="50">
        <v>0.012</v>
      </c>
      <c r="V14" s="50">
        <v>0.012</v>
      </c>
      <c r="W14" s="50">
        <v>0</v>
      </c>
      <c r="X14" s="50">
        <v>0</v>
      </c>
      <c r="Y14" s="1"/>
      <c r="Z14" s="29" t="s">
        <v>22</v>
      </c>
      <c r="AA14" s="29" t="s">
        <v>41</v>
      </c>
      <c r="AB14" s="30" t="s">
        <v>41</v>
      </c>
      <c r="AC14" s="29" t="s">
        <v>48</v>
      </c>
      <c r="AD14" s="29" t="s">
        <v>39</v>
      </c>
      <c r="AE14" s="29" t="s">
        <v>39</v>
      </c>
      <c r="AF14" s="29" t="s">
        <v>43</v>
      </c>
      <c r="AG14" s="29" t="s">
        <v>53</v>
      </c>
    </row>
    <row x14ac:dyDescent="0.25" r="15" customHeight="1" ht="20.25">
      <c r="A15" s="1"/>
      <c r="B15" s="51" t="s">
        <v>66</v>
      </c>
      <c r="C15" s="25" t="s">
        <v>10</v>
      </c>
      <c r="D15" s="25" t="s">
        <v>11</v>
      </c>
      <c r="E15" s="25" t="s">
        <v>12</v>
      </c>
      <c r="F15" s="1"/>
      <c r="G15" s="49" t="s">
        <v>67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2" t="s">
        <v>68</v>
      </c>
      <c r="Q15" s="50">
        <v>0</v>
      </c>
      <c r="R15" s="50">
        <v>0</v>
      </c>
      <c r="S15" s="52" t="s">
        <v>68</v>
      </c>
      <c r="T15" s="50">
        <v>0</v>
      </c>
      <c r="U15" s="50">
        <v>0</v>
      </c>
      <c r="V15" s="50" t="s">
        <v>69</v>
      </c>
      <c r="W15" s="50" t="s">
        <v>69</v>
      </c>
      <c r="X15" s="50" t="s">
        <v>69</v>
      </c>
      <c r="Y15" s="1"/>
      <c r="Z15" s="29" t="s">
        <v>23</v>
      </c>
      <c r="AA15" s="29" t="s">
        <v>41</v>
      </c>
      <c r="AB15" s="30" t="s">
        <v>41</v>
      </c>
      <c r="AC15" s="29" t="s">
        <v>49</v>
      </c>
      <c r="AD15" s="29" t="s">
        <v>42</v>
      </c>
      <c r="AE15" s="29" t="s">
        <v>42</v>
      </c>
      <c r="AF15" s="29" t="s">
        <v>43</v>
      </c>
      <c r="AG15" s="29" t="s">
        <v>44</v>
      </c>
    </row>
    <row x14ac:dyDescent="0.25" r="16" customHeight="1" ht="19.5">
      <c r="A16" s="1"/>
      <c r="B16" s="22" t="s">
        <v>70</v>
      </c>
      <c r="C16" s="23" t="s">
        <v>37</v>
      </c>
      <c r="D16" s="23"/>
      <c r="E16" s="23"/>
      <c r="F16" s="1"/>
      <c r="G16" s="14"/>
      <c r="H16" s="4"/>
      <c r="I16" s="4"/>
      <c r="J16" s="4"/>
      <c r="K16" s="4"/>
      <c r="L16" s="4"/>
      <c r="M16" s="4"/>
      <c r="N16" s="4"/>
      <c r="O16" s="4"/>
      <c r="P16" s="44"/>
      <c r="Q16" s="4"/>
      <c r="R16" s="4"/>
      <c r="S16" s="44"/>
      <c r="T16" s="4"/>
      <c r="U16" s="4"/>
      <c r="V16" s="4"/>
      <c r="W16" s="4"/>
      <c r="X16" s="4"/>
      <c r="Y16" s="1"/>
      <c r="Z16" s="29" t="s">
        <v>24</v>
      </c>
      <c r="AA16" s="29" t="s">
        <v>41</v>
      </c>
      <c r="AB16" s="30" t="s">
        <v>41</v>
      </c>
      <c r="AC16" s="29" t="s">
        <v>49</v>
      </c>
      <c r="AD16" s="29" t="s">
        <v>42</v>
      </c>
      <c r="AE16" s="29" t="s">
        <v>39</v>
      </c>
      <c r="AF16" s="29" t="s">
        <v>43</v>
      </c>
      <c r="AG16" s="29" t="s">
        <v>44</v>
      </c>
    </row>
    <row x14ac:dyDescent="0.25" r="17" customHeight="1" ht="19.5">
      <c r="A17" s="1" t="s">
        <v>71</v>
      </c>
      <c r="B17" s="22" t="s">
        <v>72</v>
      </c>
      <c r="C17" s="23"/>
      <c r="D17" s="23"/>
      <c r="E17" s="23"/>
      <c r="F17" s="1"/>
      <c r="G17" s="53" t="s">
        <v>73</v>
      </c>
      <c r="H17" s="54"/>
      <c r="I17" s="54"/>
      <c r="J17" s="54"/>
      <c r="K17" s="54"/>
      <c r="L17" s="54"/>
      <c r="M17" s="54"/>
      <c r="N17" s="54"/>
      <c r="O17" s="54"/>
      <c r="P17" s="55"/>
      <c r="Q17" s="54"/>
      <c r="R17" s="54"/>
      <c r="S17" s="55"/>
      <c r="T17" s="54"/>
      <c r="U17" s="54"/>
      <c r="V17" s="54"/>
      <c r="W17" s="56"/>
      <c r="X17" s="56"/>
      <c r="Y17" s="1"/>
      <c r="Z17" s="29" t="s">
        <v>25</v>
      </c>
      <c r="AA17" s="29" t="s">
        <v>41</v>
      </c>
      <c r="AB17" s="30" t="s">
        <v>41</v>
      </c>
      <c r="AC17" s="29" t="s">
        <v>49</v>
      </c>
      <c r="AD17" s="29" t="s">
        <v>39</v>
      </c>
      <c r="AE17" s="29" t="s">
        <v>39</v>
      </c>
      <c r="AF17" s="29" t="s">
        <v>43</v>
      </c>
      <c r="AG17" s="29" t="s">
        <v>53</v>
      </c>
    </row>
    <row x14ac:dyDescent="0.25" r="18" customHeight="1" ht="19.5">
      <c r="A18" s="1" t="s">
        <v>74</v>
      </c>
      <c r="B18" s="22" t="s">
        <v>75</v>
      </c>
      <c r="C18" s="23"/>
      <c r="D18" s="23" t="s">
        <v>37</v>
      </c>
      <c r="E18" s="23"/>
      <c r="F18" s="1"/>
      <c r="G18" s="57">
        <v>1</v>
      </c>
      <c r="H18" s="50" t="s">
        <v>40</v>
      </c>
      <c r="I18" s="50" t="s">
        <v>40</v>
      </c>
      <c r="J18" s="50" t="s">
        <v>40</v>
      </c>
      <c r="K18" s="50" t="s">
        <v>40</v>
      </c>
      <c r="L18" s="50" t="s">
        <v>40</v>
      </c>
      <c r="M18" s="50" t="s">
        <v>40</v>
      </c>
      <c r="N18" s="50" t="s">
        <v>40</v>
      </c>
      <c r="O18" s="50" t="s">
        <v>40</v>
      </c>
      <c r="P18" s="58">
        <f>4%</f>
      </c>
      <c r="Q18" s="50" t="s">
        <v>40</v>
      </c>
      <c r="R18" s="50" t="s">
        <v>40</v>
      </c>
      <c r="S18" s="58">
        <f>4%</f>
      </c>
      <c r="T18" s="50" t="s">
        <v>40</v>
      </c>
      <c r="U18" s="50" t="s">
        <v>40</v>
      </c>
      <c r="V18" s="50" t="s">
        <v>40</v>
      </c>
      <c r="W18" s="50" t="s">
        <v>40</v>
      </c>
      <c r="X18" s="50" t="s">
        <v>40</v>
      </c>
      <c r="Y18" s="1"/>
      <c r="Z18" s="29" t="s">
        <v>26</v>
      </c>
      <c r="AA18" s="29" t="s">
        <v>39</v>
      </c>
      <c r="AB18" s="30" t="s">
        <v>39</v>
      </c>
      <c r="AC18" s="29" t="s">
        <v>39</v>
      </c>
      <c r="AD18" s="29" t="s">
        <v>39</v>
      </c>
      <c r="AE18" s="29" t="s">
        <v>39</v>
      </c>
      <c r="AF18" s="29" t="s">
        <v>52</v>
      </c>
      <c r="AG18" s="29" t="s">
        <v>54</v>
      </c>
    </row>
    <row x14ac:dyDescent="0.25" r="19" customHeight="1" ht="19.5">
      <c r="A19" s="1" t="s">
        <v>76</v>
      </c>
      <c r="B19" s="22" t="s">
        <v>77</v>
      </c>
      <c r="C19" s="23"/>
      <c r="D19" s="23"/>
      <c r="E19" s="23" t="s">
        <v>37</v>
      </c>
      <c r="F19" s="1"/>
      <c r="G19" s="57">
        <v>2</v>
      </c>
      <c r="H19" s="50" t="s">
        <v>40</v>
      </c>
      <c r="I19" s="50" t="s">
        <v>40</v>
      </c>
      <c r="J19" s="50" t="s">
        <v>40</v>
      </c>
      <c r="K19" s="50" t="s">
        <v>40</v>
      </c>
      <c r="L19" s="50" t="s">
        <v>40</v>
      </c>
      <c r="M19" s="50" t="s">
        <v>40</v>
      </c>
      <c r="N19" s="50" t="s">
        <v>40</v>
      </c>
      <c r="O19" s="50" t="s">
        <v>40</v>
      </c>
      <c r="P19" s="58">
        <v>0.05</v>
      </c>
      <c r="Q19" s="50" t="s">
        <v>40</v>
      </c>
      <c r="R19" s="50" t="s">
        <v>40</v>
      </c>
      <c r="S19" s="58">
        <v>0.05</v>
      </c>
      <c r="T19" s="50" t="s">
        <v>40</v>
      </c>
      <c r="U19" s="50" t="s">
        <v>40</v>
      </c>
      <c r="V19" s="50" t="s">
        <v>40</v>
      </c>
      <c r="W19" s="50" t="s">
        <v>40</v>
      </c>
      <c r="X19" s="50" t="s">
        <v>40</v>
      </c>
      <c r="Y19" s="1"/>
      <c r="Z19" s="29" t="s">
        <v>27</v>
      </c>
      <c r="AA19" s="29" t="s">
        <v>39</v>
      </c>
      <c r="AB19" s="30" t="s">
        <v>39</v>
      </c>
      <c r="AC19" s="29" t="s">
        <v>39</v>
      </c>
      <c r="AD19" s="29" t="s">
        <v>39</v>
      </c>
      <c r="AE19" s="29" t="s">
        <v>39</v>
      </c>
      <c r="AF19" s="29" t="s">
        <v>52</v>
      </c>
      <c r="AG19" s="29" t="s">
        <v>54</v>
      </c>
    </row>
    <row x14ac:dyDescent="0.25" r="20" customHeight="1" ht="18.75">
      <c r="A20" s="1" t="s">
        <v>78</v>
      </c>
      <c r="B20" s="1"/>
      <c r="C20" s="3"/>
      <c r="D20" s="4"/>
      <c r="E20" s="4"/>
      <c r="F20" s="1"/>
      <c r="G20" s="57">
        <v>3</v>
      </c>
      <c r="H20" s="50" t="s">
        <v>40</v>
      </c>
      <c r="I20" s="50" t="s">
        <v>40</v>
      </c>
      <c r="J20" s="50" t="s">
        <v>40</v>
      </c>
      <c r="K20" s="50" t="s">
        <v>40</v>
      </c>
      <c r="L20" s="50" t="s">
        <v>40</v>
      </c>
      <c r="M20" s="50" t="s">
        <v>40</v>
      </c>
      <c r="N20" s="50" t="s">
        <v>40</v>
      </c>
      <c r="O20" s="50" t="s">
        <v>40</v>
      </c>
      <c r="P20" s="58">
        <f>6%</f>
      </c>
      <c r="Q20" s="50" t="s">
        <v>40</v>
      </c>
      <c r="R20" s="50" t="s">
        <v>40</v>
      </c>
      <c r="S20" s="58">
        <f>6%</f>
      </c>
      <c r="T20" s="50" t="s">
        <v>40</v>
      </c>
      <c r="U20" s="50" t="s">
        <v>40</v>
      </c>
      <c r="V20" s="50" t="s">
        <v>40</v>
      </c>
      <c r="W20" s="50" t="s">
        <v>40</v>
      </c>
      <c r="X20" s="50" t="s">
        <v>40</v>
      </c>
      <c r="Y20" s="1"/>
      <c r="Z20" s="1"/>
      <c r="AA20" s="1"/>
      <c r="AB20" s="14"/>
      <c r="AC20" s="1"/>
      <c r="AD20" s="1"/>
      <c r="AE20" s="1"/>
      <c r="AF20" s="1"/>
      <c r="AG20" s="1"/>
    </row>
    <row x14ac:dyDescent="0.25" r="21" customHeight="1" ht="18.75">
      <c r="A21" s="1"/>
      <c r="B21" s="59" t="s">
        <v>79</v>
      </c>
      <c r="C21" s="25" t="s">
        <v>10</v>
      </c>
      <c r="D21" s="25" t="s">
        <v>11</v>
      </c>
      <c r="E21" s="25" t="s">
        <v>12</v>
      </c>
      <c r="F21" s="1"/>
      <c r="G21" s="57">
        <v>4</v>
      </c>
      <c r="H21" s="50" t="s">
        <v>40</v>
      </c>
      <c r="I21" s="50" t="s">
        <v>40</v>
      </c>
      <c r="J21" s="50" t="s">
        <v>40</v>
      </c>
      <c r="K21" s="50" t="s">
        <v>40</v>
      </c>
      <c r="L21" s="50" t="s">
        <v>40</v>
      </c>
      <c r="M21" s="50" t="s">
        <v>40</v>
      </c>
      <c r="N21" s="50" t="s">
        <v>40</v>
      </c>
      <c r="O21" s="50" t="s">
        <v>40</v>
      </c>
      <c r="P21" s="58">
        <v>0.07</v>
      </c>
      <c r="Q21" s="50" t="s">
        <v>40</v>
      </c>
      <c r="R21" s="50" t="s">
        <v>40</v>
      </c>
      <c r="S21" s="58">
        <v>0.07</v>
      </c>
      <c r="T21" s="50" t="s">
        <v>40</v>
      </c>
      <c r="U21" s="50" t="s">
        <v>40</v>
      </c>
      <c r="V21" s="50" t="s">
        <v>40</v>
      </c>
      <c r="W21" s="50" t="s">
        <v>40</v>
      </c>
      <c r="X21" s="50" t="s">
        <v>40</v>
      </c>
      <c r="Y21" s="1"/>
      <c r="Z21" s="1"/>
      <c r="AA21" s="1"/>
      <c r="AB21" s="14"/>
      <c r="AC21" s="1"/>
      <c r="AD21" s="1"/>
      <c r="AE21" s="1"/>
      <c r="AF21" s="1"/>
      <c r="AG21" s="1"/>
    </row>
    <row x14ac:dyDescent="0.25" r="22" customHeight="1" ht="18.75">
      <c r="A22" s="1"/>
      <c r="B22" s="22" t="s">
        <v>80</v>
      </c>
      <c r="C22" s="23" t="s">
        <v>37</v>
      </c>
      <c r="D22" s="23" t="s">
        <v>37</v>
      </c>
      <c r="E22" s="23" t="s">
        <v>37</v>
      </c>
      <c r="F22" s="1"/>
      <c r="G22" s="57">
        <v>5</v>
      </c>
      <c r="H22" s="50" t="s">
        <v>40</v>
      </c>
      <c r="I22" s="50" t="s">
        <v>40</v>
      </c>
      <c r="J22" s="50" t="s">
        <v>40</v>
      </c>
      <c r="K22" s="50" t="s">
        <v>40</v>
      </c>
      <c r="L22" s="50" t="s">
        <v>40</v>
      </c>
      <c r="M22" s="50" t="s">
        <v>40</v>
      </c>
      <c r="N22" s="50" t="s">
        <v>40</v>
      </c>
      <c r="O22" s="50" t="s">
        <v>40</v>
      </c>
      <c r="P22" s="58">
        <v>0.08</v>
      </c>
      <c r="Q22" s="50" t="s">
        <v>40</v>
      </c>
      <c r="R22" s="50" t="s">
        <v>40</v>
      </c>
      <c r="S22" s="58">
        <v>0.08</v>
      </c>
      <c r="T22" s="50" t="s">
        <v>40</v>
      </c>
      <c r="U22" s="50" t="s">
        <v>40</v>
      </c>
      <c r="V22" s="50" t="s">
        <v>40</v>
      </c>
      <c r="W22" s="50" t="s">
        <v>40</v>
      </c>
      <c r="X22" s="50" t="s">
        <v>40</v>
      </c>
      <c r="Y22" s="1"/>
      <c r="Z22" s="1"/>
      <c r="AA22" s="1"/>
      <c r="AB22" s="14"/>
      <c r="AC22" s="1"/>
      <c r="AD22" s="1"/>
      <c r="AE22" s="1"/>
      <c r="AF22" s="1"/>
      <c r="AG22" s="1"/>
    </row>
    <row x14ac:dyDescent="0.25" r="23" customHeight="1" ht="18.75">
      <c r="A23" s="1"/>
      <c r="B23" s="22" t="s">
        <v>81</v>
      </c>
      <c r="C23" s="23"/>
      <c r="D23" s="23"/>
      <c r="E23" s="23"/>
      <c r="F23" s="1"/>
      <c r="G23" s="57">
        <v>6</v>
      </c>
      <c r="H23" s="50" t="s">
        <v>40</v>
      </c>
      <c r="I23" s="50" t="s">
        <v>40</v>
      </c>
      <c r="J23" s="50" t="s">
        <v>40</v>
      </c>
      <c r="K23" s="50" t="s">
        <v>40</v>
      </c>
      <c r="L23" s="50" t="s">
        <v>40</v>
      </c>
      <c r="M23" s="50" t="s">
        <v>40</v>
      </c>
      <c r="N23" s="50" t="s">
        <v>40</v>
      </c>
      <c r="O23" s="50" t="s">
        <v>40</v>
      </c>
      <c r="P23" s="58">
        <v>0.09</v>
      </c>
      <c r="Q23" s="50" t="s">
        <v>40</v>
      </c>
      <c r="R23" s="50" t="s">
        <v>40</v>
      </c>
      <c r="S23" s="58">
        <v>0.09</v>
      </c>
      <c r="T23" s="50" t="s">
        <v>40</v>
      </c>
      <c r="U23" s="50" t="s">
        <v>40</v>
      </c>
      <c r="V23" s="50" t="s">
        <v>40</v>
      </c>
      <c r="W23" s="50" t="s">
        <v>40</v>
      </c>
      <c r="X23" s="50" t="s">
        <v>40</v>
      </c>
      <c r="Y23" s="1"/>
      <c r="Z23" s="1"/>
      <c r="AA23" s="1"/>
      <c r="AB23" s="14"/>
      <c r="AC23" s="1"/>
      <c r="AD23" s="1"/>
      <c r="AE23" s="1"/>
      <c r="AF23" s="1"/>
      <c r="AG23" s="1"/>
    </row>
    <row x14ac:dyDescent="0.25" r="24" customHeight="1" ht="18.75">
      <c r="A24" s="1"/>
      <c r="B24" s="22" t="s">
        <v>82</v>
      </c>
      <c r="C24" s="23"/>
      <c r="D24" s="23"/>
      <c r="E24" s="23" t="s">
        <v>37</v>
      </c>
      <c r="F24" s="1"/>
      <c r="G24" s="57">
        <v>7</v>
      </c>
      <c r="H24" s="50" t="s">
        <v>40</v>
      </c>
      <c r="I24" s="50" t="s">
        <v>40</v>
      </c>
      <c r="J24" s="50" t="s">
        <v>40</v>
      </c>
      <c r="K24" s="50" t="s">
        <v>40</v>
      </c>
      <c r="L24" s="50" t="s">
        <v>40</v>
      </c>
      <c r="M24" s="50" t="s">
        <v>40</v>
      </c>
      <c r="N24" s="50" t="s">
        <v>40</v>
      </c>
      <c r="O24" s="50" t="s">
        <v>40</v>
      </c>
      <c r="P24" s="58">
        <v>0.1</v>
      </c>
      <c r="Q24" s="50" t="s">
        <v>40</v>
      </c>
      <c r="R24" s="50" t="s">
        <v>40</v>
      </c>
      <c r="S24" s="58">
        <v>0.1</v>
      </c>
      <c r="T24" s="50" t="s">
        <v>40</v>
      </c>
      <c r="U24" s="50" t="s">
        <v>40</v>
      </c>
      <c r="V24" s="50" t="s">
        <v>40</v>
      </c>
      <c r="W24" s="50" t="s">
        <v>40</v>
      </c>
      <c r="X24" s="50" t="s">
        <v>40</v>
      </c>
      <c r="Y24" s="1"/>
      <c r="Z24" s="1"/>
      <c r="AA24" s="1"/>
      <c r="AB24" s="14"/>
      <c r="AC24" s="1"/>
      <c r="AD24" s="1"/>
      <c r="AE24" s="1"/>
      <c r="AF24" s="1"/>
      <c r="AG24" s="1"/>
    </row>
    <row x14ac:dyDescent="0.25" r="25" customHeight="1" ht="18.75">
      <c r="A25" s="1"/>
      <c r="B25" s="1" t="s">
        <v>83</v>
      </c>
      <c r="C25" s="35" t="s">
        <v>37</v>
      </c>
      <c r="D25" s="4"/>
      <c r="E25" s="4"/>
      <c r="F25" s="1"/>
      <c r="G25" s="14"/>
      <c r="H25" s="4"/>
      <c r="I25" s="4"/>
      <c r="J25" s="4"/>
      <c r="K25" s="4"/>
      <c r="L25" s="4"/>
      <c r="M25" s="4"/>
      <c r="N25" s="4"/>
      <c r="O25" s="4"/>
      <c r="P25" s="44"/>
      <c r="Q25" s="4"/>
      <c r="R25" s="4"/>
      <c r="S25" s="44"/>
      <c r="T25" s="4"/>
      <c r="U25" s="4"/>
      <c r="V25" s="4"/>
      <c r="W25" s="4"/>
      <c r="X25" s="4"/>
      <c r="Y25" s="1"/>
      <c r="Z25" s="1"/>
      <c r="AA25" s="1"/>
      <c r="AB25" s="14"/>
      <c r="AC25" s="1"/>
      <c r="AD25" s="1"/>
      <c r="AE25" s="1"/>
      <c r="AF25" s="1"/>
      <c r="AG25" s="1"/>
    </row>
    <row x14ac:dyDescent="0.25" r="26" customHeight="1" ht="18.75">
      <c r="A26" s="1"/>
      <c r="B26" s="1" t="s">
        <v>84</v>
      </c>
      <c r="C26" s="35" t="s">
        <v>37</v>
      </c>
      <c r="D26" s="4"/>
      <c r="E26" s="4"/>
      <c r="F26" s="1"/>
      <c r="G26" s="60" t="s">
        <v>85</v>
      </c>
      <c r="H26" s="61" t="s">
        <v>86</v>
      </c>
      <c r="I26" s="61" t="s">
        <v>54</v>
      </c>
      <c r="J26" s="61" t="s">
        <v>54</v>
      </c>
      <c r="K26" s="61" t="s">
        <v>86</v>
      </c>
      <c r="L26" s="61" t="s">
        <v>54</v>
      </c>
      <c r="M26" s="61" t="s">
        <v>54</v>
      </c>
      <c r="N26" s="61" t="s">
        <v>86</v>
      </c>
      <c r="O26" s="61" t="s">
        <v>54</v>
      </c>
      <c r="P26" s="58" t="s">
        <v>87</v>
      </c>
      <c r="Q26" s="50" t="s">
        <v>86</v>
      </c>
      <c r="R26" s="50" t="s">
        <v>54</v>
      </c>
      <c r="S26" s="58" t="s">
        <v>87</v>
      </c>
      <c r="T26" s="50" t="s">
        <v>86</v>
      </c>
      <c r="U26" s="50" t="s">
        <v>54</v>
      </c>
      <c r="V26" s="50" t="s">
        <v>87</v>
      </c>
      <c r="W26" s="62" t="s">
        <v>42</v>
      </c>
      <c r="X26" s="62" t="s">
        <v>42</v>
      </c>
      <c r="Y26" s="1"/>
      <c r="Z26" s="1"/>
      <c r="AA26" s="1"/>
      <c r="AB26" s="14"/>
      <c r="AC26" s="1"/>
      <c r="AD26" s="1"/>
      <c r="AE26" s="1"/>
      <c r="AF26" s="1"/>
      <c r="AG26" s="1"/>
    </row>
    <row x14ac:dyDescent="0.25" r="27" customHeight="1" ht="18.75">
      <c r="A27" s="1"/>
      <c r="B27" s="1" t="s">
        <v>88</v>
      </c>
      <c r="C27" s="35" t="s">
        <v>38</v>
      </c>
      <c r="D27" s="4"/>
      <c r="E27" s="4"/>
      <c r="F27" s="1"/>
      <c r="G27" s="14"/>
      <c r="H27" s="4"/>
      <c r="I27" s="4"/>
      <c r="J27" s="4"/>
      <c r="K27" s="4"/>
      <c r="L27" s="4"/>
      <c r="M27" s="4"/>
      <c r="N27" s="4"/>
      <c r="O27" s="4"/>
      <c r="P27" s="44"/>
      <c r="Q27" s="4"/>
      <c r="R27" s="4"/>
      <c r="S27" s="44"/>
      <c r="T27" s="4"/>
      <c r="U27" s="4"/>
      <c r="V27" s="4"/>
      <c r="W27" s="4"/>
      <c r="X27" s="4"/>
      <c r="Y27" s="1"/>
      <c r="Z27" s="1"/>
      <c r="AA27" s="1"/>
      <c r="AB27" s="14"/>
      <c r="AC27" s="1"/>
      <c r="AD27" s="1"/>
      <c r="AE27" s="1"/>
      <c r="AF27" s="1"/>
      <c r="AG27" s="1"/>
    </row>
    <row x14ac:dyDescent="0.25" r="28" customHeight="1" ht="18.75">
      <c r="A28" s="1"/>
      <c r="B28" s="1" t="s">
        <v>89</v>
      </c>
      <c r="C28" s="35" t="s">
        <v>38</v>
      </c>
      <c r="D28" s="4"/>
      <c r="E28" s="4"/>
      <c r="F28" s="1"/>
      <c r="G28" s="14"/>
      <c r="H28" s="4"/>
      <c r="I28" s="4"/>
      <c r="J28" s="4"/>
      <c r="K28" s="4"/>
      <c r="L28" s="4"/>
      <c r="M28" s="4"/>
      <c r="N28" s="4"/>
      <c r="O28" s="4"/>
      <c r="P28" s="44"/>
      <c r="Q28" s="4"/>
      <c r="R28" s="4"/>
      <c r="S28" s="44"/>
      <c r="T28" s="4"/>
      <c r="U28" s="4"/>
      <c r="V28" s="4"/>
      <c r="W28" s="4"/>
      <c r="X28" s="4"/>
      <c r="Y28" s="1"/>
      <c r="Z28" s="1"/>
      <c r="AA28" s="1"/>
      <c r="AB28" s="14"/>
      <c r="AC28" s="1"/>
      <c r="AD28" s="1"/>
      <c r="AE28" s="1"/>
      <c r="AF28" s="1"/>
      <c r="AG28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4"/>
  <sheetViews>
    <sheetView workbookViewId="0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/>
    </row>
    <row x14ac:dyDescent="0.25" r="2" customHeight="1" ht="18.75">
      <c r="A2" s="1" t="s">
        <v>0</v>
      </c>
    </row>
    <row x14ac:dyDescent="0.25" r="3" customHeight="1" ht="18.75">
      <c r="A3" s="1" t="s">
        <v>1</v>
      </c>
    </row>
    <row x14ac:dyDescent="0.25" r="4" customHeight="1" ht="18.75">
      <c r="A4" s="1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0DC75AC880204E940A83445D78A433" ma:contentTypeVersion="13" ma:contentTypeDescription="Crie um novo documento." ma:contentTypeScope="" ma:versionID="a81d93775684c5eb7ea4f52d305c47c2">
  <xsd:schema xmlns:xsd="http://www.w3.org/2001/XMLSchema" xmlns:xs="http://www.w3.org/2001/XMLSchema" xmlns:p="http://schemas.microsoft.com/office/2006/metadata/properties" xmlns:ns2="3bbbdcb8-5ab1-4d03-948d-fe2fe2e64a43" xmlns:ns3="2f0406ec-7473-4ce3-abf1-03faf44a1375" targetNamespace="http://schemas.microsoft.com/office/2006/metadata/properties" ma:root="true" ma:fieldsID="17260296a1f733bdb3f3d4a38fb21bec" ns2:_="" ns3:_="">
    <xsd:import namespace="3bbbdcb8-5ab1-4d03-948d-fe2fe2e64a43"/>
    <xsd:import namespace="2f0406ec-7473-4ce3-abf1-03faf44a1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bbdcb8-5ab1-4d03-948d-fe2fe2e64a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295c729-56d0-41ed-8165-91cf1a08fe0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0406ec-7473-4ce3-abf1-03faf44a1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3acc89c-5931-4550-82a7-38d670f4518c}" ma:internalName="TaxCatchAll" ma:showField="CatchAllData" ma:web="2f0406ec-7473-4ce3-abf1-03faf44a1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bbdcb8-5ab1-4d03-948d-fe2fe2e64a43">
      <Terms xmlns="http://schemas.microsoft.com/office/infopath/2007/PartnerControls"/>
    </lcf76f155ced4ddcb4097134ff3c332f>
    <TaxCatchAll xmlns="2f0406ec-7473-4ce3-abf1-03faf44a1375" xsi:nil="true"/>
  </documentManagement>
</p:properties>
</file>

<file path=customXml/itemProps1.xml><?xml version="1.0" encoding="utf-8"?>
<ds:datastoreItem xmlns:ds="http://schemas.openxmlformats.org/officeDocument/2006/customXml" ds:itemID="{C2CE939C-18CE-4AAF-B60E-198CAD78715B}"/>
</file>

<file path=customXml/itemProps2.xml><?xml version="1.0" encoding="utf-8"?>
<ds:datastoreItem xmlns:ds="http://schemas.openxmlformats.org/officeDocument/2006/customXml" ds:itemID="{DACB49B6-4883-4EF7-9DF5-9ADA0D94B612}"/>
</file>

<file path=customXml/itemProps3.xml><?xml version="1.0" encoding="utf-8"?>
<ds:datastoreItem xmlns:ds="http://schemas.openxmlformats.org/officeDocument/2006/customXml" ds:itemID="{3B29E624-6147-4ABF-94FB-1B2044D94C19}"/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REVENDA</vt:lpstr>
      <vt:lpstr>PCI</vt:lpstr>
      <vt:lpstr>Regras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2026-05-19T19:42:27Z</dcterms:created>
  <dcterms:modified xsi:type="dcterms:W3CDTF">2026-05-19T19:42:27Z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0x010100D30DC75AC880204E940A83445D78A433</vt:lpwstr>
  </property>
</Properties>
</file>