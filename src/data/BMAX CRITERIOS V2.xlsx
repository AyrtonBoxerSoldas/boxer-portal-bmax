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boxersoldasbr.sharepoint.com/sites/Dados/Documentos Compartilhados/Comercial/Geral/Estrategia/2026/Projeto BMax/Documentação/"/>
    </mc:Choice>
  </mc:AlternateContent>
  <xr:revisionPtr revIDLastSave="4193" documentId="13_ncr:1_{E573C9D8-EB2F-441A-B7D4-2AB6E37184ED}" xr6:coauthVersionLast="47" xr6:coauthVersionMax="47" xr10:uidLastSave="{A58D6BAE-8ED2-4347-8A50-ACAD459833AA}"/>
  <bookViews>
    <workbookView xWindow="-110" yWindow="-110" windowWidth="19420" windowHeight="10300" firstSheet="2" activeTab="5" xr2:uid="{0C9ECB74-2E90-4802-A965-35D5A6DA1262}"/>
  </bookViews>
  <sheets>
    <sheet name="PCI (versão 1)" sheetId="2" state="hidden" r:id="rId1"/>
    <sheet name="PCI Versão 2 (atual)" sheetId="12" r:id="rId2"/>
    <sheet name="REVENDA" sheetId="1" r:id="rId3"/>
    <sheet name="Proximos passos" sheetId="11" r:id="rId4"/>
    <sheet name="Evento Lançamento" sheetId="10" r:id="rId5"/>
    <sheet name="Representantes" sheetId="5" r:id="rId6"/>
    <sheet name="Regras" sheetId="3" r:id="rId7"/>
    <sheet name="Pontos de Melhoria" sheetId="6" r:id="rId8"/>
    <sheet name="Lista de Pendencias" sheetId="7" r:id="rId9"/>
    <sheet name="Playbook SDR" sheetId="8" r:id="rId10"/>
    <sheet name="Playbook V1, VT1 e VT2" sheetId="9" r:id="rId11"/>
  </sheets>
  <externalReferences>
    <externalReference r:id="rId12"/>
  </externalReferences>
  <definedNames>
    <definedName name="_xlnm._FilterDatabase" localSheetId="2" hidden="1">REVENDA!$C$2:$AA$83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8" i="12" l="1"/>
  <c r="V47" i="12"/>
  <c r="V46" i="12"/>
  <c r="V45" i="12"/>
  <c r="V44" i="12"/>
  <c r="V43" i="12"/>
  <c r="W48" i="12"/>
  <c r="W47" i="12"/>
  <c r="W46" i="12"/>
  <c r="W45" i="12"/>
  <c r="W44" i="12"/>
  <c r="W43" i="12"/>
  <c r="U48" i="12"/>
  <c r="U47" i="12"/>
  <c r="U46" i="12"/>
  <c r="U45" i="12"/>
  <c r="U44" i="12"/>
  <c r="U43" i="12"/>
  <c r="T48" i="12"/>
  <c r="T47" i="12"/>
  <c r="T46" i="12"/>
  <c r="T45" i="12"/>
  <c r="T44" i="12"/>
  <c r="T43" i="12"/>
  <c r="P48" i="12"/>
  <c r="P47" i="12"/>
  <c r="P46" i="12"/>
  <c r="P45" i="12"/>
  <c r="P44" i="12"/>
  <c r="P43" i="12"/>
  <c r="R48" i="12"/>
  <c r="R47" i="12"/>
  <c r="R46" i="12"/>
  <c r="R45" i="12"/>
  <c r="R44" i="12"/>
  <c r="R43" i="12"/>
  <c r="O48" i="12"/>
  <c r="O47" i="12"/>
  <c r="O46" i="12"/>
  <c r="O45" i="12"/>
  <c r="O44" i="12"/>
  <c r="O43" i="12"/>
  <c r="M48" i="12"/>
  <c r="M47" i="12"/>
  <c r="M46" i="12"/>
  <c r="M45" i="12"/>
  <c r="M44" i="12"/>
  <c r="M43" i="12"/>
  <c r="L48" i="12"/>
  <c r="L47" i="12"/>
  <c r="L46" i="12"/>
  <c r="L45" i="12"/>
  <c r="L44" i="12"/>
  <c r="L43" i="12"/>
  <c r="X37" i="2"/>
  <c r="W37" i="2"/>
  <c r="S37" i="2"/>
  <c r="X35" i="2"/>
  <c r="W35" i="2"/>
  <c r="S35" i="2"/>
  <c r="X23" i="2"/>
  <c r="W23" i="2"/>
  <c r="S23" i="2"/>
  <c r="X21" i="2"/>
  <c r="W21" i="2"/>
  <c r="S21" i="2"/>
  <c r="W28" i="2"/>
  <c r="X30" i="2"/>
  <c r="X28" i="2"/>
  <c r="D22" i="6"/>
  <c r="A3" i="1"/>
  <c r="G8" i="10"/>
  <c r="K8" i="10"/>
  <c r="F8" i="10"/>
  <c r="J8" i="10"/>
  <c r="L7" i="10"/>
  <c r="L6" i="10"/>
  <c r="L5" i="10"/>
  <c r="L4" i="10"/>
  <c r="B5" i="10"/>
  <c r="H7" i="10"/>
  <c r="Q83" i="1"/>
  <c r="Q78" i="1"/>
  <c r="R78" i="1" s="1"/>
  <c r="Q79" i="1"/>
  <c r="R79" i="1" s="1"/>
  <c r="Q80" i="1"/>
  <c r="R80" i="1" s="1"/>
  <c r="Q81" i="1"/>
  <c r="R81" i="1" s="1"/>
  <c r="Q82" i="1"/>
  <c r="R82" i="1" s="1"/>
  <c r="Q75" i="1"/>
  <c r="Q76" i="1"/>
  <c r="R76" i="1" s="1"/>
  <c r="Q77" i="1"/>
  <c r="R77" i="1" s="1"/>
  <c r="Q72" i="1"/>
  <c r="R72" i="1" s="1"/>
  <c r="Q73" i="1"/>
  <c r="R73" i="1" s="1"/>
  <c r="Q74" i="1"/>
  <c r="R74" i="1" s="1"/>
  <c r="B3" i="1" l="1"/>
  <c r="L8" i="10"/>
  <c r="R75" i="1"/>
  <c r="R83" i="1"/>
  <c r="Q71" i="1"/>
  <c r="R71" i="1" s="1"/>
  <c r="B9" i="10"/>
  <c r="B8" i="10"/>
  <c r="B7" i="10"/>
  <c r="B6" i="10"/>
  <c r="Q70" i="1"/>
  <c r="R70" i="1" s="1"/>
  <c r="Q69" i="1"/>
  <c r="R69" i="1" s="1"/>
  <c r="Q68" i="1"/>
  <c r="R68" i="1" s="1"/>
  <c r="Q67" i="1"/>
  <c r="R67" i="1" s="1"/>
  <c r="Q65" i="1"/>
  <c r="R65" i="1" s="1"/>
  <c r="Q64" i="1"/>
  <c r="R64" i="1" s="1"/>
  <c r="Q63" i="1"/>
  <c r="R63" i="1" s="1"/>
  <c r="Q62" i="1"/>
  <c r="R62" i="1" s="1"/>
  <c r="Q61" i="1"/>
  <c r="R61" i="1" s="1"/>
  <c r="Q60" i="1"/>
  <c r="R60" i="1" s="1"/>
  <c r="Q59" i="1"/>
  <c r="R59" i="1" s="1"/>
  <c r="Q58" i="1"/>
  <c r="R58" i="1" s="1"/>
  <c r="Q57" i="1"/>
  <c r="R57" i="1" s="1"/>
  <c r="Q56" i="1"/>
  <c r="R56" i="1" s="1"/>
  <c r="Q55" i="1"/>
  <c r="R55" i="1" s="1"/>
  <c r="Q54" i="1"/>
  <c r="R54" i="1" s="1"/>
  <c r="Q53" i="1"/>
  <c r="R53" i="1" s="1"/>
  <c r="Q52" i="1"/>
  <c r="R52" i="1" s="1"/>
  <c r="Q51" i="1"/>
  <c r="Q50" i="1"/>
  <c r="R50" i="1" s="1"/>
  <c r="Q49" i="1"/>
  <c r="R49" i="1" s="1"/>
  <c r="Q48" i="1"/>
  <c r="R48" i="1" s="1"/>
  <c r="Q47" i="1"/>
  <c r="Q46" i="1"/>
  <c r="Q45" i="1"/>
  <c r="R45" i="1" s="1"/>
  <c r="Q44" i="1"/>
  <c r="R44" i="1" s="1"/>
  <c r="Q39" i="1"/>
  <c r="R39" i="1" s="1"/>
  <c r="Q38" i="1"/>
  <c r="Q37" i="1"/>
  <c r="Q36" i="1"/>
  <c r="R36" i="1" s="1"/>
  <c r="Q35" i="1"/>
  <c r="Q34" i="1"/>
  <c r="Q33" i="1"/>
  <c r="Q32" i="1"/>
  <c r="Q31" i="1"/>
  <c r="R31" i="1" s="1"/>
  <c r="Q30" i="1"/>
  <c r="R30" i="1" s="1"/>
  <c r="Q29" i="1"/>
  <c r="R29" i="1" s="1"/>
  <c r="Q28" i="1"/>
  <c r="R28" i="1" s="1"/>
  <c r="Q27" i="1"/>
  <c r="R27" i="1" s="1"/>
  <c r="Q20" i="1"/>
  <c r="Q19" i="1"/>
  <c r="Q18" i="1"/>
  <c r="R18" i="1" s="1"/>
  <c r="Q17" i="1"/>
  <c r="Q16" i="1"/>
  <c r="Q15" i="1"/>
  <c r="Q14" i="1"/>
  <c r="Q13" i="1"/>
  <c r="Q12" i="1"/>
  <c r="R12" i="1" s="1"/>
  <c r="Q66" i="1"/>
  <c r="Q6" i="1"/>
  <c r="Q7" i="1"/>
  <c r="Q8" i="1"/>
  <c r="R8" i="1" s="1"/>
  <c r="Q9" i="1"/>
  <c r="R9" i="1" s="1"/>
  <c r="Q10" i="1"/>
  <c r="R10" i="1" s="1"/>
  <c r="Q11" i="1"/>
  <c r="R11" i="1" s="1"/>
  <c r="Q24" i="1"/>
  <c r="R24" i="1" s="1"/>
  <c r="Q25" i="1"/>
  <c r="Q43" i="1"/>
  <c r="Q26" i="1"/>
  <c r="Q21" i="1"/>
  <c r="Q40" i="1"/>
  <c r="Q41" i="1"/>
  <c r="R41" i="1" s="1"/>
  <c r="Q22" i="1"/>
  <c r="Q42" i="1"/>
  <c r="Q23" i="1"/>
  <c r="R23" i="1" s="1"/>
  <c r="Q3" i="1"/>
  <c r="Q4" i="1"/>
  <c r="Q5" i="1"/>
  <c r="R5" i="1" s="1"/>
  <c r="H6" i="10"/>
  <c r="H5" i="10"/>
  <c r="H4" i="10"/>
  <c r="W30" i="2"/>
  <c r="R25" i="1" l="1"/>
  <c r="R46" i="1"/>
  <c r="R47" i="1"/>
  <c r="R37" i="1"/>
  <c r="R38" i="1"/>
  <c r="R32" i="1"/>
  <c r="R33" i="1"/>
  <c r="R34" i="1"/>
  <c r="R35" i="1"/>
  <c r="R19" i="1"/>
  <c r="R20" i="1"/>
  <c r="R13" i="1"/>
  <c r="R14" i="1"/>
  <c r="R15" i="1"/>
  <c r="R16" i="1"/>
  <c r="R51" i="1"/>
  <c r="R26" i="1"/>
  <c r="R3" i="1"/>
  <c r="R66" i="1"/>
  <c r="R6" i="1"/>
  <c r="R7" i="1"/>
  <c r="R43" i="1"/>
  <c r="R21" i="1"/>
  <c r="R40" i="1"/>
  <c r="R22" i="1"/>
  <c r="R42" i="1"/>
  <c r="R17" i="1"/>
  <c r="R4" i="1"/>
  <c r="H8" i="10"/>
  <c r="B4" i="10" s="1"/>
  <c r="S30" i="2"/>
  <c r="S28" i="2"/>
  <c r="Y8" i="1" l="1"/>
  <c r="Z8" i="1"/>
  <c r="Y7" i="1"/>
  <c r="Z7" i="1"/>
  <c r="Z40" i="1"/>
  <c r="Y40" i="1"/>
  <c r="Z6" i="1"/>
  <c r="Y6" i="1"/>
  <c r="Z3" i="1"/>
  <c r="Y3" i="1"/>
  <c r="B10" i="10"/>
  <c r="B11" i="10" s="1"/>
  <c r="C4" i="10"/>
  <c r="C10" i="10" s="1"/>
  <c r="C11" i="10" s="1"/>
  <c r="Z4" i="1"/>
  <c r="Y4" i="1"/>
  <c r="Y5" i="1"/>
  <c r="Z5" i="1"/>
  <c r="AA8" i="1" l="1"/>
  <c r="AA7" i="1"/>
  <c r="AA6" i="1"/>
  <c r="AA3" i="1"/>
  <c r="AA40" i="1"/>
  <c r="Z1" i="1"/>
  <c r="AA4" i="1"/>
  <c r="AA5" i="1"/>
  <c r="AA1" i="1" l="1"/>
  <c r="Y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Adriel Costa</author>
    <author>tc={89319DB3-8BFE-4193-99A5-CDFEF89F9CF4}</author>
  </authors>
  <commentList>
    <comment ref="Y11" authorId="0" shapeId="0" xr:uid="{1B162AB4-1C89-4C72-933F-06DE03D026AD}">
      <text>
        <r>
          <rPr>
            <sz val="11"/>
            <color theme="1"/>
            <rFont val="Aptos Narrow"/>
            <family val="2"/>
            <scheme val="minor"/>
          </rPr>
          <t xml:space="preserve">Adriel Costa:
Representante Comercial Autônomo
</t>
        </r>
      </text>
    </comment>
    <comment ref="H16" authorId="1" shapeId="0" xr:uid="{89319DB3-8BFE-4193-99A5-CDFEF89F9CF4}">
      <text>
        <t>[Threaded comment]
Your version of Excel allows you to read this threaded comment; however, any edits to it will get removed if the file is opened in a newer version of Excel. Learn more: https://go.microsoft.com/fwlink/?linkid=870924
Comment:
    Tiramos o bonus e aumentamos comissão de modo geral!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tc={8805CA7B-3BAB-47D5-AB33-57CD47D997E2}</author>
  </authors>
  <commentList>
    <comment ref="H17" authorId="0" shapeId="0" xr:uid="{8805CA7B-3BAB-47D5-AB33-57CD47D9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Tiramos o bonus e aumentamos comissão de modo geral!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Adriel Costa</author>
    <author>tc={93A70D2E-7FC9-40E3-AE12-05E4560827C5}</author>
    <author>tc={DD72662E-2E01-4C3D-B4BB-AB651372C76B}</author>
    <author>tc={DACD211E-A27B-4E1C-B5EC-5E113774F016}</author>
    <author>tc={3888028D-053A-4386-94E4-888D641060D0}</author>
    <author>tc={EA7F04FE-4A84-432D-95C2-CB8A6B068A3E}</author>
  </authors>
  <commentList>
    <comment ref="G2" authorId="0" shapeId="0" xr:uid="{D579791F-B64D-4E33-B04C-DD69A89586E1}">
      <text>
        <r>
          <rPr>
            <sz val="11"/>
            <color theme="1"/>
            <rFont val="Aptos Narrow"/>
            <family val="2"/>
            <scheme val="minor"/>
          </rPr>
          <t>Adriel Costa:
Precisa possuir uma loja física, valorizando a recepção de clientes que consomem solda no próprio PDV</t>
        </r>
      </text>
    </comment>
    <comment ref="H2" authorId="0" shapeId="0" xr:uid="{168492FC-62F4-4461-A974-601B3DF41281}">
      <text>
        <r>
          <rPr>
            <sz val="11"/>
            <color theme="1"/>
            <rFont val="Aptos Narrow"/>
            <family val="2"/>
            <scheme val="minor"/>
          </rPr>
          <t xml:space="preserve">Adriel Costa:
Precisa possuir minimamente uma equipe (pode ser uma pessoa) que tem a capacidade e competência de: Demonstrar, realizar entrega técnica + total do que parcial das máquinas de solda, realizar a ponte com o suporte (SAC) caso necessário e participar de lives de lançamento de novos produtos para se manter sólido neste critério
Formas de medir: 
- registros realizando Desenv. ou E.T. - Enviar ao Rep.
- Lista de participação em lives de lançamento de produtos.
</t>
        </r>
      </text>
    </comment>
    <comment ref="I2" authorId="0" shapeId="0" xr:uid="{22C2A426-9C97-4F5E-971F-7BF9E45EC9CE}">
      <text>
        <r>
          <rPr>
            <sz val="11"/>
            <color theme="1"/>
            <rFont val="Aptos Narrow"/>
            <family val="2"/>
            <scheme val="minor"/>
          </rPr>
          <t>Adriel Costa:
Necessário registro de venda  de equipamentos industriais na própria industria (podendo ser Boxer ou não)</t>
        </r>
      </text>
    </comment>
    <comment ref="J2" authorId="0" shapeId="0" xr:uid="{DC446E15-F3F1-4F35-A50E-1373A33F9F75}">
      <text>
        <r>
          <rPr>
            <sz val="11"/>
            <color theme="1"/>
            <rFont val="Aptos Narrow"/>
            <family val="2"/>
            <scheme val="minor"/>
          </rPr>
          <t>Adriel Costa:
É necessário ter baias de produtos visíveis, gôndolas com produtos expostos.</t>
        </r>
      </text>
    </comment>
    <comment ref="M2" authorId="1" shapeId="0" xr:uid="{93A70D2E-7FC9-40E3-AE12-05E4560827C5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ser inadimplente nos ultimos 2 anos
Não ter ocorrencia no PMA nos ultimos 2 anos
Ter crescimento de vendas ano vs ano
Obrigatório atender todas as regras
Reply:
    Não ter ocorrência no PMA em 2026
(ara segunda etapa, ainda não válida neste momento:
Ter crescimento de vendas em relação 2025 à 2024</t>
      </text>
    </comment>
    <comment ref="O2" authorId="2" shapeId="0" xr:uid="{DD72662E-2E01-4C3D-B4BB-AB651372C76B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ser inadimplente nos ultimos 2 anos
Não ter ocorrencia no PMA nos ultimos 2 anos
Ter crescimento de vendas ano vs ano
Obrigatório atender todas as regras</t>
      </text>
    </comment>
    <comment ref="P2" authorId="3" shapeId="0" xr:uid="{DACD211E-A27B-4E1C-B5EC-5E113774F016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ser inadimplente nos ultimos 2 anos
Não ter ocorrencia no PMA nos ultimos 2 anos
Ter crescimento de vendas ano vs ano
Obrigatório atender todas as regras</t>
      </text>
    </comment>
    <comment ref="M7" authorId="0" shapeId="0" xr:uid="{9FE9288A-968D-4322-9267-2DEBB6CCA55F}">
      <text>
        <r>
          <rPr>
            <sz val="11"/>
            <color theme="1"/>
            <rFont val="Aptos Narrow"/>
            <family val="2"/>
            <scheme val="minor"/>
          </rPr>
          <t xml:space="preserve">Adriel Costa:
Tem ocorrência 1 em estar fora do PMA
</t>
        </r>
      </text>
    </comment>
    <comment ref="K14" authorId="0" shapeId="0" xr:uid="{0CEBCB2D-B001-4C65-8B98-11357477C400}">
      <text>
        <r>
          <rPr>
            <sz val="11"/>
            <color theme="1"/>
            <rFont val="Aptos Narrow"/>
            <family val="2"/>
            <scheme val="minor"/>
          </rPr>
          <t>Adriel Costa:
Não tem estrutura para A.T.</t>
        </r>
      </text>
    </comment>
    <comment ref="K16" authorId="0" shapeId="0" xr:uid="{C04145D0-3F73-43EF-B8ED-B983CB27D511}">
      <text>
        <r>
          <rPr>
            <sz val="11"/>
            <color theme="1"/>
            <rFont val="Aptos Narrow"/>
            <family val="2"/>
            <scheme val="minor"/>
          </rPr>
          <t>Adriel Costa:
Não tem estrutura para A.T.</t>
        </r>
      </text>
    </comment>
    <comment ref="M16" authorId="0" shapeId="0" xr:uid="{D8DD5687-90CB-4B4C-A654-7E3BFECD73C8}">
      <text>
        <r>
          <rPr>
            <sz val="11"/>
            <color theme="1"/>
            <rFont val="Aptos Narrow"/>
            <family val="2"/>
            <scheme val="minor"/>
          </rPr>
          <t>Adriel Costa:
Tem ocorrência 1 em estar fora do PMA
Caiu em relação ao crescimento de 2025 para 2024 (caiu 46%)</t>
        </r>
      </text>
    </comment>
    <comment ref="M19" authorId="0" shapeId="0" xr:uid="{48014932-F10B-4660-9C17-D87C1804B1B7}">
      <text>
        <r>
          <rPr>
            <sz val="11"/>
            <color theme="1"/>
            <rFont val="Aptos Narrow"/>
            <family val="2"/>
            <scheme val="minor"/>
          </rPr>
          <t>Adriel Costa:
Caiu no crescimento de 2025 à 2024 (-2%)</t>
        </r>
      </text>
    </comment>
    <comment ref="L25" authorId="0" shapeId="0" xr:uid="{7BB488E3-143F-48F9-9FC2-CEF8D8EA8C32}">
      <text>
        <r>
          <rPr>
            <sz val="11"/>
            <color theme="1"/>
            <rFont val="Aptos Narrow"/>
            <family val="2"/>
            <scheme val="minor"/>
          </rPr>
          <t xml:space="preserve">Adriel Costa:
Talvez seja um critério para apresentar ao BISMARK, de que se ele focar vai continuar sendo parte do projeto
</t>
        </r>
      </text>
    </comment>
    <comment ref="M28" authorId="0" shapeId="0" xr:uid="{7D78EA56-4804-4AE4-B6C3-D73A28A76042}">
      <text>
        <r>
          <rPr>
            <sz val="11"/>
            <color theme="1"/>
            <rFont val="Aptos Narrow"/>
            <family val="2"/>
            <scheme val="minor"/>
          </rPr>
          <t xml:space="preserve">Adriel Costa:
Caiu em relação ao crescimento de 2025 à 2024 (34%)
</t>
        </r>
      </text>
    </comment>
    <comment ref="G30" authorId="0" shapeId="0" xr:uid="{D466E886-A6C6-4D7A-9350-86225DE79F42}">
      <text>
        <r>
          <rPr>
            <sz val="11"/>
            <color theme="1"/>
            <rFont val="Aptos Narrow"/>
            <family val="2"/>
            <scheme val="minor"/>
          </rPr>
          <t xml:space="preserve"> (até o fim do ano tem)
</t>
        </r>
      </text>
    </comment>
    <comment ref="H31" authorId="0" shapeId="0" xr:uid="{070B4097-095A-4007-B5FD-13A414246F6B}">
      <text>
        <r>
          <rPr>
            <sz val="11"/>
            <color theme="1"/>
            <rFont val="Aptos Narrow"/>
            <family val="2"/>
            <scheme val="minor"/>
          </rPr>
          <t>Adriel Costa:
*apenas vendedor externo</t>
        </r>
      </text>
    </comment>
    <comment ref="C35" authorId="0" shapeId="0" xr:uid="{694ED1EE-B4B3-4E6B-8D37-F3131EAF69DF}">
      <text>
        <r>
          <rPr>
            <sz val="11"/>
            <color theme="1"/>
            <rFont val="Aptos Narrow"/>
            <family val="2"/>
            <scheme val="minor"/>
          </rPr>
          <t xml:space="preserve">Adriel Costa:
Falta Validar
</t>
        </r>
      </text>
    </comment>
    <comment ref="L37" authorId="0" shapeId="0" xr:uid="{93BB98A9-29EE-4965-85E6-17E02747825A}">
      <text>
        <r>
          <rPr>
            <sz val="11"/>
            <color theme="1"/>
            <rFont val="Aptos Narrow"/>
            <family val="2"/>
            <scheme val="minor"/>
          </rPr>
          <t xml:space="preserve">Adriel Costa:
*
</t>
        </r>
      </text>
    </comment>
    <comment ref="M38" authorId="0" shapeId="0" xr:uid="{E2D4C937-1921-4D1A-B5F5-0ECF7D7F03BA}">
      <text>
        <r>
          <rPr>
            <sz val="11"/>
            <color theme="1"/>
            <rFont val="Aptos Narrow"/>
            <family val="2"/>
            <scheme val="minor"/>
          </rPr>
          <t xml:space="preserve">Adriel Costa:
Tem ocorrência 1 em estar fora do PMA
</t>
        </r>
      </text>
    </comment>
    <comment ref="C44" authorId="0" shapeId="0" xr:uid="{489A7BA7-3AA0-4F8B-82F4-0017E6AD4C09}">
      <text>
        <r>
          <rPr>
            <sz val="11"/>
            <color theme="1"/>
            <rFont val="Aptos Narrow"/>
            <family val="2"/>
            <scheme val="minor"/>
          </rPr>
          <t xml:space="preserve">Adriel Costa:
É a que puxou vendas de jun/25 à jun/26 de máquinas industriais
</t>
        </r>
      </text>
    </comment>
    <comment ref="C45" authorId="0" shapeId="0" xr:uid="{0D54A2CC-5B03-4F47-92E9-B7BEDA95380C}">
      <text>
        <r>
          <rPr>
            <sz val="11"/>
            <color theme="1"/>
            <rFont val="Aptos Narrow"/>
            <family val="2"/>
            <scheme val="minor"/>
          </rPr>
          <t xml:space="preserve">Adriel Costa:
Não está pontuando, verificar com Marques sobre os critérios, pois sendo assim eles não farão parte do BMax
</t>
        </r>
      </text>
    </comment>
    <comment ref="L45" authorId="0" shapeId="0" xr:uid="{14254887-C1D3-423C-B8A9-559A674080C6}">
      <text>
        <r>
          <rPr>
            <sz val="11"/>
            <color theme="1"/>
            <rFont val="Aptos Narrow"/>
            <family val="2"/>
            <scheme val="minor"/>
          </rPr>
          <t xml:space="preserve">Adriel Costa:
VERIFICAR
</t>
        </r>
      </text>
    </comment>
    <comment ref="M45" authorId="0" shapeId="0" xr:uid="{4FCB5161-1428-455A-99B5-9F67392F354C}">
      <text>
        <r>
          <rPr>
            <sz val="11"/>
            <color theme="1"/>
            <rFont val="Aptos Narrow"/>
            <family val="2"/>
            <scheme val="minor"/>
          </rPr>
          <t xml:space="preserve">Adriel Costa:
Tem ocorrência de estar fora de PMA
</t>
        </r>
      </text>
    </comment>
    <comment ref="M46" authorId="0" shapeId="0" xr:uid="{5062CC81-E924-4DA3-B364-93CE661E6CBD}">
      <text>
        <r>
          <rPr>
            <sz val="11"/>
            <color theme="1"/>
            <rFont val="Aptos Narrow"/>
            <family val="2"/>
            <scheme val="minor"/>
          </rPr>
          <t xml:space="preserve">Adriel Costa:
Tem ocorrência 2 de estar fora do PMA
</t>
        </r>
      </text>
    </comment>
    <comment ref="C51" authorId="4" shapeId="0" xr:uid="{3888028D-053A-4386-94E4-888D641060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Nome da revenda esta errado.</t>
      </text>
    </comment>
    <comment ref="K53" authorId="0" shapeId="0" xr:uid="{4895D338-106D-46A8-8541-48AB39A44C15}">
      <text>
        <r>
          <rPr>
            <sz val="11"/>
            <color theme="1"/>
            <rFont val="Aptos Narrow"/>
            <family val="2"/>
            <scheme val="minor"/>
          </rPr>
          <t xml:space="preserve">Adriel Costa:
É A.T. nosso
</t>
        </r>
      </text>
    </comment>
    <comment ref="M56" authorId="0" shapeId="0" xr:uid="{9CD82CD8-784C-4E9F-8020-77D9AE31053B}">
      <text>
        <r>
          <rPr>
            <sz val="11"/>
            <color theme="1"/>
            <rFont val="Aptos Narrow"/>
            <family val="2"/>
            <scheme val="minor"/>
          </rPr>
          <t>Adriel Costa:
Tem ocorrência 1 de estar fora do PMA</t>
        </r>
      </text>
    </comment>
    <comment ref="C66" authorId="0" shapeId="0" xr:uid="{2426B554-D068-4141-A9CC-EACC6E472EB0}">
      <text>
        <r>
          <rPr>
            <sz val="11"/>
            <color theme="1"/>
            <rFont val="Aptos Narrow"/>
            <family val="2"/>
            <scheme val="minor"/>
          </rPr>
          <t xml:space="preserve">Adriel Costa:
Devendo 260K
</t>
        </r>
      </text>
    </comment>
    <comment ref="C67" authorId="0" shapeId="0" xr:uid="{3B95CC59-CE70-4021-B313-06AAD4DA3F87}">
      <text>
        <r>
          <rPr>
            <sz val="11"/>
            <color theme="1"/>
            <rFont val="Aptos Narrow"/>
            <family val="2"/>
            <scheme val="minor"/>
          </rPr>
          <t>Adriel Costa:
Inadimplente</t>
        </r>
      </text>
    </comment>
    <comment ref="C68" authorId="0" shapeId="0" xr:uid="{CAFE72CE-CA27-4C7B-B839-7F2113BA5302}">
      <text>
        <r>
          <rPr>
            <sz val="11"/>
            <color theme="1"/>
            <rFont val="Aptos Narrow"/>
            <family val="2"/>
            <scheme val="minor"/>
          </rPr>
          <t>Adriel Costa:
Desenvolve até MIGFLEX 250 apenas...</t>
        </r>
      </text>
    </comment>
    <comment ref="C69" authorId="0" shapeId="0" xr:uid="{59A6DCF8-096A-425F-AB1F-EE73D8CC9B49}">
      <text>
        <r>
          <rPr>
            <sz val="11"/>
            <color theme="1"/>
            <rFont val="Aptos Narrow"/>
            <family val="2"/>
            <scheme val="minor"/>
          </rPr>
          <t>Adriel Costa:
É E-COMMERCE</t>
        </r>
      </text>
    </comment>
    <comment ref="C70" authorId="0" shapeId="0" xr:uid="{7A22814B-5DD8-44D5-9EF7-48F159CC626A}">
      <text>
        <r>
          <rPr>
            <sz val="11"/>
            <color theme="1"/>
            <rFont val="Aptos Narrow"/>
            <family val="2"/>
            <scheme val="minor"/>
          </rPr>
          <t>Adriel Costa:
É E-COMMERCE</t>
        </r>
      </text>
    </comment>
    <comment ref="C73" authorId="5" shapeId="0" xr:uid="{EA7F04FE-4A84-432D-95C2-CB8A6B068A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Cliente Comasp, verificar se não é inadimplente no historico com Boxer?</t>
      </text>
    </comment>
    <comment ref="M73" authorId="0" shapeId="0" xr:uid="{72E2EFFA-414A-4C8C-9DF9-D3FD4BDCA706}">
      <text>
        <r>
          <rPr>
            <sz val="11"/>
            <color theme="1"/>
            <rFont val="Aptos Narrow"/>
            <family val="2"/>
            <scheme val="minor"/>
          </rPr>
          <t xml:space="preserve">Adriel Costa:
Já teve ocorrência com PMA mas não sabia sobre o PMA pois era atendido internamente e não sabia. Hoje o Weberson voltou com o cliente e ele não vende no e-commerce.
</t>
        </r>
      </text>
    </comment>
    <comment ref="L76" authorId="0" shapeId="0" xr:uid="{E50D0FEC-7CE8-458D-8CA3-64595626DF6A}">
      <text>
        <r>
          <rPr>
            <sz val="11"/>
            <color theme="1"/>
            <rFont val="Aptos Narrow"/>
            <family val="2"/>
            <scheme val="minor"/>
          </rPr>
          <t xml:space="preserve">Adriel Costa:
Tem muita ESAB, basicamente estamos em 2º
</t>
        </r>
      </text>
    </comment>
    <comment ref="O78" authorId="0" shapeId="0" xr:uid="{3C39934B-FDAC-4C56-B200-59FFA8C3B1AB}">
      <text>
        <r>
          <rPr>
            <sz val="11"/>
            <color theme="1"/>
            <rFont val="Aptos Narrow"/>
            <family val="2"/>
            <scheme val="minor"/>
          </rPr>
          <t xml:space="preserve">Adriel Costa:
Ele importa e comercializa Laser
</t>
        </r>
      </text>
    </comment>
    <comment ref="K80" authorId="0" shapeId="0" xr:uid="{A4322836-EF38-4C37-B3CF-DFCB7A8890D2}">
      <text>
        <r>
          <rPr>
            <sz val="11"/>
            <color theme="1"/>
            <rFont val="Aptos Narrow"/>
            <family val="2"/>
            <scheme val="minor"/>
          </rPr>
          <t xml:space="preserve">Adriel Costa:
Não faz A.T. nossa
Aluga o cilindro, por isso está com Sim
</t>
        </r>
      </text>
    </comment>
    <comment ref="K83" authorId="0" shapeId="0" xr:uid="{155F5640-1FF9-4039-A5DE-9D979EA54A25}">
      <text>
        <r>
          <rPr>
            <sz val="11"/>
            <color theme="1"/>
            <rFont val="Aptos Narrow"/>
            <family val="2"/>
            <scheme val="minor"/>
          </rPr>
          <t>Adriel Costa:
Caio não sabe se tem ou não A.T. Boxer</t>
        </r>
      </text>
    </comment>
  </commentList>
</comments>
</file>

<file path=xl/sharedStrings.xml><?xml version="1.0" encoding="utf-8"?>
<sst xmlns="http://schemas.openxmlformats.org/spreadsheetml/2006/main" count="2790" uniqueCount="764">
  <si>
    <t>1ª VERSÃO</t>
  </si>
  <si>
    <t>2ª VERSÃO</t>
  </si>
  <si>
    <t>Venda de ROBO</t>
  </si>
  <si>
    <t>Venda de Laser</t>
  </si>
  <si>
    <t>Venda de Maquinas - Lead Boxer</t>
  </si>
  <si>
    <t>Qualquer venda - Lead Revenda</t>
  </si>
  <si>
    <t>QUEM ATENDE</t>
  </si>
  <si>
    <t>Criterios de Classificação cliente Industria</t>
  </si>
  <si>
    <t>PCI1</t>
  </si>
  <si>
    <t>PCI2</t>
  </si>
  <si>
    <t>PCI3</t>
  </si>
  <si>
    <t>Criterios de Classificação</t>
  </si>
  <si>
    <t>PCI4</t>
  </si>
  <si>
    <t>PCI5</t>
  </si>
  <si>
    <t>PCI6</t>
  </si>
  <si>
    <t>PCI7</t>
  </si>
  <si>
    <t>PCI8</t>
  </si>
  <si>
    <t>PCI9</t>
  </si>
  <si>
    <t>PCI10</t>
  </si>
  <si>
    <t>PCI11</t>
  </si>
  <si>
    <t>PCI12</t>
  </si>
  <si>
    <t>PCI13</t>
  </si>
  <si>
    <t>PCI14</t>
  </si>
  <si>
    <t>PCI15</t>
  </si>
  <si>
    <t>PCI16</t>
  </si>
  <si>
    <t>PCI17</t>
  </si>
  <si>
    <t>Classificação</t>
  </si>
  <si>
    <t>ROBO</t>
  </si>
  <si>
    <t>LASER</t>
  </si>
  <si>
    <t>MAQUINA INDUSTRIAL</t>
  </si>
  <si>
    <t>DISTANCIA DA REVENDA (ATÉ 50KM)</t>
  </si>
  <si>
    <t>REPRESENTANTE BMAX</t>
  </si>
  <si>
    <t>ORIGEM LEAD</t>
  </si>
  <si>
    <t>MODELO ATENDIMENTO</t>
  </si>
  <si>
    <t>SP INTERIOR</t>
  </si>
  <si>
    <t>SP CAPITAL + OUTROS ESTADOS</t>
  </si>
  <si>
    <t>Mais de 30 postos de solda</t>
  </si>
  <si>
    <t>Sim</t>
  </si>
  <si>
    <t>Não</t>
  </si>
  <si>
    <t>SIM</t>
  </si>
  <si>
    <t>n/a</t>
  </si>
  <si>
    <t>N/A</t>
  </si>
  <si>
    <t>NÃO</t>
  </si>
  <si>
    <t>BOXER</t>
  </si>
  <si>
    <t>BOX&gt;IND</t>
  </si>
  <si>
    <t>VT1 ou VT2</t>
  </si>
  <si>
    <t>V1</t>
  </si>
  <si>
    <t>CLUSTER ROBÔ</t>
  </si>
  <si>
    <t>70 km do Lojista BMAX</t>
  </si>
  <si>
    <t>+2</t>
  </si>
  <si>
    <t>relação com Lojista BMAX</t>
  </si>
  <si>
    <t>&gt;R$25K</t>
  </si>
  <si>
    <t>&lt;R$25K</t>
  </si>
  <si>
    <t>DISTANCIA REVENDA BMAX (ATÉ 50KM)</t>
  </si>
  <si>
    <t>CLUSTER LASER</t>
  </si>
  <si>
    <t>ATENDIMENTO</t>
  </si>
  <si>
    <t>Vendedor 1 (atual)</t>
  </si>
  <si>
    <t>REVENDA</t>
  </si>
  <si>
    <t>Comisssionamentos</t>
  </si>
  <si>
    <t>Modelo Atendimento</t>
  </si>
  <si>
    <t>BOX+REV&gt;IND</t>
  </si>
  <si>
    <t>BOX&gt;REV</t>
  </si>
  <si>
    <t>Quem atende</t>
  </si>
  <si>
    <t>PCI15A</t>
  </si>
  <si>
    <t>PCI15B</t>
  </si>
  <si>
    <t>Lead está no Interior de SP</t>
  </si>
  <si>
    <t>RCA</t>
  </si>
  <si>
    <t>Lead está em SP Capital ou demais estados</t>
  </si>
  <si>
    <t>CLUSTER MÁQ. INDUSTRIAIS</t>
  </si>
  <si>
    <t>Revenda</t>
  </si>
  <si>
    <t>*Revenda define qual modelo de atendimento deseja para esse lead (linha 31)</t>
  </si>
  <si>
    <t>Representate</t>
  </si>
  <si>
    <t>COMISSIONAMENTO</t>
  </si>
  <si>
    <t>Vendedor Interno</t>
  </si>
  <si>
    <t>REPRESENTANTE</t>
  </si>
  <si>
    <t>VENDEDOR INTERNO ou TÉCNICO</t>
  </si>
  <si>
    <t>1,2%-2,1%</t>
  </si>
  <si>
    <t>Modelo atendimento - Politica Comercial Industria</t>
  </si>
  <si>
    <t>REVENDA - CONF. % CLASSE PREÇO</t>
  </si>
  <si>
    <t>3-5,5%</t>
  </si>
  <si>
    <t>4-10%</t>
  </si>
  <si>
    <t>Margem</t>
  </si>
  <si>
    <t>BOX&gt;IND1 - Mod. A</t>
  </si>
  <si>
    <t>ORIGEM DO LEAD = BOXER</t>
  </si>
  <si>
    <t>Modelo A</t>
  </si>
  <si>
    <t>BOX&gt;IND2 - Mod. B</t>
  </si>
  <si>
    <t>CLASSE PREÇO - conf. Tabela BI - Revenda</t>
  </si>
  <si>
    <t>CLUSTER REVENDA</t>
  </si>
  <si>
    <t>Modelo B</t>
  </si>
  <si>
    <t>BOX+REV&gt;IND 1 - Mod. C</t>
  </si>
  <si>
    <t>REP</t>
  </si>
  <si>
    <t>Modelo C</t>
  </si>
  <si>
    <t>BOX+REV&gt;IND 2 - Mod. D</t>
  </si>
  <si>
    <t>Modelo D</t>
  </si>
  <si>
    <t>Vendedor Interno 1</t>
  </si>
  <si>
    <t>Vendedor Interno 2</t>
  </si>
  <si>
    <t>CLASSE PREÇO - conf. Tabela BI - Comissão Vendedor Interno ou técnico</t>
  </si>
  <si>
    <t>CLASSE PREÇO - conf. Tabela BI - Representante</t>
  </si>
  <si>
    <t>Contato</t>
  </si>
  <si>
    <t>Demonstração</t>
  </si>
  <si>
    <t>PORTAL BMAX</t>
  </si>
  <si>
    <t>ADM</t>
  </si>
  <si>
    <t>ADM + REP</t>
  </si>
  <si>
    <t>TODOS</t>
  </si>
  <si>
    <t>Negociação</t>
  </si>
  <si>
    <t>Vendido/ Perdido</t>
  </si>
  <si>
    <t>Boxer vende direto para Industria/Lead COM comissionamento para revenda</t>
  </si>
  <si>
    <t>Boxer vende PARA A REVENDA. Ela é responsavel por revender para a industria/Lead.</t>
  </si>
  <si>
    <t>↑ (Vai um e-mail direto para a revenda com as informações de contato do cliente) Revenda tem um prazo de 24 horas para atender, senão o atendimento é direto. Se vender: tem que avisar se vendeu em 30 dias pois senão volta o atendimento direto)</t>
  </si>
  <si>
    <t>PCI12A</t>
  </si>
  <si>
    <t>PCI12B</t>
  </si>
  <si>
    <t>Quem Faz Atendimento Comercial?</t>
  </si>
  <si>
    <t>Exceção: quando lead for gerado pela revenda ou representante, o atendimento comercial poderá ser realizado pelo proprio Representante. Sua comissão, passará a ser o somatorio da comissão normal do representante + a comissão do vendedor interno ou técnico, de acordo com a classe de preço a ser definida.</t>
  </si>
  <si>
    <t>1%-1,9%</t>
  </si>
  <si>
    <t>1,5%-4%</t>
  </si>
  <si>
    <t>1,7%-4%</t>
  </si>
  <si>
    <t>3%-5%</t>
  </si>
  <si>
    <t>CLASSE PREÇO (Tabela BMAX) - Comissão Revenda</t>
  </si>
  <si>
    <t>CLASSE PREÇO (Tabela BMAX) - Comissão Vendedor Interno ou técnico</t>
  </si>
  <si>
    <t>CLASSE PREÇO (Tabela BMAX) - Representante</t>
  </si>
  <si>
    <t>CLASSE PREÇO (Tabela BMAX) - Representante (Exceção - atendimento comercial do próprio representante)</t>
  </si>
  <si>
    <t>PORTAL BMAX - perfis que devem ver o Lead</t>
  </si>
  <si>
    <t>Faz Assistencia</t>
  </si>
  <si>
    <t>Rev. Exclusiva Boxer</t>
  </si>
  <si>
    <t>Crtiério Exclusor</t>
  </si>
  <si>
    <t>Critérios Negativos</t>
  </si>
  <si>
    <t>ID ZEN</t>
  </si>
  <si>
    <t>nº Filiais</t>
  </si>
  <si>
    <t>Cliente</t>
  </si>
  <si>
    <t>Representante</t>
  </si>
  <si>
    <t>cidade/estado</t>
  </si>
  <si>
    <t>Estado</t>
  </si>
  <si>
    <t>Loja Fisica</t>
  </si>
  <si>
    <t>Equip. Demonst.</t>
  </si>
  <si>
    <t>Venda Industria</t>
  </si>
  <si>
    <t>Divulga mix industria</t>
  </si>
  <si>
    <t>Cilindro Gás</t>
  </si>
  <si>
    <t>Boxer 1ª</t>
  </si>
  <si>
    <t>Relação Positiva</t>
  </si>
  <si>
    <t>Está Inadimplente?</t>
  </si>
  <si>
    <t>Tem Marca Propria?</t>
  </si>
  <si>
    <t>Vende no mkt place</t>
  </si>
  <si>
    <t>NOTA BMAX</t>
  </si>
  <si>
    <t>CLASSIFICAÇÃO</t>
  </si>
  <si>
    <t>Prata</t>
  </si>
  <si>
    <t>Ouro</t>
  </si>
  <si>
    <t>Total</t>
  </si>
  <si>
    <t>USUÁRIO</t>
  </si>
  <si>
    <t>SENHA</t>
  </si>
  <si>
    <t>CNPJ</t>
  </si>
  <si>
    <t>CEP</t>
  </si>
  <si>
    <t>E-MAIL</t>
  </si>
  <si>
    <t>LOJA DO MECANICO</t>
  </si>
  <si>
    <t>Dani</t>
  </si>
  <si>
    <t>SP</t>
  </si>
  <si>
    <t>S</t>
  </si>
  <si>
    <t xml:space="preserve"> + alfabras</t>
  </si>
  <si>
    <t>DUTRA</t>
  </si>
  <si>
    <t>PR</t>
  </si>
  <si>
    <t>LEROY MERLIN</t>
  </si>
  <si>
    <t>SC</t>
  </si>
  <si>
    <t>48193, Cascavel Soldas Comercio De Abrasivos Ltda</t>
  </si>
  <si>
    <t>Hugo Carpanese</t>
  </si>
  <si>
    <t>Cascavel</t>
  </si>
  <si>
    <t>MG</t>
  </si>
  <si>
    <t>08.262.604/0001-18</t>
  </si>
  <si>
    <t>85803-740</t>
  </si>
  <si>
    <t>financeiro@cascavelsoldas.com.br</t>
  </si>
  <si>
    <t>35821, Vmd - Maquinas E Ferramentas Ltda, A Casa Do Soldador</t>
  </si>
  <si>
    <t>Maringá</t>
  </si>
  <si>
    <t>GO</t>
  </si>
  <si>
    <t>72.295.793/0001-24</t>
  </si>
  <si>
    <t>87069-013</t>
  </si>
  <si>
    <t>raphael@casadosoldador.com.br</t>
  </si>
  <si>
    <t>30275, A Bitencourt Com De Ferragens, Casa Dos Parafusos</t>
  </si>
  <si>
    <t>Umuarama</t>
  </si>
  <si>
    <t>DF</t>
  </si>
  <si>
    <t>75.104.406/0005-47</t>
  </si>
  <si>
    <t>87507-011</t>
  </si>
  <si>
    <t>financeiro1@casaparafuso.com</t>
  </si>
  <si>
    <t>54660, Ruzam - Comercio E Representacoes Ltda, Ruzam Parafusos E Ferramentas</t>
  </si>
  <si>
    <t>Pitanga</t>
  </si>
  <si>
    <t>18.383.568/0001-02</t>
  </si>
  <si>
    <t>85201-504</t>
  </si>
  <si>
    <t>ruzamparafusoseferramentas@gmail.com</t>
  </si>
  <si>
    <t>30960, Schneider Ferramentas Ltda</t>
  </si>
  <si>
    <t>Francisco Beltrão</t>
  </si>
  <si>
    <t>06.173.829/0001-72</t>
  </si>
  <si>
    <t>85601-275</t>
  </si>
  <si>
    <t>schneider@sferramentas.com.br</t>
  </si>
  <si>
    <t>44852, Brasolda Comercio De Ferragens Ltda</t>
  </si>
  <si>
    <t>Londrina</t>
  </si>
  <si>
    <t>03.354.828/0001-36</t>
  </si>
  <si>
    <t>86070-545</t>
  </si>
  <si>
    <t>marcos@brasolda.com.br</t>
  </si>
  <si>
    <t>49397, Analucia Barbosa Vilas Boas - Ferragens, Forte Soldas</t>
  </si>
  <si>
    <t>Ponta Grossa</t>
  </si>
  <si>
    <t>20.774.440/0001-03</t>
  </si>
  <si>
    <t>84070-460</t>
  </si>
  <si>
    <t>leandro.ferreirasoldas@hotmail.com</t>
  </si>
  <si>
    <t>29139, J. Meira &amp; Cia Ltda - Epp, Trianorte Ferragens</t>
  </si>
  <si>
    <t>Cianorte</t>
  </si>
  <si>
    <t>79.805.172/0001-92</t>
  </si>
  <si>
    <t>87209-052</t>
  </si>
  <si>
    <t>juniortrianorte1@gmail.com</t>
  </si>
  <si>
    <t>31023, Heitor Nogueira Da Silva, Suprimig Suprimentos Industriais</t>
  </si>
  <si>
    <t>Fernando Augusto</t>
  </si>
  <si>
    <t>Bauru</t>
  </si>
  <si>
    <t>heitor@suprimig.com.br</t>
  </si>
  <si>
    <t>Heitor</t>
  </si>
  <si>
    <t>48.996.522/0001-11</t>
  </si>
  <si>
    <t>17052-630</t>
  </si>
  <si>
    <t>25963, Diafer Eireli, Diafer Itapeva Matriz</t>
  </si>
  <si>
    <t>Itapeva</t>
  </si>
  <si>
    <t>04.798.677/0001-78</t>
  </si>
  <si>
    <t>18406-000</t>
  </si>
  <si>
    <t>ademir.oliv@diafer.com.br</t>
  </si>
  <si>
    <t>36095, Soldaforte Comercio De Maquinas Ltda - Epp</t>
  </si>
  <si>
    <t>62.984.885/0001-68</t>
  </si>
  <si>
    <t>17052-010</t>
  </si>
  <si>
    <t>lucas@soldaforte.com.br</t>
  </si>
  <si>
    <t>31603, C. S. Ferramentas Ltda</t>
  </si>
  <si>
    <t>Sorocaba</t>
  </si>
  <si>
    <t> </t>
  </si>
  <si>
    <t>compras@csferramentas.com.br</t>
  </si>
  <si>
    <t>comprascsferramentas</t>
  </si>
  <si>
    <t>72.738.214/0001-70</t>
  </si>
  <si>
    <t>18043-000</t>
  </si>
  <si>
    <t>37990, Lt Comercio De Maquinas E Ferramentas Eireli, Ipanema Soldas (IPANEMA (L T ))</t>
  </si>
  <si>
    <t>luccas@ipanemasoldas.com.br</t>
  </si>
  <si>
    <t>luccasipanemasoldas</t>
  </si>
  <si>
    <t>31.283.413/0001-54</t>
  </si>
  <si>
    <t>18070-671</t>
  </si>
  <si>
    <t>32052, Comercial Soldas Piracicaba Ltda.</t>
  </si>
  <si>
    <t>Piracicaba</t>
  </si>
  <si>
    <t>comercialsolda@hotmail.com</t>
  </si>
  <si>
    <t>comercialsolda</t>
  </si>
  <si>
    <t>38.401.783/0001-98</t>
  </si>
  <si>
    <t>13424-405</t>
  </si>
  <si>
    <t>31396, Vr Abrasivos Ltda</t>
  </si>
  <si>
    <t>compras@vrabrasivos.com.br</t>
  </si>
  <si>
    <t>comprasvrabrasivos</t>
  </si>
  <si>
    <t>03.136.028/0001-49</t>
  </si>
  <si>
    <t>13414-032</t>
  </si>
  <si>
    <t>28742, Josmar-Maquinas E Ferramentas Ltda, Mil Maquinas E Ferramentas</t>
  </si>
  <si>
    <t>Birigui</t>
  </si>
  <si>
    <t>73.068.462/0001-14</t>
  </si>
  <si>
    <t>16200-260</t>
  </si>
  <si>
    <t>vendasmilmaquinas2@gmail.com</t>
  </si>
  <si>
    <t>47374, Total Soldas E Gases Ltda</t>
  </si>
  <si>
    <t>Presidente Prudente</t>
  </si>
  <si>
    <t>01.985.818/0001-73</t>
  </si>
  <si>
    <t>19013-150</t>
  </si>
  <si>
    <t>comercial.totalsoldas@gmail.com</t>
  </si>
  <si>
    <t>37662, Roma - Parafusos E Ferramentas Ltda, Romapar (ROMAPAR)</t>
  </si>
  <si>
    <t>Araçatuba</t>
  </si>
  <si>
    <t>59.918.136/0001-28</t>
  </si>
  <si>
    <t>16025-285</t>
  </si>
  <si>
    <t>edson@romaparafusos.com.br</t>
  </si>
  <si>
    <t>28966, L.C Ferragens Comercial Lins Ltda</t>
  </si>
  <si>
    <t>Lins</t>
  </si>
  <si>
    <t>04.274.041/0001-27</t>
  </si>
  <si>
    <t>16400-025</t>
  </si>
  <si>
    <t>financeiro@lcferragens.com.br</t>
  </si>
  <si>
    <t>28948, Bismark Maquinas, Ferramentas E Abrasivos Ltda</t>
  </si>
  <si>
    <t>Dracena</t>
  </si>
  <si>
    <t>29.216.373/0001-86</t>
  </si>
  <si>
    <t>17900-000</t>
  </si>
  <si>
    <t>financeirofilial@bismark.com.br</t>
  </si>
  <si>
    <t>45298, Wilian Dos Santos 33633204857, W.M.S Eletronica</t>
  </si>
  <si>
    <t>31.897.187/0001-00</t>
  </si>
  <si>
    <t>19063-735</t>
  </si>
  <si>
    <t>wmseletronic@gmail.com</t>
  </si>
  <si>
    <t>37018, Locsoldas Ltda - Me</t>
  </si>
  <si>
    <t>Chico</t>
  </si>
  <si>
    <t>Contagem</t>
  </si>
  <si>
    <t>01.615.979/0001-75</t>
  </si>
  <si>
    <t>32110-005</t>
  </si>
  <si>
    <t>locsoldas@locsoldas.com.br</t>
  </si>
  <si>
    <t>49308, Cofermeta Sa</t>
  </si>
  <si>
    <t>Belo Horizonte</t>
  </si>
  <si>
    <t>17.281.973/0013-82</t>
  </si>
  <si>
    <t>32010-040</t>
  </si>
  <si>
    <t>vander.luiz@cofermeta.com.br</t>
  </si>
  <si>
    <t>27087, Eletro Solda Comercial Ltda</t>
  </si>
  <si>
    <t>Victor VLM</t>
  </si>
  <si>
    <t>Limeira</t>
  </si>
  <si>
    <t>thiagocassano@eletrosoldalimeira.com.br</t>
  </si>
  <si>
    <t>Thiago Cassano</t>
  </si>
  <si>
    <t>66.085.473/0001-47</t>
  </si>
  <si>
    <t>13484-332</t>
  </si>
  <si>
    <t>30601, Technofer Solucoes Industriais Ltda</t>
  </si>
  <si>
    <t>Araraquara</t>
  </si>
  <si>
    <t>danilo@technofer.com.br</t>
  </si>
  <si>
    <t>Danilo</t>
  </si>
  <si>
    <t>48.239.336/0001-38</t>
  </si>
  <si>
    <t>14803-851</t>
  </si>
  <si>
    <t>25918, Luitex Maquinas E Ferramentas Ltda</t>
  </si>
  <si>
    <t>Americana</t>
  </si>
  <si>
    <t>marcio@luitex.com.br</t>
  </si>
  <si>
    <t>Marcio</t>
  </si>
  <si>
    <t>51.051.811/0004-03</t>
  </si>
  <si>
    <t>13844-282</t>
  </si>
  <si>
    <t>36172, Oxirio Comercio De Equipamentos Para Soldas Ltda.</t>
  </si>
  <si>
    <t>Rio Claro</t>
  </si>
  <si>
    <t>57.894.164/0001-27</t>
  </si>
  <si>
    <t>13500-120</t>
  </si>
  <si>
    <t>nelson@oxirio.com.br</t>
  </si>
  <si>
    <t>42863, Alpha Abras Comercio De Abrasivos Ltda</t>
  </si>
  <si>
    <t>Poços de Caldas</t>
  </si>
  <si>
    <t>05.159.343/0001-17</t>
  </si>
  <si>
    <t>37701-489</t>
  </si>
  <si>
    <t>compras.alphabras@gmail.com</t>
  </si>
  <si>
    <t>53082, Edmaq Comercio See Ltda</t>
  </si>
  <si>
    <t>Nova Resende</t>
  </si>
  <si>
    <t>61.258.118/0001-09</t>
  </si>
  <si>
    <t>37860-000</t>
  </si>
  <si>
    <t>fiscal@edmaq.com.br</t>
  </si>
  <si>
    <t>25834, Oxigenio Jaguar Ltda - Me</t>
  </si>
  <si>
    <t>Jaguariúna</t>
  </si>
  <si>
    <t>14.202.561/0001-88</t>
  </si>
  <si>
    <t>13920-307</t>
  </si>
  <si>
    <t>oxigenio-jaguar@hotmail.com</t>
  </si>
  <si>
    <t>38585, Ferragista Acessorios Ltda</t>
  </si>
  <si>
    <t>Varginha</t>
  </si>
  <si>
    <t>30.101.262/0001-03</t>
  </si>
  <si>
    <t>37062-650</t>
  </si>
  <si>
    <t>ferragistaltda@hotmail.com</t>
  </si>
  <si>
    <t>48756, Gilberto Julio Maria &amp; Outro Ltda, Santa Rita Ferramentas</t>
  </si>
  <si>
    <t>Jardinópolis</t>
  </si>
  <si>
    <t>07.690.525/0001-45</t>
  </si>
  <si>
    <t>14680-000</t>
  </si>
  <si>
    <t>gilbertojmaria@gmail.com</t>
  </si>
  <si>
    <t>29065, Maqsoldas Comercial Ltda</t>
  </si>
  <si>
    <t>Campinas</t>
  </si>
  <si>
    <t>38.770.962/0001-00</t>
  </si>
  <si>
    <t>13041-030</t>
  </si>
  <si>
    <t>gerencia@maqsoldas.com.br</t>
  </si>
  <si>
    <t>30111, Oxigenio Jundiai Coml De Gases E Equipamentos Ltda - Epp</t>
  </si>
  <si>
    <t>Jundiaí</t>
  </si>
  <si>
    <t>56.497.993/0001-03</t>
  </si>
  <si>
    <t>13207-070</t>
  </si>
  <si>
    <t>oxigenio@oxigeniojundiai.com.br</t>
  </si>
  <si>
    <t>28231, Soldapar Rio Preto Comercio De Ferramentas Ltda</t>
  </si>
  <si>
    <t>São José do Rio Preto</t>
  </si>
  <si>
    <t>64.978.505/0001-08</t>
  </si>
  <si>
    <t>15030-000</t>
  </si>
  <si>
    <t>adm@soldapar.com.br</t>
  </si>
  <si>
    <t>28977, Viasoldas Comercio De Produtos Para Solda Ltda</t>
  </si>
  <si>
    <t>06.135.832/0001-00</t>
  </si>
  <si>
    <t>15076-090</t>
  </si>
  <si>
    <t>ferreira@viasoldas.com.br</t>
  </si>
  <si>
    <t>57857, Ht Equipamentos De Soldas Ltda (Atual Equipamentos)</t>
  </si>
  <si>
    <t>60.661.770/0001-07</t>
  </si>
  <si>
    <t>15045-185</t>
  </si>
  <si>
    <t>diretoria@atualsoldas.com.br</t>
  </si>
  <si>
    <t>30204, Coamassa Ltda</t>
  </si>
  <si>
    <t>Itajobi</t>
  </si>
  <si>
    <t>13.286.416/0001-60</t>
  </si>
  <si>
    <t>15840-000</t>
  </si>
  <si>
    <t>coamassaadm@hotmail.com</t>
  </si>
  <si>
    <t>32545, Manfer Maquinas E Ferramentas Ltda</t>
  </si>
  <si>
    <t>Fernando Marques</t>
  </si>
  <si>
    <t>Xanxerê</t>
  </si>
  <si>
    <t>15.146.575/0001-94</t>
  </si>
  <si>
    <t>89820-000</t>
  </si>
  <si>
    <t>manfer@manferferramentas.com</t>
  </si>
  <si>
    <t>31003, Cicampo Maquinas E Ferramentas Ltda - Me</t>
  </si>
  <si>
    <t>Timbó</t>
  </si>
  <si>
    <t>80.479.231/0001-69</t>
  </si>
  <si>
    <t>89090-454</t>
  </si>
  <si>
    <t>compras2@cicampo.com.br</t>
  </si>
  <si>
    <t>28600, Dominik Comercio E Industria De Metais E Equipamentos Ltda</t>
  </si>
  <si>
    <t>São José</t>
  </si>
  <si>
    <t>72.332.794/0001-00</t>
  </si>
  <si>
    <t>88110-600</t>
  </si>
  <si>
    <t>paulo.neto@dominik.com.br</t>
  </si>
  <si>
    <t>28321, Samta Maquinas E Ferramentas Ltda</t>
  </si>
  <si>
    <t>Chapecó</t>
  </si>
  <si>
    <t>07.527.462/0001-00</t>
  </si>
  <si>
    <t>89803-000</t>
  </si>
  <si>
    <t>samta@samtaferramentas.com.br</t>
  </si>
  <si>
    <t>28236, Maqdima Ferramentas E Equipamentos Ltda</t>
  </si>
  <si>
    <t>81.373.441/0001-30</t>
  </si>
  <si>
    <t>89804-000</t>
  </si>
  <si>
    <t>compras@maqdima.com.br</t>
  </si>
  <si>
    <t>37341, Tamoyo Comercio De Ferramentas E Ferragens Ltda</t>
  </si>
  <si>
    <t>Itajaí</t>
  </si>
  <si>
    <t>76.842.285/0006-84</t>
  </si>
  <si>
    <t>88304-400</t>
  </si>
  <si>
    <t>compras1@lojastamoyo.com.br</t>
  </si>
  <si>
    <t>40669, Ferpar Ltda</t>
  </si>
  <si>
    <t>Concórdia</t>
  </si>
  <si>
    <t>00.202.741/0001-55</t>
  </si>
  <si>
    <t>89700-025</t>
  </si>
  <si>
    <t>ferpar@ferpar.com.br</t>
  </si>
  <si>
    <t>28228, Fermaq Comercio E Servicos Ltda</t>
  </si>
  <si>
    <t>São Bento do Sul e Canoinhas</t>
  </si>
  <si>
    <t>18.242.273/0001-08</t>
  </si>
  <si>
    <t>89460-156</t>
  </si>
  <si>
    <t>compras01@grupofermaq.com.br</t>
  </si>
  <si>
    <t>39748, Certto Comercio De Ferragens Ltda</t>
  </si>
  <si>
    <t>Turvo</t>
  </si>
  <si>
    <t>07.960.239/0001-52</t>
  </si>
  <si>
    <t>88930-000</t>
  </si>
  <si>
    <t>certtoferragens@certtoferragens.com.br</t>
  </si>
  <si>
    <t>28263, Tecmaquinas-Comercio E Servicos Ltda - Me</t>
  </si>
  <si>
    <t xml:space="preserve">Fernando Marques </t>
  </si>
  <si>
    <t>Criciúma</t>
  </si>
  <si>
    <t>01.199.326/0001-52</t>
  </si>
  <si>
    <t>88805-086</t>
  </si>
  <si>
    <t>tecmaquinas01@terra.com.br</t>
  </si>
  <si>
    <t>40504, Casta Ferragens E Ferramentas Ltda (CASA DAS FERRAMENTAS)</t>
  </si>
  <si>
    <t>Içara</t>
  </si>
  <si>
    <t>46.448.438/0001-38</t>
  </si>
  <si>
    <t>88817-045</t>
  </si>
  <si>
    <t>casadasferramentascri@outlook.com</t>
  </si>
  <si>
    <t>37567, Ap Maquinas E Ferramentas Ltda</t>
  </si>
  <si>
    <t>Palhoça</t>
  </si>
  <si>
    <t>32.852.328/0001-22</t>
  </si>
  <si>
    <t>88132-772</t>
  </si>
  <si>
    <t>financeiro@apmaquinaseferramentas.com.br</t>
  </si>
  <si>
    <t>46854, Incorzul Comercio De Ferragens Ltda</t>
  </si>
  <si>
    <t>Gaspar</t>
  </si>
  <si>
    <t>80.685.381/0001-29</t>
  </si>
  <si>
    <t>89114-130</t>
  </si>
  <si>
    <t>nfe@incorzul.com.br</t>
  </si>
  <si>
    <t>38291, Kapdima Comercio E Manutencao De Maquinas E Equipamentos Industriais Eireli</t>
  </si>
  <si>
    <t>Blumenau</t>
  </si>
  <si>
    <t>15.661.668/0001-57</t>
  </si>
  <si>
    <t>89066-300</t>
  </si>
  <si>
    <t>financeiro@kapdima.com.br</t>
  </si>
  <si>
    <t>28229, Febrazo Suprimentos Industriais Eireli</t>
  </si>
  <si>
    <t>Pouso Redondo</t>
  </si>
  <si>
    <t>18.830.154/0001-76</t>
  </si>
  <si>
    <t>89172-000</t>
  </si>
  <si>
    <t>financeiro@febrazo.com.br</t>
  </si>
  <si>
    <t>35093, Nazareno Soldas E Ferramentas Ltda</t>
  </si>
  <si>
    <t>Lages</t>
  </si>
  <si>
    <t>17.079.064/0001-22</t>
  </si>
  <si>
    <t>88503-062</t>
  </si>
  <si>
    <t>compras@nazarenosoldas.com.br</t>
  </si>
  <si>
    <t>40652, Mattes Servicos Eletronicos Ltda</t>
  </si>
  <si>
    <t>Joaçaba</t>
  </si>
  <si>
    <t>82.938.325/0001-84</t>
  </si>
  <si>
    <t>89600-000</t>
  </si>
  <si>
    <t>mattes@mattes.ind.br</t>
  </si>
  <si>
    <t>28128, Diferton Distribuidora Eireli</t>
  </si>
  <si>
    <t>24.725.816/0001-40</t>
  </si>
  <si>
    <t>financeiro@diferton.com.br</t>
  </si>
  <si>
    <t>27578, Avantpar Comercio De Parafusos E Pecas Ltda</t>
  </si>
  <si>
    <t>São Miguel D'Oeste</t>
  </si>
  <si>
    <t>09.467.065/0001-16</t>
  </si>
  <si>
    <t>89900-000</t>
  </si>
  <si>
    <t>avantpar1@hotmail.com</t>
  </si>
  <si>
    <t>46813, Almam Comercial Ltda</t>
  </si>
  <si>
    <t>Agrolândia</t>
  </si>
  <si>
    <t>28.330.312/0001-82</t>
  </si>
  <si>
    <t>88420-000</t>
  </si>
  <si>
    <t>almam.comercial@gmail.com</t>
  </si>
  <si>
    <t>49356, Chapfer Distribuidora De Ferragens E Ferramentas Ltda</t>
  </si>
  <si>
    <t>35.296.616/0001-36</t>
  </si>
  <si>
    <t>89804-025</t>
  </si>
  <si>
    <t>adm@chapferparafusos.com.br</t>
  </si>
  <si>
    <t>43867, Riomaq Maquinas E Ferramentas Ltda</t>
  </si>
  <si>
    <t>Rio do Sul</t>
  </si>
  <si>
    <t>29.459.843/0001-32</t>
  </si>
  <si>
    <t>89163-053</t>
  </si>
  <si>
    <t>compras@riomaq.com.br</t>
  </si>
  <si>
    <t>38159, R Weld Tecnologia Em Solda Ltda, R Weld (Eletrorafa)</t>
  </si>
  <si>
    <t>15.190.314/0001-71</t>
  </si>
  <si>
    <t>88310-015</t>
  </si>
  <si>
    <t>assistencia@eletrorafa.com.br</t>
  </si>
  <si>
    <t>44121, Central Domum Comercio De Maquinas E Equipamentos Ltda</t>
  </si>
  <si>
    <t>31.023.171/0001-60</t>
  </si>
  <si>
    <t>89066-002</t>
  </si>
  <si>
    <t>financeiro@centraldomum.com.br</t>
  </si>
  <si>
    <t>39332, Cofepar - Cornelio Ferragens E Parafusos Ltda</t>
  </si>
  <si>
    <t>Mafra</t>
  </si>
  <si>
    <t>06.205.337/0001-11</t>
  </si>
  <si>
    <t>89304-491</t>
  </si>
  <si>
    <t>cofeparferragens@hotmail.com</t>
  </si>
  <si>
    <t>54194, Domus Comercio E Importacao Ltda</t>
  </si>
  <si>
    <t>29.973.604/0002-87</t>
  </si>
  <si>
    <t>88311-605</t>
  </si>
  <si>
    <t>compras@domuscommerce.com</t>
  </si>
  <si>
    <t>29760, Bwinx Comercial Ltda</t>
  </si>
  <si>
    <t>20.717.387/0001-09</t>
  </si>
  <si>
    <t>89032-540</t>
  </si>
  <si>
    <t>compras@bwinx.com.br</t>
  </si>
  <si>
    <t>27571, Ultra Maquinas Comercial De Ferramentas Ltda</t>
  </si>
  <si>
    <t>Célio</t>
  </si>
  <si>
    <t>00.314.550/0002-66</t>
  </si>
  <si>
    <t>03523-015</t>
  </si>
  <si>
    <t>rodrigues.compras@ultramaquinas.com.br</t>
  </si>
  <si>
    <t>39396, Mepar Metais Parreira Ltda</t>
  </si>
  <si>
    <t>Weberson</t>
  </si>
  <si>
    <t>Aparecida de Goiânia</t>
  </si>
  <si>
    <t>03.996.396/0001-67</t>
  </si>
  <si>
    <t>74919-605</t>
  </si>
  <si>
    <t>marcio@meparmetais.com.br</t>
  </si>
  <si>
    <t>33432, Ltflex Ltda, Hidrauflex (Comasp)</t>
  </si>
  <si>
    <t>Goiânia</t>
  </si>
  <si>
    <t>10.559.336/0001-42</t>
  </si>
  <si>
    <t>74430-090</t>
  </si>
  <si>
    <t>eliana@comaspferramentas.com.br</t>
  </si>
  <si>
    <t>48644, Fermarcs - Comercio Varejista De Ferramentas E Acessorios Ltda</t>
  </si>
  <si>
    <t>Goianéisa</t>
  </si>
  <si>
    <t>08.615.223/0003-37</t>
  </si>
  <si>
    <t>76400-000</t>
  </si>
  <si>
    <t>comercial3@fermarcsferramentas.com.br</t>
  </si>
  <si>
    <t>28579, Max Soldas E Ferragens Ltda</t>
  </si>
  <si>
    <t>Cristalina</t>
  </si>
  <si>
    <t>04.726.418/0001-31</t>
  </si>
  <si>
    <t>73850-000</t>
  </si>
  <si>
    <t>maxsoldascrt@gmail.com</t>
  </si>
  <si>
    <t>48514, Servweld Assistencia Tecnica Transporte Locacao E Comercial Ltda</t>
  </si>
  <si>
    <t>Brasília</t>
  </si>
  <si>
    <t>11.504.286/0001-69</t>
  </si>
  <si>
    <t>71215-226</t>
  </si>
  <si>
    <t>comercial@servweld.com.br</t>
  </si>
  <si>
    <t>41472, Jesuino E Parreira Ltda, Ipiranga Metais Jesuino</t>
  </si>
  <si>
    <t>00.264.076/0001-24</t>
  </si>
  <si>
    <t>74453-440</t>
  </si>
  <si>
    <t>marcos@ipirangametais.com.br</t>
  </si>
  <si>
    <t>25985, Alugatec Soldas Ltda - Epp</t>
  </si>
  <si>
    <t>Caio</t>
  </si>
  <si>
    <t>SBC</t>
  </si>
  <si>
    <t>72.795.933/0001-23</t>
  </si>
  <si>
    <t>09721-200</t>
  </si>
  <si>
    <t>leonardogrego@alugatec.com.br</t>
  </si>
  <si>
    <t>48066, D. Soldas Equipamentos Consumiveis E Acessorios Ltda</t>
  </si>
  <si>
    <t>Santo André</t>
  </si>
  <si>
    <t>38.081.497/0001-92</t>
  </si>
  <si>
    <t>09121-160</t>
  </si>
  <si>
    <t>padovan@dsoldas.com.br</t>
  </si>
  <si>
    <t>25932, A Alugaasolda Aluguel De Solda Ltda</t>
  </si>
  <si>
    <t>Cotia</t>
  </si>
  <si>
    <t>61.284.618/0001-15</t>
  </si>
  <si>
    <t>06711-250</t>
  </si>
  <si>
    <t>atilio@alugaasolda.com.br</t>
  </si>
  <si>
    <t>34804, Demil Distribuidora De Equipamentos E Materiais Industriais Ltda</t>
  </si>
  <si>
    <t>Pindamonhangaba</t>
  </si>
  <si>
    <t>47.569.306/0001-27</t>
  </si>
  <si>
    <t>12420-440</t>
  </si>
  <si>
    <t>demilpinda@gmail.com</t>
  </si>
  <si>
    <t>42122, Wst Produtos Para Soldas Ltda</t>
  </si>
  <si>
    <t>Diadema</t>
  </si>
  <si>
    <t>53.924.644/0001-32</t>
  </si>
  <si>
    <t>09930-270</t>
  </si>
  <si>
    <t>financeiro@wstsoldas.com.br</t>
  </si>
  <si>
    <t>38506, Metatronica Eletronica E Automocao Industrial Ltda</t>
  </si>
  <si>
    <t>35.466.778/0001-75</t>
  </si>
  <si>
    <t>09182-410</t>
  </si>
  <si>
    <t>metatronica.weld@gmail.com</t>
  </si>
  <si>
    <t>**Verificar no BAV  revenda a revenda sobre o crescimento de vendas de maquinas industrial de 2025 para 2024</t>
  </si>
  <si>
    <t>Alterar tabela BMAX</t>
  </si>
  <si>
    <t>Criar conceito da revenda Diamante - fora SP</t>
  </si>
  <si>
    <t>Definição regional por estado - top 3</t>
  </si>
  <si>
    <t>Escrever Politica Comercial Industria</t>
  </si>
  <si>
    <t>Definições Zen ou Bmax para pagamento de comissão</t>
  </si>
  <si>
    <t>Comunicar internamente - Representantes e steakholders Boxer</t>
  </si>
  <si>
    <t>Evento com clientes SP</t>
  </si>
  <si>
    <t>Visitas para negociação com revendas fora de SP (Conceito Diamante)</t>
  </si>
  <si>
    <t>Passagem aerea</t>
  </si>
  <si>
    <t>somente ouro</t>
  </si>
  <si>
    <t>Item</t>
  </si>
  <si>
    <t>Valor (R$)</t>
  </si>
  <si>
    <t>Valor por pessoa</t>
  </si>
  <si>
    <t>Origem</t>
  </si>
  <si>
    <t>Qtde</t>
  </si>
  <si>
    <t>Valor médio ida e volta</t>
  </si>
  <si>
    <t>Valor total</t>
  </si>
  <si>
    <t>Passagens</t>
  </si>
  <si>
    <t>Traslados</t>
  </si>
  <si>
    <t>Hotel</t>
  </si>
  <si>
    <t>Camisetas + Brinde</t>
  </si>
  <si>
    <t>Coffee Break</t>
  </si>
  <si>
    <t>Kart + Jantar</t>
  </si>
  <si>
    <t>Total + 10% Contingência</t>
  </si>
  <si>
    <t>Lançamento previsto em 20 de Agosto (quinta)</t>
  </si>
  <si>
    <t>Victor</t>
  </si>
  <si>
    <t>Hugo</t>
  </si>
  <si>
    <t>Lucas Do Vale</t>
  </si>
  <si>
    <t>Lucas do Vale</t>
  </si>
  <si>
    <t>**Incluido recentemente</t>
  </si>
  <si>
    <t>Caio P Mancini</t>
  </si>
  <si>
    <t>Patrick</t>
  </si>
  <si>
    <t>Carlos</t>
  </si>
  <si>
    <t>Admin</t>
  </si>
  <si>
    <t>Billy</t>
  </si>
  <si>
    <t>André Coelho</t>
  </si>
  <si>
    <t>Bruno Lemma</t>
  </si>
  <si>
    <t>Ideia do Projeto BMax: A Revenda geralmente possui mais de uma opção de máquina de solda  industrial para oferecer ao cliente. Nós, como empresa, acabamos ficando para trás em diversas ocasiõs que eles poderiam trabalhar a nossa marca devido a isso. A partir de agora, vamos trabalhar nossas vendas industriais dos leads que chegam até nós, venda direta, sem esforço primário da revenda, e, assim que ocorrer a negociação até a venda, informaremos no portal essa trajetória e quando a venda for finalizada, a revenda receberá cashback para  resgatar ou trocar por máquinas (de todo o portfólio)</t>
  </si>
  <si>
    <t>Lead gerado por:</t>
  </si>
  <si>
    <t>QTD:</t>
  </si>
  <si>
    <t>V1, VT1 ou VT2</t>
  </si>
  <si>
    <t xml:space="preserve">1,2% de comissão </t>
  </si>
  <si>
    <t>**Visualiza a trajetória do Lead no portal BMax</t>
  </si>
  <si>
    <t>Ponto de partida é a negociação por robô e é liberado inclusão de qualquer outro produto Boxer na negociação / NF-e.</t>
  </si>
  <si>
    <t>1% de comissão para o representante da Região que é BMax</t>
  </si>
  <si>
    <t>**Visualiza a trajetória do Lead no portal BMax se for representante BMax da região</t>
  </si>
  <si>
    <t>Não contempla comissão</t>
  </si>
  <si>
    <t>**Não visualiza o Lead no portal BMax</t>
  </si>
  <si>
    <t>Ponto de partida é a negociação por + de 2 Laser (independente do LQ) e é liberado inclusão de qualquer outro produto Boxer na negociação / NF-e.</t>
  </si>
  <si>
    <t>Ponto de partida é a negociação é 1 Laser (independente de qual LQ será) e é liberado inclusão de qualquer outro produto Boxer na negociação / NF-e.</t>
  </si>
  <si>
    <t>1% se não ter revenda na região mas for representante BMax, e 3% se ter revenda Bmax na região</t>
  </si>
  <si>
    <t>Variável de 4 à 10%, se  revenda BMax for contemplada. Quem conduz toda a negociação é o V1, VT1 ou VT2</t>
  </si>
  <si>
    <t>CLUSTER MÁQ. INDUSTRIAL</t>
  </si>
  <si>
    <t>&gt;50K</t>
  </si>
  <si>
    <t>Ponto de partida é a negociação de máquinas industriais acima de 50K e é liberado inclusão de qualquer outro produto Boxer na negociação / NF-e.</t>
  </si>
  <si>
    <t>3% de comissão para o representante da Região que é BMax</t>
  </si>
  <si>
    <t>&lt;50K</t>
  </si>
  <si>
    <t>Ponto de partida é a negociação de máquinas industriais abaixo de 50K e é liberado inclusão de qualquer outro produto Boxer na negociação / NF-e.</t>
  </si>
  <si>
    <t xml:space="preserve">3% de comissão para o representante da Região que é BMax e 5% caso o cliente queira conduzir a venda </t>
  </si>
  <si>
    <r>
      <rPr>
        <sz val="11"/>
        <color rgb="FF000000"/>
        <rFont val="Aptos Narrow"/>
        <family val="2"/>
        <scheme val="minor"/>
      </rPr>
      <t xml:space="preserve">A revenda BMax que for contemplada decide se quer conduzir a negociação ou não antes mesmo que a Boxer passe qualquer valor sobre a negociação. A Revenda possui 24 horas para decidir se irá conduzir. após esse período, obrigatoriamente, selecionado ou não, a Boxer tem o direito de conduzir toda a negociação. </t>
    </r>
    <r>
      <rPr>
        <b/>
        <sz val="11"/>
        <color rgb="FF000000"/>
        <rFont val="Aptos Narrow"/>
        <family val="2"/>
        <scheme val="minor"/>
      </rPr>
      <t>Se a revenda optar por conduzir a negociação:</t>
    </r>
    <r>
      <rPr>
        <sz val="11"/>
        <color rgb="FF000000"/>
        <rFont val="Aptos Narrow"/>
        <family val="2"/>
        <scheme val="minor"/>
      </rPr>
      <t xml:space="preserve"> Boxer interrompe a negociação (Trava o CNPJ). </t>
    </r>
    <r>
      <rPr>
        <b/>
        <sz val="11"/>
        <color rgb="FF000000"/>
        <rFont val="Aptos Narrow"/>
        <family val="2"/>
        <scheme val="minor"/>
      </rPr>
      <t>Se a revanda optar po NÃO conduzir a negociação</t>
    </r>
    <r>
      <rPr>
        <sz val="11"/>
        <color rgb="FF000000"/>
        <rFont val="Aptos Narrow"/>
        <family val="2"/>
        <scheme val="minor"/>
      </rPr>
      <t>: O cashback é variável de 4 à 10%  e ai quem conduz toda a negociação é o V1, VT1 ou VT2</t>
    </r>
  </si>
  <si>
    <t>REVENDA Cenário 1</t>
  </si>
  <si>
    <t>Não entra no CRM e  Portal BMax</t>
  </si>
  <si>
    <t>Cenário antes BMax: B2B e Representante 5% comissão</t>
  </si>
  <si>
    <t>REVENDA Cenário 2</t>
  </si>
  <si>
    <t>Ponto de partida é a negociação de Máquinas Industriais, Robô e/ou Laser, independente da quantidade e valores, visto que a revenda levantou o lead e quer que a Boxer conduza diretamente comissionando após a venda.</t>
  </si>
  <si>
    <t>V1, VT1 ou VT2 = Podem incluir Leads que visitaram, deseginando com: LEAD GERADO PELA BOXER.</t>
  </si>
  <si>
    <t>V1, VT1 ou VT2 = Sempre comissão 1,2%</t>
  </si>
  <si>
    <t>Não existe Representante BMax sem ter uma Revenda  BMax na região.</t>
  </si>
  <si>
    <t>Se a aquisição de máquinas Industrial for MENOR que R$ 50 mil, a venda deve ser prioridade da revenda e do representante, onde a revenda terá o poder de escolha se querem executar por eles, ou pela Boxer. Se for escolhido por eles, encerramos toda a jornada por aqui, se for por nós, conduzimos toda a negociação comissionando Representante e Revenda</t>
  </si>
  <si>
    <t>Revenda fora do BMAX: Pode vender HARDMIG 450 desde que: NÃO anuncie no MKT Place, Não tenha Marca própria e não seja inadimplente (tratar o valor de aquisição tabela 3)</t>
  </si>
  <si>
    <t>Assim que o projeto BMax acontecer, o representante deverá explicar para as revendas que não fazem parte dele o motivo de não estarem sendo contempladas caso questionem e evidenciar os critérios para que a revenda possa um dia se tornar BMax (André e Billy dará suporte se precisar)</t>
  </si>
  <si>
    <t>SDR não precisa mais entrar em contato com o Representante comercial após iniciar o projeto</t>
  </si>
  <si>
    <t>Equipamentos para o projeto BMax segundo os CLUSTERS:</t>
  </si>
  <si>
    <t>CLUSTER ROBÔ:</t>
  </si>
  <si>
    <t>RM1450</t>
  </si>
  <si>
    <t>RM2000</t>
  </si>
  <si>
    <t>ROBÔ COLABORATIVO</t>
  </si>
  <si>
    <t>CLUSTER LASER:</t>
  </si>
  <si>
    <t>LQ 1250</t>
  </si>
  <si>
    <t>LQ 1550</t>
  </si>
  <si>
    <t>LQ 2050</t>
  </si>
  <si>
    <t>LQ 3050</t>
  </si>
  <si>
    <t>DURAMAX 285</t>
  </si>
  <si>
    <t>DURAMAX 326MV</t>
  </si>
  <si>
    <t>DURAMAX 630</t>
  </si>
  <si>
    <t>DURAMAX 1250</t>
  </si>
  <si>
    <t>HARDMIG 316MV</t>
  </si>
  <si>
    <t>HARDMIG 325 FLEX 220V</t>
  </si>
  <si>
    <t>HARDMIG 325 FLEX 380V</t>
  </si>
  <si>
    <t>HARDMIG 450MV</t>
  </si>
  <si>
    <t>HARDMIG 555MV</t>
  </si>
  <si>
    <t>ALUMIG 200DP</t>
  </si>
  <si>
    <t>ALUMIG 400DP</t>
  </si>
  <si>
    <t>M500 CCT</t>
  </si>
  <si>
    <t>TIGON  320P 220V</t>
  </si>
  <si>
    <t>TIGON 320P 380V</t>
  </si>
  <si>
    <t>ALUTIG 280 AC/DC 220V</t>
  </si>
  <si>
    <t>ALUTIG 280 AC/DC 380V</t>
  </si>
  <si>
    <t>ALUTIG 350 AC/DC 220V</t>
  </si>
  <si>
    <t>ALUTIG 320 AC/DC 380V</t>
  </si>
  <si>
    <t>HARDCUT 82 220V</t>
  </si>
  <si>
    <t>HARDCUT 82 380V</t>
  </si>
  <si>
    <t>HARDCUT 105X</t>
  </si>
  <si>
    <t>Regra de aquisição e venda para revendas BMax e revendas que não são BMax</t>
  </si>
  <si>
    <t>Revendas NÃO BMax</t>
  </si>
  <si>
    <t>Podem comprar e revender máquinas:</t>
  </si>
  <si>
    <t>MINI MONSTRO</t>
  </si>
  <si>
    <t>**pode anúnciar no e-commerce</t>
  </si>
  <si>
    <t>TOUCH 150 BV</t>
  </si>
  <si>
    <t>MINI FLAMA</t>
  </si>
  <si>
    <t>FLAMA 161 BV</t>
  </si>
  <si>
    <t xml:space="preserve">Cashback </t>
  </si>
  <si>
    <t>incluir o BMAX cashback como um campo no ZEN (algum botão para clicar e ficar visível para depois rastrear os pedidos que foram  totalmente ou parciais com o uso do mesmo)</t>
  </si>
  <si>
    <t xml:space="preserve">CASHBACK </t>
  </si>
  <si>
    <t>Abatido em compras e/ou revertido em qualquer produto Boxer Soldas. (Sem prazo de uso do mesmo)</t>
  </si>
  <si>
    <t>O Cashback deverá ser no máximo 40% da compra. Exemplo: compra de 20.000$ = 8.000$ resgatados</t>
  </si>
  <si>
    <t>Assim que a revenda clicar em usar caschback no portal, deverá infomar o valor do cashback a ser utilizado e é disparado um e-mail ao representante comercial, onde o mesm</t>
  </si>
  <si>
    <t>Ponto de Melhoria?</t>
  </si>
  <si>
    <t>Quem fez a questão?</t>
  </si>
  <si>
    <t>Sugestão de solução?</t>
  </si>
  <si>
    <t>Definição</t>
  </si>
  <si>
    <t>Tarefas:</t>
  </si>
  <si>
    <t>Status? Realizado?</t>
  </si>
  <si>
    <t>Cliente que já fez alguma compra com alguma revenda, como evitar que ele busque a Boxer e tenha acesso a comprar direto?</t>
  </si>
  <si>
    <t>Suprimig</t>
  </si>
  <si>
    <t>Ter alguma forma da revenda notificar Boxer da parceria com determinado CNPJ (envio de algum relatorio de visita, semelhando ao vinculo que era proposto inicialmente)</t>
  </si>
  <si>
    <t>Criar um segundo modulo para que a revenda possa incluir o lead que ela esta trabalhando. Necessario subir orçamento, CNPJ, etc)</t>
  </si>
  <si>
    <t>1. Criar modulo no portal - @ayrton
2. Incuir explicação no documento mãe do projeto
3. Incluir explicação na apresentação para os clientes;</t>
  </si>
  <si>
    <t>O portal deveria tornar possível que a revenda suba as negociações dela com o orçamento (validade até 30 dias)</t>
  </si>
  <si>
    <t>Se ter venda do Heithor em Araraquara por exemplo, não é contemplado como negociação dele no portal (não admitiremos isso)</t>
  </si>
  <si>
    <t>Como oferecer chance da revenda de fazer uma venda por ele primeiro, para somente depois a Boxer tentar a venda direta?</t>
  </si>
  <si>
    <t>Boxer envia Lead para revenda, revenda tem X dias para apresentar relatorio/ feedback. Se não vier, autorizado vender direto.</t>
  </si>
  <si>
    <t>Não, porque....</t>
  </si>
  <si>
    <t>O portal deveria tornar possível que a revenda suba as negociações dela com o orçamento (validade até 30 dias) até mesmo ára vendas &gt;50K (explicar os resultados dos cenarios que não deram certo.)</t>
  </si>
  <si>
    <t>Como a Boxer poderia compartilhar os dados dos Leads com as revendas para que ela possa acessar a industria e continuar vendendo outros produtos ou mesmo acessorios/ complementos Boxer</t>
  </si>
  <si>
    <t>Diferencial dentro do Bmax para atrair mais Lead ou classificar revenda</t>
  </si>
  <si>
    <t>Meta de demonstração por mês;
Quem for revenda exclusiva</t>
  </si>
  <si>
    <t>Se industria comprou pelo Bmax, quando ele for recomprar qual é a regra?</t>
  </si>
  <si>
    <t>Apenas deixar claro no projeto</t>
  </si>
  <si>
    <t>Comprou pela segunda vez, comissionamento menor</t>
  </si>
  <si>
    <t>Como fazer para não ter mais de 1 revenda Bmax na cidade?</t>
  </si>
  <si>
    <t>Determinar que cidades de até X tamanho tem que ter apenas 1 revenda;
Criar criterio que deixe claro que uma revenda esta a frente da outra - meta de treinamento ou demonstração, garante diferencial para proximo mês</t>
  </si>
  <si>
    <t>se a revenda é exclusiva Boxer</t>
  </si>
  <si>
    <t>Incluir cashback para a revenda referente a venda de Laser quando seguir regras do PCI (revenda BMax no local) mas que esse cashback esteja apenas visível ao representante para utilizar como futuras negociações (apontamento feito devido a venda já ser realizada direta)</t>
  </si>
  <si>
    <t>Rep. Victor</t>
  </si>
  <si>
    <t>Estar visível SIM para a revenda contemplada pois é pilar do projeto BMax (diferente do Robô), onde, a revenda não poderá influenciar em nenhuma parte da negociação.</t>
  </si>
  <si>
    <t>Incluir no projeto BMax as negociações que são levantadas pela revenda, exemplo: Danilo Technofer trouxe uma negociação LQ 1550 que ele deseja que a Boxer faça a venda e comissione ele posteriormente e que a fase de negociação fique visível no portal BMax</t>
  </si>
  <si>
    <t>Rep. Victor / Technofer</t>
  </si>
  <si>
    <t>V2 faz inclusão manual no RDStation e fica evidente como se fosse um lead gerado via Marketing.</t>
  </si>
  <si>
    <t>Luitex Americana e SBO x Eletrosolda. Como fazer a divisão de leads por estarem se encontrando dentro do mesmo raio de atuação?</t>
  </si>
  <si>
    <t>Manualmente, terá a divisão de acordo com a quantidade de leads em fase de negociação</t>
  </si>
  <si>
    <t>Consulta do SRD</t>
  </si>
  <si>
    <t>Listar as revendas que possam dividir o mesmo espaço; Fazer a distribuição manualmente.</t>
  </si>
  <si>
    <t>Primeiro contato precisa ser SDR? sendo que para encontrar a real necessidade do cliente, as vezes aparece apenas como HARDMIG 450, mas não se sabe se é 1 ou se são 10 a aquisição.</t>
  </si>
  <si>
    <t>Diego Alphabras</t>
  </si>
  <si>
    <t>Sim, precisa ser SDR, dizendo entendendo a necessidade do cliente para incluir o perfil PCI 15 ou outro. SDR precisa ser assertivo no entendimento se vão ser 1 ou se serão 10 máquinas.</t>
  </si>
  <si>
    <t>SDR Conduz para chegar no poder de escolha posterior da revenda no Portal, ser passar valores, apenas entendendo o poder de compra/quantidade</t>
  </si>
  <si>
    <t xml:space="preserve">Similar a </t>
  </si>
  <si>
    <t>Podemos avisar a revenda que não faz parte do BMax que eles NÃO PODEM COMPRAR E REVENDER equipamentos industriais?</t>
  </si>
  <si>
    <t>Rep. Victor / Rep. Fernando</t>
  </si>
  <si>
    <t>Ver Juridicamente se tem essa possibilidade, definindo como regra de que quem não faz parte do projeto BMax, NÃO pode comrpar e revender equipamentos industrisi e ver se isso não nos afetará em nada como empresa.</t>
  </si>
  <si>
    <t>Considerar a HARDMIG 325 e 316 ainda para comercializar na revenda NÃO BMax. e ALUTIG 200 AC/DC / TIGON 225P, HARDCUT 52BV</t>
  </si>
  <si>
    <t>Rep. Fernando</t>
  </si>
  <si>
    <t xml:space="preserve">Sim, pode ser considerado </t>
  </si>
  <si>
    <t>Como fazer com as demandas de venda de máquinas industriais com as revendas que não são parte do projeto BMax?</t>
  </si>
  <si>
    <t>Rep. Fernando, Victor</t>
  </si>
  <si>
    <t>Fazer com que as revendas façam parte do projeto para continuar vendendo os equipamentos industriais apresentando o projeto, quem não for,  incluir uma tabela de Varejo 4 e NÃO pode vender no mkt place. Canal E-commerce e Hibrido NÃO podem anunciar na internet</t>
  </si>
  <si>
    <t>cashback: cliente retira os itens que quer, ou serão itens pré determinados?</t>
  </si>
  <si>
    <t>-</t>
  </si>
  <si>
    <t>Clientes podem usufruir do cashback para qualquer produtos comercializado Boxer Soldas</t>
  </si>
  <si>
    <t>segundo estágio: revendas que são ouro deverão lista o nome da equipe de demonstração. essa equipe de demonstração deverá passar por reciclagem</t>
  </si>
  <si>
    <t>billy</t>
  </si>
  <si>
    <t>segundo momento após a implantação</t>
  </si>
  <si>
    <t>Cashback aparecer no ZEN</t>
  </si>
  <si>
    <t>editar e incluir aqui Billy</t>
  </si>
  <si>
    <t>Alterações:</t>
  </si>
  <si>
    <t>Laser: Tudo bem vender pelo V2 mas NÃO comunicar a revenda.</t>
  </si>
  <si>
    <t>MUDANÇAS NESTE CENÁRIO: PCI6 e PCI9 será uma venda feita pelo V2, onde, o V2 escolhe a revenda que será contemplada, porém toda a fase de negociação até a venda NÃO fica visível para a revenda no portal BMax e isso aparece apenas para o representante (visível apenas no login do representante para o mesmo utilizar o cashback para ações com a revenda, caso do rep. Victor)</t>
  </si>
  <si>
    <t>Segundo o vitão, revenda ganhar de 6 à 10% não rola! produto fica com um valor muito elevado. Em comparação ao mercado, eu acredito também que não é viável.</t>
  </si>
  <si>
    <t>sempre que tiver uma venda bmax, precisamos de algum responsável para verificar a revenda = quem será o nosso apoio?</t>
  </si>
  <si>
    <t>PCI15 defina a forma da venda: revenda por exemplo: vou vender direto OU fazer a venda internamente</t>
  </si>
  <si>
    <t>redigir nas regras: o cashback gerado tem validade de 180 dias. o cashback pode ser usado como bonificação (vinculado a um pedido de compra) ou desconto no pedido, sendo, que o uso do cashback é permitido em apenas 10% do pedido de compra. EX: se  a revenda x tem 50k$ de cashback e vai fazer um pedido de 100K$ ele pode usar no maximo 10.000$ .</t>
  </si>
  <si>
    <t>viabilizar para o cara prata também ganhar</t>
  </si>
  <si>
    <t>1.</t>
  </si>
  <si>
    <t>Construir politica comercial da Industria</t>
  </si>
  <si>
    <t>2.</t>
  </si>
  <si>
    <t>Apresentar o projeto para outras revendas para teste</t>
  </si>
  <si>
    <t>3.</t>
  </si>
  <si>
    <t>Realizar reunião de lançamento interno do projeto Bmax (já com revendas definidas)</t>
  </si>
  <si>
    <t>4.</t>
  </si>
  <si>
    <t>Definir efetivamente lista de criterios para revendas Bmax</t>
  </si>
  <si>
    <t>5.</t>
  </si>
  <si>
    <t>Classificar Máquinas que serão possibilidade para aquisição da revenda (Billy)</t>
  </si>
  <si>
    <t>6.</t>
  </si>
  <si>
    <t>Criar playbook do SDR e dos vendedores (passo-a-passo)</t>
  </si>
  <si>
    <t>7.</t>
  </si>
  <si>
    <t>Criar uma variável para que a medida que a pessoa utilize o cashback, o valor cashback total seja reduzido/ alterado (Ayrton)</t>
  </si>
  <si>
    <t>8.</t>
  </si>
  <si>
    <t>Passar quantidade de revendas para o André (apenas para ele ver quantas tem inscritas já) (Billy)</t>
  </si>
  <si>
    <t>Usar o Portal BMax para quando a revenda incluir um orçamento e ao alocar o CNPJ, se tiver vermelho, não deixar avançar pois tem negociação já em aberta com Boxer, e, se a Boxer receber lead e tentar cadastrar e quando aparecer no portal o cnpj em vermelho, não deixar avançar pois ja tem negociação da revenda em aberto</t>
  </si>
  <si>
    <t>criar Funil Bmax</t>
  </si>
  <si>
    <t>Playbook SDR - Após primeiro contato contato para checagem de CNPJ / Empresa, verificar sempre o histórico para ver quantidade de negociações em aberto e o principal: ver se a negociação NÃO se encontra no funil BMax. Se estiver no funil BMax, o SDR não caminha com a negociação (não repassa aos representantes)</t>
  </si>
  <si>
    <t>Ayrton - NÃO deixar Revenda criar orçamento que já possuem CNPJ cadastrado em negociações.</t>
  </si>
  <si>
    <t>Revenda quer fazer a venda pci 15 por eles: Ao passar para o funil indústria, a kimberly NÃO coloca o responsável pelo lead, apenas informar o representante e a revenda contemplada para que a mesma informe em 24 horas se vai querer executar essa venda por eles (BOX &gt; REV) ou se deseja que nós realizamos a venda comissionando eles (BOX+REV&gt;IND):</t>
  </si>
  <si>
    <t>&gt; Caso a revenda puxe essa venda para eles, o lead deverá ser movimentado para a nova coluna NEGOCIAÇÃO REVENDA e ali permanecer (*A Kimberly poderá ver isso no portal BMax a decisão da revenda)</t>
  </si>
  <si>
    <t>&gt; Caso a revenda desejar que nós executamos a venda comissionando eles, a Kimberly deverá informar o responsável pelo LEAD no funil industria após as 24 Horas de escolha.</t>
  </si>
  <si>
    <t>Playbook V1, VT1 e VT2</t>
  </si>
  <si>
    <t>Vendedor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</si>
</sst>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43" formatCode="_-* #,##0.00_-;\-* #,##0.00_-;_-* &quot;-&quot;??_-;_-@_-"/>
    <numFmt numFmtId="164" formatCode="0.0%"/>
    <numFmt numFmtId="165" formatCode="_-* #,##0_-;\-* #,##0_-;_-* &quot;-&quot;??_-;_-@_-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222222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color rgb="FF000000"/>
      <name val="Arial"/>
      <family val="2"/>
      <charset val="1"/>
    </font>
    <font>
      <b/>
      <sz val="10"/>
      <color rgb="FF222222"/>
      <name val="Aptos Narrow"/>
      <family val="2"/>
    </font>
    <font>
      <sz val="11"/>
      <color rgb="FF000000"/>
      <name val="Aptos Narrow"/>
      <family val="2"/>
    </font>
    <font>
      <sz val="10"/>
      <color rgb="FF222222"/>
      <name val="Aptos Narrow"/>
      <family val="2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0"/>
      <color theme="1"/>
      <name val="Aptos Narrow"/>
      <family val="2"/>
      <scheme val="minor"/>
    </font>
    <font>
      <b/>
      <sz val="11"/>
      <name val="Calibri"/>
      <family val="2"/>
    </font>
    <font>
      <b/>
      <sz val="10"/>
      <color rgb="FF222222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scheme val="minor"/>
    </font>
    <font>
      <sz val="10"/>
      <color rgb="FF303030"/>
      <name val="Aptos Narrow"/>
      <scheme val="minor"/>
    </font>
    <font>
      <sz val="10"/>
      <color rgb="FF303030"/>
      <name val="Anek Latin"/>
      <charset val="1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000000"/>
      <name val="AnekLatin"/>
      <charset val="1"/>
    </font>
    <font>
      <sz val="12"/>
      <color rgb="FF303030"/>
      <name val="Anek Latin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theme="0" tint="-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rgb="FF000000"/>
      </top>
      <bottom style="thin">
        <color theme="2" tint="-0.249977111117893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0" tint="-0.499984740745262"/>
      </right>
      <top style="thin">
        <color theme="0" tint="-0.499984740745262"/>
      </top>
      <bottom style="thin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3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/>
    <xf numFmtId="164" fontId="0" fillId="0" borderId="0" xfId="1" applyNumberFormat="1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7" borderId="0" xfId="0" applyFont="1" applyFill="1"/>
    <xf numFmtId="0" fontId="3" fillId="5" borderId="0" xfId="0" applyFont="1" applyFill="1" applyAlignment="1">
      <alignment horizontal="center"/>
    </xf>
    <xf numFmtId="0" fontId="2" fillId="8" borderId="0" xfId="0" applyFont="1" applyFill="1"/>
    <xf numFmtId="0" fontId="2" fillId="5" borderId="0" xfId="0" applyFont="1" applyFill="1" applyAlignment="1">
      <alignment horizontal="left"/>
    </xf>
    <xf numFmtId="0" fontId="3" fillId="10" borderId="3" xfId="0" applyFont="1" applyFill="1" applyBorder="1"/>
    <xf numFmtId="0" fontId="0" fillId="0" borderId="3" xfId="0" applyBorder="1"/>
    <xf numFmtId="0" fontId="0" fillId="0" borderId="3" xfId="0" quotePrefix="1" applyBorder="1" applyAlignment="1">
      <alignment horizontal="center"/>
    </xf>
    <xf numFmtId="0" fontId="3" fillId="0" borderId="3" xfId="0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9" fillId="15" borderId="3" xfId="0" applyFont="1" applyFill="1" applyBorder="1"/>
    <xf numFmtId="0" fontId="8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164" fontId="0" fillId="10" borderId="3" xfId="1" applyNumberFormat="1" applyFont="1" applyFill="1" applyBorder="1" applyAlignment="1">
      <alignment horizontal="center"/>
    </xf>
    <xf numFmtId="0" fontId="2" fillId="9" borderId="0" xfId="0" applyFont="1" applyFill="1"/>
    <xf numFmtId="0" fontId="9" fillId="9" borderId="0" xfId="0" applyFont="1" applyFill="1" applyAlignment="1">
      <alignment horizontal="center"/>
    </xf>
    <xf numFmtId="0" fontId="9" fillId="9" borderId="0" xfId="0" applyFont="1" applyFill="1"/>
    <xf numFmtId="0" fontId="9" fillId="10" borderId="0" xfId="0" applyFont="1" applyFill="1" applyAlignment="1">
      <alignment horizontal="center"/>
    </xf>
    <xf numFmtId="0" fontId="9" fillId="10" borderId="0" xfId="0" applyFont="1" applyFill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6" borderId="6" xfId="0" applyFont="1" applyFill="1" applyBorder="1"/>
    <xf numFmtId="0" fontId="0" fillId="6" borderId="7" xfId="0" applyFill="1" applyBorder="1"/>
    <xf numFmtId="0" fontId="0" fillId="6" borderId="8" xfId="0" applyFill="1" applyBorder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6" borderId="0" xfId="0" applyFill="1"/>
    <xf numFmtId="0" fontId="8" fillId="2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12" fillId="0" borderId="0" xfId="0" applyFont="1" applyAlignment="1">
      <alignment readingOrder="1"/>
    </xf>
    <xf numFmtId="0" fontId="5" fillId="13" borderId="4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0" fillId="6" borderId="2" xfId="0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5" fillId="0" borderId="0" xfId="0" applyFont="1"/>
    <xf numFmtId="0" fontId="13" fillId="16" borderId="0" xfId="0" applyFont="1" applyFill="1"/>
    <xf numFmtId="0" fontId="15" fillId="16" borderId="0" xfId="0" applyFont="1" applyFill="1"/>
    <xf numFmtId="0" fontId="14" fillId="0" borderId="0" xfId="0" applyFont="1" applyAlignment="1">
      <alignment horizontal="center"/>
    </xf>
    <xf numFmtId="0" fontId="13" fillId="0" borderId="0" xfId="0" applyFont="1"/>
    <xf numFmtId="0" fontId="17" fillId="16" borderId="0" xfId="0" applyFont="1" applyFill="1"/>
    <xf numFmtId="0" fontId="16" fillId="16" borderId="0" xfId="0" applyFont="1" applyFill="1"/>
    <xf numFmtId="0" fontId="6" fillId="16" borderId="0" xfId="0" applyFont="1" applyFill="1"/>
    <xf numFmtId="0" fontId="18" fillId="16" borderId="0" xfId="0" applyFont="1" applyFill="1"/>
    <xf numFmtId="0" fontId="15" fillId="16" borderId="0" xfId="0" applyFont="1" applyFill="1" applyAlignment="1">
      <alignment horizontal="center"/>
    </xf>
    <xf numFmtId="0" fontId="6" fillId="16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6" fillId="16" borderId="0" xfId="0" applyFont="1" applyFill="1" applyAlignment="1">
      <alignment horizontal="center"/>
    </xf>
    <xf numFmtId="0" fontId="19" fillId="0" borderId="0" xfId="0" applyFont="1"/>
    <xf numFmtId="43" fontId="19" fillId="0" borderId="0" xfId="2" applyFont="1"/>
    <xf numFmtId="43" fontId="0" fillId="0" borderId="0" xfId="2" applyFont="1"/>
    <xf numFmtId="0" fontId="3" fillId="0" borderId="0" xfId="0" applyFont="1" applyAlignment="1">
      <alignment horizontal="center" vertical="center" wrapText="1"/>
    </xf>
    <xf numFmtId="6" fontId="0" fillId="0" borderId="0" xfId="0" applyNumberFormat="1"/>
    <xf numFmtId="6" fontId="0" fillId="0" borderId="0" xfId="0" applyNumberFormat="1" applyAlignment="1">
      <alignment vertical="center" wrapText="1"/>
    </xf>
    <xf numFmtId="0" fontId="3" fillId="0" borderId="0" xfId="0" applyFont="1" applyAlignment="1">
      <alignment horizontal="left"/>
    </xf>
    <xf numFmtId="0" fontId="18" fillId="0" borderId="0" xfId="0" applyFont="1"/>
    <xf numFmtId="0" fontId="10" fillId="17" borderId="0" xfId="0" applyFont="1" applyFill="1" applyAlignment="1">
      <alignment vertical="center"/>
    </xf>
    <xf numFmtId="0" fontId="10" fillId="17" borderId="0" xfId="0" applyFont="1" applyFill="1" applyAlignment="1">
      <alignment horizontal="center" vertical="center"/>
    </xf>
    <xf numFmtId="0" fontId="20" fillId="17" borderId="0" xfId="0" applyFont="1" applyFill="1" applyAlignment="1">
      <alignment vertical="center"/>
    </xf>
    <xf numFmtId="0" fontId="21" fillId="17" borderId="0" xfId="0" applyFont="1" applyFill="1" applyAlignment="1">
      <alignment vertical="center"/>
    </xf>
    <xf numFmtId="0" fontId="6" fillId="17" borderId="0" xfId="0" applyFont="1" applyFill="1"/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/>
    <xf numFmtId="0" fontId="23" fillId="0" borderId="0" xfId="0" applyFont="1"/>
    <xf numFmtId="0" fontId="24" fillId="0" borderId="0" xfId="0" applyFont="1"/>
    <xf numFmtId="0" fontId="3" fillId="9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9" xfId="0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3" fillId="8" borderId="28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3" fillId="2" borderId="0" xfId="0" applyFont="1" applyFill="1"/>
    <xf numFmtId="0" fontId="0" fillId="2" borderId="0" xfId="0" applyFill="1"/>
    <xf numFmtId="0" fontId="25" fillId="0" borderId="0" xfId="0" quotePrefix="1" applyFont="1"/>
    <xf numFmtId="0" fontId="0" fillId="0" borderId="0" xfId="0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165" fontId="0" fillId="0" borderId="0" xfId="2" applyNumberFormat="1" applyFont="1"/>
    <xf numFmtId="0" fontId="0" fillId="0" borderId="0" xfId="0" applyAlignment="1">
      <alignment horizontal="center" wrapText="1"/>
    </xf>
    <xf numFmtId="0" fontId="18" fillId="0" borderId="0" xfId="0" applyFont="1" applyAlignment="1">
      <alignment wrapText="1"/>
    </xf>
    <xf numFmtId="0" fontId="14" fillId="0" borderId="0" xfId="0" applyFont="1"/>
    <xf numFmtId="164" fontId="0" fillId="2" borderId="3" xfId="1" applyNumberFormat="1" applyFont="1" applyFill="1" applyBorder="1" applyAlignment="1">
      <alignment horizontal="center"/>
    </xf>
    <xf numFmtId="0" fontId="27" fillId="0" borderId="0" xfId="3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 applyAlignment="1">
      <alignment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31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0" fontId="34" fillId="0" borderId="0" xfId="0" applyFont="1"/>
    <xf numFmtId="0" fontId="34" fillId="0" borderId="0" xfId="0" applyFont="1" applyAlignment="1">
      <alignment wrapText="1"/>
    </xf>
    <xf numFmtId="0" fontId="27" fillId="0" borderId="0" xfId="3" applyAlignment="1">
      <alignment wrapText="1"/>
    </xf>
    <xf numFmtId="0" fontId="2" fillId="19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20" borderId="3" xfId="1" applyNumberFormat="1" applyFont="1" applyFill="1" applyBorder="1" applyAlignment="1">
      <alignment horizontal="center"/>
    </xf>
    <xf numFmtId="43" fontId="3" fillId="0" borderId="0" xfId="2" applyFont="1"/>
    <xf numFmtId="0" fontId="20" fillId="20" borderId="0" xfId="0" applyFont="1" applyFill="1" applyAlignment="1">
      <alignment vertical="center"/>
    </xf>
    <xf numFmtId="0" fontId="3" fillId="0" borderId="17" xfId="0" applyFont="1" applyBorder="1" applyAlignment="1">
      <alignment horizontal="center"/>
    </xf>
    <xf numFmtId="0" fontId="3" fillId="12" borderId="20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42" xfId="0" applyFill="1" applyBorder="1" applyAlignment="1">
      <alignment horizontal="center" vertical="center"/>
    </xf>
    <xf numFmtId="0" fontId="3" fillId="21" borderId="3" xfId="0" applyFont="1" applyFill="1" applyBorder="1"/>
    <xf numFmtId="0" fontId="9" fillId="21" borderId="0" xfId="0" applyFont="1" applyFill="1" applyAlignment="1">
      <alignment horizontal="center"/>
    </xf>
    <xf numFmtId="0" fontId="9" fillId="21" borderId="0" xfId="0" applyFont="1" applyFill="1"/>
    <xf numFmtId="164" fontId="22" fillId="0" borderId="3" xfId="1" applyNumberFormat="1" applyFont="1" applyBorder="1" applyAlignment="1">
      <alignment horizontal="center"/>
    </xf>
    <xf numFmtId="164" fontId="22" fillId="0" borderId="3" xfId="0" applyNumberFormat="1" applyFont="1" applyBorder="1" applyAlignment="1">
      <alignment horizontal="center"/>
    </xf>
    <xf numFmtId="164" fontId="22" fillId="2" borderId="3" xfId="1" applyNumberFormat="1" applyFont="1" applyFill="1" applyBorder="1" applyAlignment="1">
      <alignment horizontal="center"/>
    </xf>
    <xf numFmtId="9" fontId="0" fillId="0" borderId="3" xfId="1" applyFont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0" fontId="3" fillId="6" borderId="0" xfId="0" applyFont="1" applyFill="1"/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11" fillId="11" borderId="0" xfId="0" applyFont="1" applyFill="1" applyAlignment="1">
      <alignment vertical="center"/>
    </xf>
    <xf numFmtId="0" fontId="11" fillId="11" borderId="0" xfId="0" applyFont="1" applyFill="1" applyAlignment="1">
      <alignment horizontal="center" vertical="center"/>
    </xf>
    <xf numFmtId="9" fontId="8" fillId="0" borderId="3" xfId="1" applyFont="1" applyFill="1" applyBorder="1" applyAlignment="1">
      <alignment horizontal="center"/>
    </xf>
    <xf numFmtId="164" fontId="8" fillId="0" borderId="3" xfId="1" applyNumberFormat="1" applyFont="1" applyFill="1" applyBorder="1" applyAlignment="1">
      <alignment horizontal="center"/>
    </xf>
    <xf numFmtId="9" fontId="8" fillId="0" borderId="3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4" fontId="0" fillId="0" borderId="3" xfId="1" applyNumberFormat="1" applyFont="1" applyFill="1" applyBorder="1" applyAlignment="1">
      <alignment horizontal="center"/>
    </xf>
    <xf numFmtId="9" fontId="0" fillId="0" borderId="3" xfId="1" applyFont="1" applyFill="1" applyBorder="1" applyAlignment="1">
      <alignment horizontal="center"/>
    </xf>
    <xf numFmtId="9" fontId="23" fillId="0" borderId="3" xfId="1" applyFont="1" applyFill="1" applyBorder="1" applyAlignment="1">
      <alignment horizontal="center"/>
    </xf>
    <xf numFmtId="0" fontId="2" fillId="8" borderId="6" xfId="0" applyFont="1" applyFill="1" applyBorder="1"/>
    <xf numFmtId="0" fontId="2" fillId="8" borderId="7" xfId="0" applyFont="1" applyFill="1" applyBorder="1"/>
    <xf numFmtId="0" fontId="2" fillId="8" borderId="8" xfId="0" applyFont="1" applyFill="1" applyBorder="1"/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/>
    </xf>
    <xf numFmtId="0" fontId="11" fillId="11" borderId="46" xfId="0" applyFont="1" applyFill="1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9" fillId="9" borderId="45" xfId="0" applyFont="1" applyFill="1" applyBorder="1"/>
    <xf numFmtId="0" fontId="9" fillId="9" borderId="46" xfId="0" applyFont="1" applyFill="1" applyBorder="1"/>
    <xf numFmtId="164" fontId="0" fillId="0" borderId="47" xfId="1" applyNumberFormat="1" applyFont="1" applyFill="1" applyBorder="1" applyAlignment="1">
      <alignment horizontal="center"/>
    </xf>
    <xf numFmtId="164" fontId="0" fillId="0" borderId="48" xfId="1" applyNumberFormat="1" applyFont="1" applyBorder="1" applyAlignment="1">
      <alignment horizontal="center"/>
    </xf>
    <xf numFmtId="0" fontId="9" fillId="10" borderId="45" xfId="0" applyFont="1" applyFill="1" applyBorder="1"/>
    <xf numFmtId="0" fontId="9" fillId="10" borderId="46" xfId="0" applyFont="1" applyFill="1" applyBorder="1"/>
    <xf numFmtId="164" fontId="8" fillId="0" borderId="47" xfId="0" applyNumberFormat="1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9" fillId="21" borderId="45" xfId="0" applyFont="1" applyFill="1" applyBorder="1" applyAlignment="1">
      <alignment horizontal="center"/>
    </xf>
    <xf numFmtId="0" fontId="9" fillId="21" borderId="46" xfId="0" applyFont="1" applyFill="1" applyBorder="1" applyAlignment="1">
      <alignment horizontal="center"/>
    </xf>
    <xf numFmtId="164" fontId="8" fillId="0" borderId="48" xfId="0" applyNumberFormat="1" applyFont="1" applyBorder="1" applyAlignment="1">
      <alignment horizontal="center"/>
    </xf>
    <xf numFmtId="0" fontId="9" fillId="13" borderId="45" xfId="0" applyFont="1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9" fillId="13" borderId="46" xfId="0" applyFont="1" applyFill="1" applyBorder="1" applyAlignment="1">
      <alignment horizontal="center"/>
    </xf>
    <xf numFmtId="9" fontId="0" fillId="0" borderId="47" xfId="1" applyFont="1" applyFill="1" applyBorder="1" applyAlignment="1">
      <alignment horizontal="center"/>
    </xf>
    <xf numFmtId="9" fontId="0" fillId="0" borderId="48" xfId="1" applyFont="1" applyFill="1" applyBorder="1" applyAlignment="1">
      <alignment horizontal="center"/>
    </xf>
    <xf numFmtId="0" fontId="9" fillId="11" borderId="45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46" xfId="0" applyFont="1" applyFill="1" applyBorder="1" applyAlignment="1">
      <alignment horizontal="center"/>
    </xf>
    <xf numFmtId="164" fontId="8" fillId="0" borderId="47" xfId="1" applyNumberFormat="1" applyFont="1" applyFill="1" applyBorder="1" applyAlignment="1">
      <alignment horizontal="center"/>
    </xf>
    <xf numFmtId="0" fontId="3" fillId="7" borderId="6" xfId="0" applyFont="1" applyFill="1" applyBorder="1"/>
    <xf numFmtId="0" fontId="3" fillId="7" borderId="7" xfId="0" applyFont="1" applyFill="1" applyBorder="1"/>
    <xf numFmtId="0" fontId="3" fillId="7" borderId="8" xfId="0" applyFont="1" applyFill="1" applyBorder="1"/>
    <xf numFmtId="0" fontId="2" fillId="3" borderId="44" xfId="0" applyFont="1" applyFill="1" applyBorder="1" applyAlignment="1">
      <alignment horizontal="center"/>
    </xf>
    <xf numFmtId="0" fontId="2" fillId="19" borderId="46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9" fillId="9" borderId="45" xfId="0" applyFont="1" applyFill="1" applyBorder="1" applyAlignment="1">
      <alignment horizontal="center"/>
    </xf>
    <xf numFmtId="0" fontId="9" fillId="9" borderId="46" xfId="0" applyFont="1" applyFill="1" applyBorder="1" applyAlignment="1">
      <alignment horizontal="center"/>
    </xf>
    <xf numFmtId="164" fontId="0" fillId="0" borderId="48" xfId="1" applyNumberFormat="1" applyFont="1" applyFill="1" applyBorder="1" applyAlignment="1">
      <alignment horizontal="center"/>
    </xf>
    <xf numFmtId="0" fontId="9" fillId="10" borderId="45" xfId="0" applyFont="1" applyFill="1" applyBorder="1" applyAlignment="1">
      <alignment horizontal="center"/>
    </xf>
    <xf numFmtId="0" fontId="9" fillId="10" borderId="46" xfId="0" applyFont="1" applyFill="1" applyBorder="1" applyAlignment="1">
      <alignment horizontal="center"/>
    </xf>
    <xf numFmtId="9" fontId="8" fillId="0" borderId="47" xfId="1" applyFont="1" applyFill="1" applyBorder="1" applyAlignment="1">
      <alignment horizontal="center"/>
    </xf>
    <xf numFmtId="9" fontId="8" fillId="0" borderId="48" xfId="0" applyNumberFormat="1" applyFont="1" applyBorder="1" applyAlignment="1">
      <alignment horizontal="center"/>
    </xf>
    <xf numFmtId="164" fontId="8" fillId="0" borderId="48" xfId="1" applyNumberFormat="1" applyFont="1" applyFill="1" applyBorder="1" applyAlignment="1">
      <alignment horizontal="center"/>
    </xf>
    <xf numFmtId="164" fontId="23" fillId="0" borderId="48" xfId="1" applyNumberFormat="1" applyFont="1" applyFill="1" applyBorder="1" applyAlignment="1">
      <alignment horizontal="center"/>
    </xf>
    <xf numFmtId="9" fontId="23" fillId="0" borderId="48" xfId="1" applyFont="1" applyFill="1" applyBorder="1" applyAlignment="1">
      <alignment horizontal="center"/>
    </xf>
    <xf numFmtId="0" fontId="2" fillId="3" borderId="4" xfId="0" applyFont="1" applyFill="1" applyBorder="1"/>
    <xf numFmtId="0" fontId="8" fillId="0" borderId="4" xfId="0" applyFont="1" applyBorder="1" applyAlignment="1">
      <alignment vertical="center"/>
    </xf>
    <xf numFmtId="0" fontId="0" fillId="0" borderId="43" xfId="0" applyBorder="1"/>
    <xf numFmtId="0" fontId="3" fillId="10" borderId="43" xfId="0" applyFont="1" applyFill="1" applyBorder="1"/>
    <xf numFmtId="0" fontId="3" fillId="0" borderId="43" xfId="0" applyFont="1" applyBorder="1" applyAlignment="1">
      <alignment horizontal="center"/>
    </xf>
    <xf numFmtId="0" fontId="3" fillId="21" borderId="43" xfId="0" applyFont="1" applyFill="1" applyBorder="1"/>
    <xf numFmtId="0" fontId="3" fillId="13" borderId="43" xfId="0" applyFont="1" applyFill="1" applyBorder="1"/>
    <xf numFmtId="0" fontId="2" fillId="11" borderId="43" xfId="0" applyFont="1" applyFill="1" applyBorder="1"/>
    <xf numFmtId="0" fontId="9" fillId="15" borderId="43" xfId="0" applyFont="1" applyFill="1" applyBorder="1"/>
    <xf numFmtId="0" fontId="2" fillId="5" borderId="6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5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9" fontId="8" fillId="0" borderId="48" xfId="1" applyFont="1" applyFill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51" xfId="0" applyFont="1" applyBorder="1" applyAlignment="1">
      <alignment horizontal="center"/>
    </xf>
    <xf numFmtId="0" fontId="0" fillId="0" borderId="51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quotePrefix="1" applyBorder="1" applyAlignment="1">
      <alignment horizontal="center"/>
    </xf>
    <xf numFmtId="0" fontId="0" fillId="0" borderId="50" xfId="0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3" fillId="6" borderId="51" xfId="0" applyFont="1" applyFill="1" applyBorder="1" applyAlignment="1">
      <alignment horizontal="center"/>
    </xf>
    <xf numFmtId="164" fontId="8" fillId="0" borderId="3" xfId="1" applyNumberFormat="1" applyFont="1" applyBorder="1" applyAlignment="1">
      <alignment horizontal="center"/>
    </xf>
    <xf numFmtId="164" fontId="9" fillId="21" borderId="0" xfId="1" applyNumberFormat="1" applyFont="1" applyFill="1" applyAlignment="1">
      <alignment horizontal="center"/>
    </xf>
    <xf numFmtId="164" fontId="9" fillId="13" borderId="0" xfId="1" applyNumberFormat="1" applyFont="1" applyFill="1" applyAlignment="1">
      <alignment horizontal="center"/>
    </xf>
    <xf numFmtId="164" fontId="9" fillId="11" borderId="0" xfId="1" applyNumberFormat="1" applyFont="1" applyFill="1" applyAlignment="1">
      <alignment horizontal="center"/>
    </xf>
    <xf numFmtId="164" fontId="8" fillId="0" borderId="47" xfId="1" applyNumberFormat="1" applyFont="1" applyBorder="1" applyAlignment="1">
      <alignment horizontal="center"/>
    </xf>
    <xf numFmtId="164" fontId="9" fillId="21" borderId="45" xfId="1" applyNumberFormat="1" applyFont="1" applyFill="1" applyBorder="1" applyAlignment="1">
      <alignment horizontal="center"/>
    </xf>
    <xf numFmtId="164" fontId="9" fillId="13" borderId="45" xfId="1" applyNumberFormat="1" applyFont="1" applyFill="1" applyBorder="1" applyAlignment="1">
      <alignment horizontal="center"/>
    </xf>
    <xf numFmtId="164" fontId="9" fillId="11" borderId="45" xfId="1" applyNumberFormat="1" applyFont="1" applyFill="1" applyBorder="1" applyAlignment="1">
      <alignment horizontal="center"/>
    </xf>
    <xf numFmtId="0" fontId="8" fillId="0" borderId="52" xfId="0" applyFont="1" applyBorder="1" applyAlignment="1">
      <alignment vertical="center"/>
    </xf>
    <xf numFmtId="0" fontId="8" fillId="0" borderId="5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2" fillId="11" borderId="56" xfId="0" applyFont="1" applyFill="1" applyBorder="1" applyAlignment="1">
      <alignment vertical="center"/>
    </xf>
    <xf numFmtId="0" fontId="2" fillId="12" borderId="57" xfId="0" applyFont="1" applyFill="1" applyBorder="1" applyAlignment="1">
      <alignment horizontal="center" vertical="center"/>
    </xf>
    <xf numFmtId="0" fontId="2" fillId="12" borderId="58" xfId="0" applyFont="1" applyFill="1" applyBorder="1" applyAlignment="1">
      <alignment horizontal="center" vertical="center"/>
    </xf>
    <xf numFmtId="0" fontId="2" fillId="12" borderId="59" xfId="0" applyFont="1" applyFill="1" applyBorder="1" applyAlignment="1">
      <alignment horizontal="center" vertical="center"/>
    </xf>
    <xf numFmtId="0" fontId="5" fillId="13" borderId="59" xfId="0" applyFont="1" applyFill="1" applyBorder="1" applyAlignment="1">
      <alignment horizontal="center" vertical="center"/>
    </xf>
    <xf numFmtId="0" fontId="5" fillId="13" borderId="58" xfId="0" applyFont="1" applyFill="1" applyBorder="1" applyAlignment="1">
      <alignment horizontal="center" vertical="center"/>
    </xf>
    <xf numFmtId="0" fontId="5" fillId="14" borderId="58" xfId="0" applyFont="1" applyFill="1" applyBorder="1" applyAlignment="1">
      <alignment horizontal="center" vertical="center"/>
    </xf>
    <xf numFmtId="0" fontId="5" fillId="13" borderId="56" xfId="0" applyFont="1" applyFill="1" applyBorder="1" applyAlignment="1">
      <alignment horizontal="center" vertical="center"/>
    </xf>
    <xf numFmtId="0" fontId="5" fillId="13" borderId="60" xfId="0" applyFont="1" applyFill="1" applyBorder="1" applyAlignment="1">
      <alignment horizontal="center" vertical="center"/>
    </xf>
    <xf numFmtId="0" fontId="5" fillId="14" borderId="59" xfId="0" applyFont="1" applyFill="1" applyBorder="1" applyAlignment="1">
      <alignment horizontal="center" vertical="center"/>
    </xf>
    <xf numFmtId="0" fontId="0" fillId="0" borderId="0" xfId="0" quotePrefix="1"/>
    <xf numFmtId="0" fontId="3" fillId="0" borderId="1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12" borderId="20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18" borderId="4" xfId="0" applyFont="1" applyFill="1" applyBorder="1" applyAlignment="1">
      <alignment horizontal="center"/>
    </xf>
    <xf numFmtId="0" fontId="2" fillId="18" borderId="5" xfId="0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3" fillId="2" borderId="0" xfId="0" applyFont="1" applyFill="1" applyAlignment="1">
      <alignment horizontal="center" wrapText="1"/>
    </xf>
  </cellXfs>
  <cellStyles count="4">
    <cellStyle name="Hyperlink" xfId="3" xr:uid="{00000000-000B-0000-0000-000008000000}"/>
    <cellStyle name="Normal" xfId="0" builtinId="0"/>
    <cellStyle name="Porcentagem" xfId="1" builtinId="5"/>
    <cellStyle name="Vírgula" xfId="2" builtinId="3"/>
  </cellStyles>
  <dxfs count="18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107</xdr:row>
      <xdr:rowOff>0</xdr:rowOff>
    </xdr:from>
    <xdr:to>
      <xdr:col>10</xdr:col>
      <xdr:colOff>0</xdr:colOff>
      <xdr:row>140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59203F-8A0F-A16B-2EA1-CD0BD56A8BB4}"/>
            </a:ext>
            <a:ext uri="{147F2762-F138-4A5C-976F-8EAC2B608ADB}">
              <a16:predDERef xmlns:a16="http://schemas.microsoft.com/office/drawing/2014/main" pred="{0B018D5E-0AE5-7C26-6B9C-BEA0475E4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" y="10944225"/>
          <a:ext cx="9039225" cy="6305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preadsheet%20-%202026-06-24T083446.946.xlsx" TargetMode="External"/><Relationship Id="rId2" Type="http://schemas.openxmlformats.org/officeDocument/2006/relationships/externalLinkPath" Target="https://boxersoldasbr.sharepoint.com/sites/Dados/Documentos%20Compartilhados/Comercial/Geral/Estrategia/2026/Projeto%20BMax/spreadsheet%20-%202026-06-24T083446.946.xlsx" TargetMode="External"/><Relationship Id="rId1" Type="http://schemas.openxmlformats.org/officeDocument/2006/relationships/externalLinkPath" Target="/sites/Dados/Documentos%20Compartilhados/Comercial/Geral/Estrategia/2026/Projeto%20BMax/spreadsheet%20-%202026-06-24T083446.94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id</v>
          </cell>
          <cell r="B1" t="str">
            <v>type</v>
          </cell>
          <cell r="C1" t="str">
            <v>name</v>
          </cell>
          <cell r="D1" t="str">
            <v>fantasyName</v>
          </cell>
          <cell r="E1" t="str">
            <v>RAIZ CNPJ</v>
          </cell>
          <cell r="F1" t="str">
            <v>document_number_1</v>
          </cell>
          <cell r="G1" t="str">
            <v>personGroup_description</v>
          </cell>
        </row>
        <row r="2">
          <cell r="A2">
            <v>25763</v>
          </cell>
          <cell r="B2" t="str">
            <v>CORPORATION</v>
          </cell>
          <cell r="C2" t="str">
            <v>Colomarti Comercio E Representacao De Ferramentas Ltda</v>
          </cell>
          <cell r="D2" t="str">
            <v>Colomarti</v>
          </cell>
          <cell r="E2" t="str">
            <v>64.515.067</v>
          </cell>
          <cell r="F2" t="str">
            <v>64.515.067/0001-41</v>
          </cell>
          <cell r="G2" t="str">
            <v>COLOMARTI</v>
          </cell>
        </row>
        <row r="3">
          <cell r="A3">
            <v>25767</v>
          </cell>
          <cell r="B3" t="str">
            <v>CORPORATION</v>
          </cell>
          <cell r="C3" t="str">
            <v>Dutra Maquinas Com. E Tecnica Ltda</v>
          </cell>
          <cell r="D3" t="str">
            <v>Dutra Vila Guilherme</v>
          </cell>
          <cell r="E3" t="str">
            <v>50.970.342</v>
          </cell>
          <cell r="F3" t="str">
            <v>50.970.342/0003-74</v>
          </cell>
          <cell r="G3" t="str">
            <v>DUTRA</v>
          </cell>
        </row>
        <row r="4">
          <cell r="A4">
            <v>25774</v>
          </cell>
          <cell r="B4" t="str">
            <v>CORPORATION</v>
          </cell>
          <cell r="C4" t="str">
            <v>Dutra Maquinas Comercial E Tecnica Ltda</v>
          </cell>
          <cell r="D4" t="str">
            <v>Dutra Guarulhos</v>
          </cell>
          <cell r="E4" t="str">
            <v>50.970.342</v>
          </cell>
          <cell r="F4" t="str">
            <v>50.970.342/0005-36</v>
          </cell>
          <cell r="G4" t="str">
            <v>DUTRA</v>
          </cell>
        </row>
        <row r="5">
          <cell r="A5">
            <v>25778</v>
          </cell>
          <cell r="B5" t="str">
            <v>CORPORATION</v>
          </cell>
          <cell r="C5" t="str">
            <v>Dutra Maquinas Com. E Tecnica Ltda</v>
          </cell>
          <cell r="D5" t="str">
            <v>Dutra Parque Novo Mundo</v>
          </cell>
          <cell r="E5" t="str">
            <v>50.970.342</v>
          </cell>
          <cell r="F5" t="str">
            <v>50.970.342/0001-02</v>
          </cell>
          <cell r="G5" t="str">
            <v>DUTRA</v>
          </cell>
        </row>
        <row r="6">
          <cell r="A6">
            <v>25782</v>
          </cell>
          <cell r="B6" t="str">
            <v>CORPORATION</v>
          </cell>
          <cell r="C6" t="str">
            <v>Cofam Comercial Ferragista Americana Ltda - Epp</v>
          </cell>
          <cell r="D6" t="str">
            <v>Cofam</v>
          </cell>
          <cell r="E6" t="str">
            <v>60.297.884</v>
          </cell>
          <cell r="F6" t="str">
            <v>60.297.884/0001-10</v>
          </cell>
        </row>
        <row r="7">
          <cell r="A7">
            <v>25790</v>
          </cell>
          <cell r="B7" t="str">
            <v>CORPORATION</v>
          </cell>
          <cell r="C7" t="str">
            <v>Lincoln Electric Do Brasil Ind, E Com. Ltda</v>
          </cell>
          <cell r="D7" t="str">
            <v>Lincoln</v>
          </cell>
          <cell r="E7" t="str">
            <v>53.910.899</v>
          </cell>
          <cell r="F7" t="str">
            <v>53.910.899/0001-46</v>
          </cell>
        </row>
        <row r="8">
          <cell r="A8">
            <v>25799</v>
          </cell>
          <cell r="B8" t="str">
            <v>CORPORATION</v>
          </cell>
          <cell r="C8" t="str">
            <v>Alexandre Rubinato Comercio De Gases Ltda</v>
          </cell>
          <cell r="D8" t="str">
            <v>Camp-Gaservice (Americana)</v>
          </cell>
          <cell r="E8" t="str">
            <v>05.104.367</v>
          </cell>
          <cell r="F8" t="str">
            <v>05.104.367/0001-79</v>
          </cell>
          <cell r="G8" t="str">
            <v>CAMP-GASERVICE</v>
          </cell>
        </row>
        <row r="9">
          <cell r="A9">
            <v>25823</v>
          </cell>
          <cell r="B9" t="str">
            <v>CORPORATION</v>
          </cell>
          <cell r="C9" t="str">
            <v>Eletrofelix Industria E Comercio Ltda</v>
          </cell>
          <cell r="D9" t="str">
            <v>Eletrofelix</v>
          </cell>
          <cell r="E9" t="str">
            <v>07.515.369</v>
          </cell>
          <cell r="F9" t="str">
            <v>07.515.369/0001-86</v>
          </cell>
          <cell r="G9" t="str">
            <v>ELETROFELIX</v>
          </cell>
        </row>
        <row r="10">
          <cell r="A10">
            <v>25826</v>
          </cell>
          <cell r="B10" t="str">
            <v>CORPORATION</v>
          </cell>
          <cell r="C10" t="str">
            <v>Dutra Maquinas Com. E Tecnica Ltda</v>
          </cell>
          <cell r="D10" t="str">
            <v>Dutra Mogi</v>
          </cell>
          <cell r="E10" t="str">
            <v>50.970.342</v>
          </cell>
          <cell r="F10" t="str">
            <v>50.970.342/0006-17</v>
          </cell>
          <cell r="G10" t="str">
            <v>DUTRA</v>
          </cell>
        </row>
        <row r="11">
          <cell r="A11">
            <v>25829</v>
          </cell>
          <cell r="B11" t="str">
            <v>CORPORATION</v>
          </cell>
          <cell r="C11" t="str">
            <v>Dutra Maquinas Com. E Tecnica Ltda</v>
          </cell>
          <cell r="D11" t="str">
            <v>Dutra Atibaia</v>
          </cell>
          <cell r="E11" t="str">
            <v>50.970.342</v>
          </cell>
          <cell r="F11" t="str">
            <v>50.970.342/0004-55</v>
          </cell>
          <cell r="G11" t="str">
            <v>DUTRA</v>
          </cell>
        </row>
        <row r="12">
          <cell r="A12">
            <v>25830</v>
          </cell>
          <cell r="B12" t="str">
            <v>CORPORATION</v>
          </cell>
          <cell r="C12" t="str">
            <v>Bandeirantes Com. De Maquinas, Equipamentos E Ferramentas Ltda - Me</v>
          </cell>
          <cell r="D12" t="str">
            <v>Bandeirantes</v>
          </cell>
          <cell r="E12" t="str">
            <v>08.480.729</v>
          </cell>
          <cell r="F12" t="str">
            <v>08.480.729/0001-14</v>
          </cell>
        </row>
        <row r="13">
          <cell r="A13">
            <v>25832</v>
          </cell>
          <cell r="B13" t="str">
            <v>CORPORATION</v>
          </cell>
          <cell r="C13" t="str">
            <v>Rosemari Soares Cavalari - Me</v>
          </cell>
          <cell r="D13" t="str">
            <v>Metalpar</v>
          </cell>
          <cell r="E13" t="str">
            <v>01.132.586</v>
          </cell>
          <cell r="F13" t="str">
            <v>01.132.586/0001-00</v>
          </cell>
        </row>
        <row r="14">
          <cell r="A14">
            <v>25833</v>
          </cell>
          <cell r="B14" t="str">
            <v>CORPORATION</v>
          </cell>
          <cell r="C14" t="str">
            <v>Master Manutencao E Comercio Ferramentas Ltda - Me</v>
          </cell>
          <cell r="D14" t="str">
            <v>Master Comercial</v>
          </cell>
          <cell r="E14" t="str">
            <v>04.732.410</v>
          </cell>
          <cell r="F14" t="str">
            <v>04.732.410/0001-88</v>
          </cell>
        </row>
        <row r="15">
          <cell r="A15">
            <v>25834</v>
          </cell>
          <cell r="B15" t="str">
            <v>CORPORATION</v>
          </cell>
          <cell r="C15" t="str">
            <v>Oxigenio Jaguar Ltda - Me</v>
          </cell>
          <cell r="D15" t="str">
            <v>Oxigenio Jaguar Matriz</v>
          </cell>
          <cell r="E15" t="str">
            <v>14.202.561</v>
          </cell>
          <cell r="F15" t="str">
            <v>14.202.561/0001-88</v>
          </cell>
          <cell r="G15" t="str">
            <v>OXIGENIO</v>
          </cell>
        </row>
        <row r="16">
          <cell r="A16">
            <v>25835</v>
          </cell>
          <cell r="B16" t="str">
            <v>CORPORATION</v>
          </cell>
          <cell r="C16" t="str">
            <v>Campmac Comercial Ltda</v>
          </cell>
          <cell r="D16" t="str">
            <v>Campmac</v>
          </cell>
          <cell r="E16" t="str">
            <v>45.239.423</v>
          </cell>
          <cell r="F16" t="str">
            <v>45.239.423/0001-05</v>
          </cell>
        </row>
        <row r="17">
          <cell r="A17">
            <v>25836</v>
          </cell>
          <cell r="B17" t="str">
            <v>CORPORATION</v>
          </cell>
          <cell r="C17" t="str">
            <v>Laercio Luiz Cavalli Indaiatuba</v>
          </cell>
          <cell r="D17" t="str">
            <v>Du Ferramentas</v>
          </cell>
          <cell r="E17" t="str">
            <v>60.079.662</v>
          </cell>
          <cell r="F17" t="str">
            <v>60.079.662/0001-20</v>
          </cell>
        </row>
        <row r="18">
          <cell r="A18">
            <v>25837</v>
          </cell>
          <cell r="B18" t="str">
            <v>CORPORATION</v>
          </cell>
          <cell r="C18" t="str">
            <v>Agt Com. De Equipamentos E Servicos Ltda.</v>
          </cell>
          <cell r="D18" t="str">
            <v>Agrotama</v>
          </cell>
          <cell r="E18" t="str">
            <v>11.459.713</v>
          </cell>
          <cell r="F18" t="str">
            <v>11.459.713/0001-34</v>
          </cell>
        </row>
        <row r="19">
          <cell r="A19">
            <v>25840</v>
          </cell>
          <cell r="B19" t="str">
            <v>CORPORATION</v>
          </cell>
          <cell r="C19" t="str">
            <v>Arufer - Aruja Ferramentas Ltda</v>
          </cell>
          <cell r="D19" t="str">
            <v>Arufer</v>
          </cell>
          <cell r="E19" t="str">
            <v>55.184.899</v>
          </cell>
          <cell r="F19" t="str">
            <v>55.184.899/0001-31</v>
          </cell>
        </row>
        <row r="20">
          <cell r="A20">
            <v>25841</v>
          </cell>
          <cell r="B20" t="str">
            <v>CORPORATION</v>
          </cell>
          <cell r="C20" t="str">
            <v>4di Comercio De Borrachas E Parafusos Ltda - Me</v>
          </cell>
          <cell r="D20" t="str">
            <v>Amigao Borrachas E Parafusos</v>
          </cell>
          <cell r="E20" t="str">
            <v>08.701.480</v>
          </cell>
          <cell r="F20" t="str">
            <v>08.701.480/0001-20</v>
          </cell>
        </row>
        <row r="21">
          <cell r="A21">
            <v>25843</v>
          </cell>
          <cell r="B21" t="str">
            <v>CORPORATION</v>
          </cell>
          <cell r="C21" t="str">
            <v>A Correa Do Nascimento - Me</v>
          </cell>
          <cell r="D21" t="str">
            <v>Rei Do Borracheiro</v>
          </cell>
          <cell r="E21" t="str">
            <v>16.910.371</v>
          </cell>
          <cell r="F21" t="str">
            <v>16.910.371/0001-40</v>
          </cell>
        </row>
        <row r="22">
          <cell r="A22">
            <v>25845</v>
          </cell>
          <cell r="B22" t="str">
            <v>CORPORATION</v>
          </cell>
          <cell r="C22" t="str">
            <v>S. V. Lobo &amp; Cia Ltda - Me</v>
          </cell>
          <cell r="D22" t="str">
            <v>Implemaquinas - Implementos, Maquinas E Motores</v>
          </cell>
          <cell r="E22" t="str">
            <v>08.679.667</v>
          </cell>
          <cell r="F22" t="str">
            <v>08.679.667/0001-74</v>
          </cell>
        </row>
        <row r="23">
          <cell r="A23">
            <v>25846</v>
          </cell>
          <cell r="B23" t="str">
            <v>CORPORATION</v>
          </cell>
          <cell r="C23" t="str">
            <v>Mangotec Comercio De Mangueiras E Equipamentos Industriais Ltda</v>
          </cell>
          <cell r="D23" t="str">
            <v>Mangotec</v>
          </cell>
          <cell r="E23" t="str">
            <v>27.198.621</v>
          </cell>
          <cell r="F23" t="str">
            <v>27.198.621/0001-88</v>
          </cell>
        </row>
        <row r="24">
          <cell r="A24">
            <v>25848</v>
          </cell>
          <cell r="B24" t="str">
            <v>CORPORATION</v>
          </cell>
          <cell r="C24" t="str">
            <v>Chaves Comercio E Licitacoes Eireli - Epp</v>
          </cell>
          <cell r="D24" t="str">
            <v>Chaves Licitacoes</v>
          </cell>
          <cell r="E24" t="str">
            <v>11.333.352</v>
          </cell>
          <cell r="F24" t="str">
            <v>11.333.352/0001-85</v>
          </cell>
        </row>
        <row r="25">
          <cell r="A25">
            <v>25849</v>
          </cell>
          <cell r="B25" t="str">
            <v>CORPORATION</v>
          </cell>
          <cell r="C25" t="str">
            <v>Eletrica Maia Eireli - Epp</v>
          </cell>
          <cell r="D25" t="str">
            <v>Eletrica Maia</v>
          </cell>
          <cell r="E25" t="str">
            <v>20.516.654</v>
          </cell>
          <cell r="F25" t="str">
            <v>20.516.654/0001-80</v>
          </cell>
          <cell r="G25" t="str">
            <v>ELETRICA MAIA</v>
          </cell>
        </row>
        <row r="26">
          <cell r="A26">
            <v>25851</v>
          </cell>
          <cell r="B26" t="str">
            <v>CORPORATION</v>
          </cell>
          <cell r="C26" t="str">
            <v>A C Peneluppi Cia Ltda - Epp</v>
          </cell>
          <cell r="D26" t="str">
            <v>Casa Sao Jose</v>
          </cell>
          <cell r="E26" t="str">
            <v>60.196.532</v>
          </cell>
          <cell r="F26" t="str">
            <v>60.196.532/0001-78</v>
          </cell>
        </row>
        <row r="27">
          <cell r="A27">
            <v>25852</v>
          </cell>
          <cell r="B27" t="str">
            <v>CORPORATION</v>
          </cell>
          <cell r="C27" t="str">
            <v>Manchester Equipamentos E Acessorios Para Borracharia Ltda - Me</v>
          </cell>
          <cell r="D27" t="str">
            <v>Manchester Equipamentos E Acessorios Para Borracharia</v>
          </cell>
          <cell r="E27" t="str">
            <v>12.313.693</v>
          </cell>
          <cell r="F27" t="str">
            <v>12.313.693/0001-51</v>
          </cell>
        </row>
        <row r="28">
          <cell r="A28">
            <v>25854</v>
          </cell>
          <cell r="B28" t="str">
            <v>CORPORATION</v>
          </cell>
          <cell r="C28" t="str">
            <v>Marcia Kiyomi Idagawa Iochida Marilia - Me</v>
          </cell>
          <cell r="D28" t="str">
            <v>Marcia Kiyomi Idagawa Iochida Marilia - Me</v>
          </cell>
          <cell r="E28" t="str">
            <v>02.758.122</v>
          </cell>
          <cell r="F28" t="str">
            <v>02.758.122/0001-77</v>
          </cell>
        </row>
        <row r="29">
          <cell r="A29">
            <v>25855</v>
          </cell>
          <cell r="B29" t="str">
            <v>CORPORATION</v>
          </cell>
          <cell r="C29" t="str">
            <v>As Pioneira Com. E Locacao E Manutencao De Maquinas Ltda - Me</v>
          </cell>
          <cell r="D29" t="str">
            <v>A S Pioneira</v>
          </cell>
          <cell r="E29" t="str">
            <v>06.288.417</v>
          </cell>
          <cell r="F29" t="str">
            <v>06.288.417/0001-88</v>
          </cell>
        </row>
        <row r="30">
          <cell r="A30">
            <v>25856</v>
          </cell>
          <cell r="B30" t="str">
            <v>CORPORATION</v>
          </cell>
          <cell r="C30" t="str">
            <v>De Santis &amp; Fonseca Ltda.</v>
          </cell>
          <cell r="D30" t="str">
            <v>W De Santis</v>
          </cell>
          <cell r="E30" t="str">
            <v>67.501.445</v>
          </cell>
          <cell r="F30" t="str">
            <v>67.501.445/0001-26</v>
          </cell>
        </row>
        <row r="31">
          <cell r="A31">
            <v>25858</v>
          </cell>
          <cell r="B31" t="str">
            <v>CORPORATION</v>
          </cell>
          <cell r="C31" t="str">
            <v>Maria Cristina De Almeida Bueno Carvalho Alves - Me</v>
          </cell>
          <cell r="D31" t="str">
            <v>Tata Parafusos</v>
          </cell>
          <cell r="E31" t="str">
            <v>66.764.242</v>
          </cell>
          <cell r="F31" t="str">
            <v>66.764.242/0001-60</v>
          </cell>
          <cell r="G31" t="str">
            <v>TATA PARAFUSOS</v>
          </cell>
        </row>
        <row r="32">
          <cell r="A32">
            <v>25861</v>
          </cell>
          <cell r="B32" t="str">
            <v>CORPORATION</v>
          </cell>
          <cell r="C32" t="str">
            <v>De Com. De Eletrodos E Ferramentas Ltda - Me</v>
          </cell>
          <cell r="D32" t="str">
            <v>D E Com. De Eletrodos</v>
          </cell>
          <cell r="E32" t="str">
            <v>00.546.901</v>
          </cell>
          <cell r="F32" t="str">
            <v>00.546.901/0001-83</v>
          </cell>
        </row>
        <row r="33">
          <cell r="A33">
            <v>25862</v>
          </cell>
          <cell r="B33" t="str">
            <v>CORPORATION</v>
          </cell>
          <cell r="C33" t="str">
            <v>Regional Soldas E Ferramentas Ltda</v>
          </cell>
          <cell r="D33" t="str">
            <v>Regional Soldas E Ferramentas</v>
          </cell>
          <cell r="E33" t="str">
            <v>05.111.495</v>
          </cell>
          <cell r="F33" t="str">
            <v>05.111.495/0001-40</v>
          </cell>
          <cell r="G33" t="str">
            <v>ALL SAFETY</v>
          </cell>
        </row>
        <row r="34">
          <cell r="A34">
            <v>25864</v>
          </cell>
          <cell r="B34" t="str">
            <v>CORPORATION</v>
          </cell>
          <cell r="C34" t="str">
            <v>Cadel Materiais Eletricos Hidraulicos E Ferragens Ltda - Epp</v>
          </cell>
          <cell r="D34" t="str">
            <v>Cadel</v>
          </cell>
          <cell r="E34" t="str">
            <v>27.127.786</v>
          </cell>
          <cell r="F34" t="str">
            <v>27.127.786/0001-69</v>
          </cell>
        </row>
        <row r="35">
          <cell r="A35">
            <v>25866</v>
          </cell>
          <cell r="B35" t="str">
            <v>CORPORATION</v>
          </cell>
          <cell r="C35" t="str">
            <v>Rr Parafusos , Ferragens E Ferramentas Ltda</v>
          </cell>
          <cell r="D35" t="str">
            <v>R R Parafusos</v>
          </cell>
          <cell r="E35" t="str">
            <v>74.469.446</v>
          </cell>
          <cell r="F35" t="str">
            <v>74.469.446/0001-04</v>
          </cell>
        </row>
        <row r="36">
          <cell r="A36">
            <v>25867</v>
          </cell>
          <cell r="B36" t="str">
            <v>CORPORATION</v>
          </cell>
          <cell r="C36" t="str">
            <v>Vlademir Aurelio Da Silva</v>
          </cell>
          <cell r="D36" t="str">
            <v>Vlademir Aurelio Da Silva</v>
          </cell>
          <cell r="E36" t="str">
            <v>68.088.962</v>
          </cell>
          <cell r="F36" t="str">
            <v>68.088.962/0001-88</v>
          </cell>
        </row>
        <row r="37">
          <cell r="A37">
            <v>25868</v>
          </cell>
          <cell r="B37" t="str">
            <v>CORPORATION</v>
          </cell>
          <cell r="C37" t="str">
            <v>Metahlle Ferramentas Ltda - Epp</v>
          </cell>
          <cell r="D37" t="str">
            <v>Metahlle</v>
          </cell>
          <cell r="E37" t="str">
            <v>74.418.674</v>
          </cell>
          <cell r="F37" t="str">
            <v>74.418.674/0001-47</v>
          </cell>
        </row>
        <row r="38">
          <cell r="A38">
            <v>25872</v>
          </cell>
          <cell r="B38" t="str">
            <v>CORPORATION</v>
          </cell>
          <cell r="C38" t="str">
            <v>Techfix Comercio De Produtos De Fixacao Ltda</v>
          </cell>
          <cell r="D38" t="str">
            <v>Techfix</v>
          </cell>
          <cell r="E38" t="str">
            <v>07.084.548</v>
          </cell>
          <cell r="F38" t="str">
            <v>07.084.548/0001-06</v>
          </cell>
        </row>
        <row r="39">
          <cell r="A39">
            <v>25873</v>
          </cell>
          <cell r="B39" t="str">
            <v>CORPORATION</v>
          </cell>
          <cell r="C39" t="str">
            <v>Stop Look Ferramentas Ltda - Me</v>
          </cell>
          <cell r="D39" t="str">
            <v>Stop Look</v>
          </cell>
          <cell r="E39" t="str">
            <v>00.176.148</v>
          </cell>
          <cell r="F39" t="str">
            <v>00.176.148/0001-81</v>
          </cell>
          <cell r="G39" t="str">
            <v>STOP LOOK</v>
          </cell>
        </row>
        <row r="40">
          <cell r="A40">
            <v>25874</v>
          </cell>
          <cell r="B40" t="str">
            <v>CORPORATION</v>
          </cell>
          <cell r="C40" t="str">
            <v>Gleicianne Cerqueira Nunes - Me</v>
          </cell>
          <cell r="D40" t="str">
            <v>Casa Dos Hidraulicos</v>
          </cell>
          <cell r="E40" t="str">
            <v>08.381.233</v>
          </cell>
          <cell r="F40" t="str">
            <v>08.381.233/0001-93</v>
          </cell>
        </row>
        <row r="41">
          <cell r="A41">
            <v>25876</v>
          </cell>
          <cell r="B41" t="str">
            <v>CORPORATION</v>
          </cell>
          <cell r="C41" t="str">
            <v>Jose Luiz Ferraresso Conti &amp; Cia Ltda - Me</v>
          </cell>
          <cell r="D41" t="str">
            <v>Jose Luiz Ferraresso Conti &amp; Cia Ltda</v>
          </cell>
          <cell r="E41" t="str">
            <v>08.354.353</v>
          </cell>
          <cell r="F41" t="str">
            <v>08.354.353/0001-00</v>
          </cell>
        </row>
        <row r="42">
          <cell r="A42">
            <v>25877</v>
          </cell>
          <cell r="B42" t="str">
            <v>CORPORATION</v>
          </cell>
          <cell r="C42" t="str">
            <v>Rosa Maria Lopes Fonseca - Me</v>
          </cell>
          <cell r="D42" t="str">
            <v>Uinilar Construcao</v>
          </cell>
          <cell r="E42" t="str">
            <v>00.936.063</v>
          </cell>
          <cell r="F42" t="str">
            <v>00.936.063/0001-54</v>
          </cell>
        </row>
        <row r="43">
          <cell r="A43">
            <v>25878</v>
          </cell>
          <cell r="B43" t="str">
            <v>CORPORATION</v>
          </cell>
          <cell r="C43" t="str">
            <v>Espaco Livre Comercio De Materiais Eletricos Ltda - Me</v>
          </cell>
          <cell r="D43" t="str">
            <v>Espaco Livre</v>
          </cell>
          <cell r="E43" t="str">
            <v>04.137.223</v>
          </cell>
          <cell r="F43" t="str">
            <v>04.137.223/0001-56</v>
          </cell>
        </row>
        <row r="44">
          <cell r="A44">
            <v>25879</v>
          </cell>
          <cell r="B44" t="str">
            <v>CORPORATION</v>
          </cell>
          <cell r="C44" t="str">
            <v>Portal Comercio De Ferragens Ltda</v>
          </cell>
          <cell r="D44" t="str">
            <v>Portal Ferragens</v>
          </cell>
          <cell r="E44" t="str">
            <v>09.642.884</v>
          </cell>
          <cell r="F44" t="str">
            <v>09.642.884/0001-52</v>
          </cell>
          <cell r="G44" t="str">
            <v>PORTAL FERRAGENS</v>
          </cell>
        </row>
        <row r="45">
          <cell r="A45">
            <v>25881</v>
          </cell>
          <cell r="B45" t="str">
            <v>CORPORATION</v>
          </cell>
          <cell r="C45" t="str">
            <v>Somaquinas Comercio De Maquinas Ltda - Epp</v>
          </cell>
          <cell r="D45" t="str">
            <v>Pratika Ferramentas</v>
          </cell>
          <cell r="E45" t="str">
            <v>53.479.119</v>
          </cell>
          <cell r="F45" t="str">
            <v>53.479.119/0001-55</v>
          </cell>
        </row>
        <row r="46">
          <cell r="A46">
            <v>25882</v>
          </cell>
          <cell r="B46" t="str">
            <v>CORPORATION</v>
          </cell>
          <cell r="C46" t="str">
            <v>Inmes Comercial Ltda - Epp</v>
          </cell>
          <cell r="D46" t="str">
            <v>Inmes Comercial</v>
          </cell>
          <cell r="E46" t="str">
            <v>00.678.107</v>
          </cell>
          <cell r="F46" t="str">
            <v>00.678.107/0001-93</v>
          </cell>
        </row>
        <row r="47">
          <cell r="A47">
            <v>25885</v>
          </cell>
          <cell r="B47" t="str">
            <v>CORPORATION</v>
          </cell>
          <cell r="C47" t="str">
            <v>Barragas Comercio De Oxigenio E Ferramentas Ltda - Epp</v>
          </cell>
          <cell r="D47" t="str">
            <v>Barragas</v>
          </cell>
          <cell r="E47" t="str">
            <v>00.246.150</v>
          </cell>
          <cell r="F47" t="str">
            <v>00.246.150/0001-80</v>
          </cell>
          <cell r="G47" t="str">
            <v>BARRAGAS</v>
          </cell>
        </row>
        <row r="48">
          <cell r="A48">
            <v>25889</v>
          </cell>
          <cell r="B48" t="str">
            <v>CORPORATION</v>
          </cell>
          <cell r="C48" t="str">
            <v>Cimafa Comercio De Maquinas E Equipamentos Ltda - Me</v>
          </cell>
          <cell r="D48" t="str">
            <v>Cimafa</v>
          </cell>
          <cell r="E48" t="str">
            <v>56.254.550</v>
          </cell>
          <cell r="F48" t="str">
            <v>56.254.550/0001-91</v>
          </cell>
        </row>
        <row r="49">
          <cell r="A49">
            <v>25892</v>
          </cell>
          <cell r="B49" t="str">
            <v>CORPORATION</v>
          </cell>
          <cell r="C49" t="str">
            <v>Cimaq Comercio Industria De Maquinas Ltda - Epp</v>
          </cell>
          <cell r="D49" t="str">
            <v>Cimaq</v>
          </cell>
          <cell r="E49" t="str">
            <v>17.593.781</v>
          </cell>
          <cell r="F49" t="str">
            <v>17.593.781/0001-78</v>
          </cell>
        </row>
        <row r="50">
          <cell r="A50">
            <v>25893</v>
          </cell>
          <cell r="B50" t="str">
            <v>CORPORATION</v>
          </cell>
          <cell r="C50" t="str">
            <v>Spada Maquinas Ferramentas &amp; Cia Ltda - Me</v>
          </cell>
          <cell r="D50" t="str">
            <v>Spada Maquinas</v>
          </cell>
          <cell r="E50" t="str">
            <v>08.621.865</v>
          </cell>
          <cell r="F50" t="str">
            <v>08.621.865/0001-87</v>
          </cell>
        </row>
        <row r="51">
          <cell r="A51">
            <v>25894</v>
          </cell>
          <cell r="B51" t="str">
            <v>CORPORATION</v>
          </cell>
          <cell r="C51" t="str">
            <v>C S Pontes Eireli - Epp</v>
          </cell>
          <cell r="D51" t="str">
            <v>Planalto Ferramental</v>
          </cell>
          <cell r="E51" t="str">
            <v>16.848.878</v>
          </cell>
          <cell r="F51" t="str">
            <v>16.848.878/0001-11</v>
          </cell>
          <cell r="G51" t="str">
            <v>PLANALTO FERRAMENTAL</v>
          </cell>
        </row>
        <row r="52">
          <cell r="A52">
            <v>25895</v>
          </cell>
          <cell r="B52" t="str">
            <v>CORPORATION</v>
          </cell>
          <cell r="C52" t="str">
            <v>Dimaf Distribuidora De Maquinas E Ferramentas Ltda</v>
          </cell>
          <cell r="D52" t="str">
            <v>Dimaf Distribuidora De Maquinas E Ferramentas Ltda</v>
          </cell>
          <cell r="E52" t="str">
            <v>39.048.590</v>
          </cell>
          <cell r="F52" t="str">
            <v>39.048.590/0001-68</v>
          </cell>
        </row>
        <row r="53">
          <cell r="A53">
            <v>25897</v>
          </cell>
          <cell r="B53" t="str">
            <v>CORPORATION</v>
          </cell>
          <cell r="C53" t="str">
            <v>Lp Comercio De Parafusos E Ferragens Ltda</v>
          </cell>
          <cell r="D53" t="str">
            <v>L P Comercio De Parafusos</v>
          </cell>
          <cell r="E53" t="str">
            <v>13.031.030</v>
          </cell>
          <cell r="F53" t="str">
            <v>13.031.030/0001-07</v>
          </cell>
        </row>
        <row r="54">
          <cell r="A54">
            <v>25901</v>
          </cell>
          <cell r="B54" t="str">
            <v>CORPORATION</v>
          </cell>
          <cell r="C54" t="str">
            <v>Casa Dos Parafusos E Correias J B Ltda - Me</v>
          </cell>
          <cell r="D54" t="str">
            <v>Casa Dos Parafusos Franca</v>
          </cell>
          <cell r="E54" t="str">
            <v>61.771.036</v>
          </cell>
          <cell r="F54" t="str">
            <v>61.771.036/0001-63</v>
          </cell>
        </row>
        <row r="55">
          <cell r="A55">
            <v>25902</v>
          </cell>
          <cell r="B55" t="str">
            <v>CORPORATION</v>
          </cell>
          <cell r="C55" t="str">
            <v>Viana Produtos Industriais Ltda</v>
          </cell>
          <cell r="D55" t="str">
            <v>Companhia Dos Parafusos De Bauru</v>
          </cell>
          <cell r="E55" t="str">
            <v>66.572.900</v>
          </cell>
          <cell r="F55" t="str">
            <v>66.572.900/0001-11</v>
          </cell>
        </row>
        <row r="56">
          <cell r="A56">
            <v>25903</v>
          </cell>
          <cell r="B56" t="str">
            <v>CORPORATION</v>
          </cell>
          <cell r="C56" t="str">
            <v>Triofer Comercio De Ferramentas Eireli - Epp</v>
          </cell>
          <cell r="D56" t="str">
            <v>Triofer Comercio De Ferramentas</v>
          </cell>
          <cell r="E56" t="str">
            <v>15.803.542</v>
          </cell>
          <cell r="F56" t="str">
            <v>15.803.542/0001-70</v>
          </cell>
        </row>
        <row r="57">
          <cell r="A57">
            <v>25904</v>
          </cell>
          <cell r="B57" t="str">
            <v>CORPORATION</v>
          </cell>
          <cell r="C57" t="str">
            <v>Agricol Materiais De Construcao Ltda</v>
          </cell>
          <cell r="D57" t="str">
            <v>Agricol</v>
          </cell>
          <cell r="E57" t="str">
            <v>75.796.706</v>
          </cell>
          <cell r="F57" t="str">
            <v>75.796.706/0001-00</v>
          </cell>
        </row>
        <row r="58">
          <cell r="A58">
            <v>25905</v>
          </cell>
          <cell r="B58" t="str">
            <v>CORPORATION</v>
          </cell>
          <cell r="C58" t="str">
            <v>Mondek Comercio De Ferragens Ltda - Epp</v>
          </cell>
          <cell r="D58" t="str">
            <v>Mondek Ferragens</v>
          </cell>
          <cell r="E58" t="str">
            <v>01.402.637</v>
          </cell>
          <cell r="F58" t="str">
            <v>01.402.637/0001-77</v>
          </cell>
        </row>
        <row r="59">
          <cell r="A59">
            <v>25907</v>
          </cell>
          <cell r="B59" t="str">
            <v>CORPORATION</v>
          </cell>
          <cell r="C59" t="str">
            <v>Leopardo Maquinas Ltda - Epp</v>
          </cell>
          <cell r="D59" t="str">
            <v>Leopardo Maquinas Filial</v>
          </cell>
          <cell r="E59" t="str">
            <v>04.183.015</v>
          </cell>
          <cell r="F59" t="str">
            <v>04.183.015/0002-74</v>
          </cell>
          <cell r="G59" t="str">
            <v>LEOPARDO</v>
          </cell>
        </row>
        <row r="60">
          <cell r="A60">
            <v>25908</v>
          </cell>
          <cell r="B60" t="str">
            <v>CORPORATION</v>
          </cell>
          <cell r="C60" t="str">
            <v>Implementos Agricolas Oliveira Ltda</v>
          </cell>
          <cell r="D60" t="str">
            <v>Implementos Agricolas Oliveira</v>
          </cell>
          <cell r="E60" t="str">
            <v>04.004.410</v>
          </cell>
          <cell r="F60" t="str">
            <v>04.004.410/0001-61</v>
          </cell>
          <cell r="G60" t="str">
            <v>IMPLEMENTOS AGRIC OLIVEIRA</v>
          </cell>
        </row>
        <row r="61">
          <cell r="A61">
            <v>25909</v>
          </cell>
          <cell r="B61" t="str">
            <v>CORPORATION</v>
          </cell>
          <cell r="C61" t="str">
            <v>Adelia Bozzi Cega</v>
          </cell>
          <cell r="D61" t="str">
            <v>Santa Adelia Ferramentas</v>
          </cell>
          <cell r="E61" t="str">
            <v>13.294.851</v>
          </cell>
          <cell r="F61" t="str">
            <v>13.294.851/0001-36</v>
          </cell>
        </row>
        <row r="62">
          <cell r="A62">
            <v>25910</v>
          </cell>
          <cell r="B62" t="str">
            <v>CORPORATION</v>
          </cell>
          <cell r="C62" t="str">
            <v>Casa Planeta De Brasilia Maquinas E Ferragens Ltda</v>
          </cell>
          <cell r="D62" t="str">
            <v>Casa Planeta Guara</v>
          </cell>
          <cell r="E62" t="str">
            <v>00.001.891</v>
          </cell>
          <cell r="F62" t="str">
            <v>00.001.891/0003-62</v>
          </cell>
          <cell r="G62" t="str">
            <v>CASA PLANETA</v>
          </cell>
        </row>
        <row r="63">
          <cell r="A63">
            <v>25914</v>
          </cell>
          <cell r="B63" t="str">
            <v>CORPORATION</v>
          </cell>
          <cell r="C63" t="str">
            <v>Evereste Comercio De Maquinas E Motores Ltda</v>
          </cell>
          <cell r="D63" t="str">
            <v>Comercial Alpa</v>
          </cell>
          <cell r="E63" t="str">
            <v>10.874.773</v>
          </cell>
          <cell r="F63" t="str">
            <v>10.874.773/0001-50</v>
          </cell>
        </row>
        <row r="64">
          <cell r="A64">
            <v>25915</v>
          </cell>
          <cell r="B64" t="str">
            <v>CORPORATION</v>
          </cell>
          <cell r="C64" t="str">
            <v>Casa Sao Jorge De Loucas E Eletricidade Ltda</v>
          </cell>
          <cell r="D64" t="str">
            <v>Casa Sao Jorge De Loucas E Eletricidade Ltda</v>
          </cell>
          <cell r="E64" t="str">
            <v>33.063.025</v>
          </cell>
          <cell r="F64" t="str">
            <v>33.063.025/0001-93</v>
          </cell>
        </row>
        <row r="65">
          <cell r="A65">
            <v>25917</v>
          </cell>
          <cell r="B65" t="str">
            <v>CORPORATION</v>
          </cell>
          <cell r="C65" t="str">
            <v>Irmaos Teixeira Ltda</v>
          </cell>
          <cell r="D65" t="str">
            <v>It Center</v>
          </cell>
          <cell r="E65" t="str">
            <v>04.976.718</v>
          </cell>
          <cell r="F65" t="str">
            <v>04.976.718/0001-79</v>
          </cell>
        </row>
        <row r="66">
          <cell r="A66">
            <v>25918</v>
          </cell>
          <cell r="B66" t="str">
            <v>CORPORATION</v>
          </cell>
          <cell r="C66" t="str">
            <v>Luitex Maquinas E Ferramentas Ltda</v>
          </cell>
          <cell r="D66" t="str">
            <v>Luitex Mogi Guacu</v>
          </cell>
          <cell r="E66" t="str">
            <v>51.051.811</v>
          </cell>
          <cell r="F66" t="str">
            <v>51.051.811/0004-03</v>
          </cell>
          <cell r="G66" t="str">
            <v>LUITEX</v>
          </cell>
        </row>
        <row r="67">
          <cell r="A67">
            <v>25920</v>
          </cell>
          <cell r="B67" t="str">
            <v>CORPORATION</v>
          </cell>
          <cell r="C67" t="str">
            <v>Luitex Maquinas E Ferramentas Ltda</v>
          </cell>
          <cell r="D67" t="str">
            <v>Luitex Sbo</v>
          </cell>
          <cell r="E67" t="str">
            <v>51.051.811</v>
          </cell>
          <cell r="F67" t="str">
            <v>51.051.811/0001-52</v>
          </cell>
          <cell r="G67" t="str">
            <v>LUITEX</v>
          </cell>
        </row>
        <row r="68">
          <cell r="A68">
            <v>25921</v>
          </cell>
          <cell r="B68" t="str">
            <v>CORPORATION</v>
          </cell>
          <cell r="C68" t="str">
            <v>Luitex Maquinas E Ferramentas Ltda</v>
          </cell>
          <cell r="D68" t="str">
            <v>Luitex Sumare</v>
          </cell>
          <cell r="E68" t="str">
            <v>51.051.811</v>
          </cell>
          <cell r="F68" t="str">
            <v>51.051.811/0003-14</v>
          </cell>
          <cell r="G68" t="str">
            <v>LUITEX</v>
          </cell>
        </row>
        <row r="69">
          <cell r="A69">
            <v>25922</v>
          </cell>
          <cell r="B69" t="str">
            <v>CORPORATION</v>
          </cell>
          <cell r="C69" t="str">
            <v>Luitex Maquinas E Ferramentas Ltda</v>
          </cell>
          <cell r="D69" t="str">
            <v>Luitex Americana</v>
          </cell>
          <cell r="E69" t="str">
            <v>51.051.811</v>
          </cell>
          <cell r="F69" t="str">
            <v>51.051.811/0002-33</v>
          </cell>
          <cell r="G69" t="str">
            <v>LUITEX</v>
          </cell>
        </row>
        <row r="70">
          <cell r="A70">
            <v>25923</v>
          </cell>
          <cell r="B70" t="str">
            <v>CORPORATION</v>
          </cell>
          <cell r="C70" t="str">
            <v>Fazo Ferramentas Ltda - Epp</v>
          </cell>
          <cell r="D70" t="str">
            <v>Fazo Ferramentas</v>
          </cell>
          <cell r="E70" t="str">
            <v>02.448.852</v>
          </cell>
          <cell r="F70" t="str">
            <v>02.448.852/0001-71</v>
          </cell>
          <cell r="G70" t="str">
            <v>FAZO</v>
          </cell>
        </row>
        <row r="71">
          <cell r="A71">
            <v>25924</v>
          </cell>
          <cell r="B71" t="str">
            <v>CORPORATION</v>
          </cell>
          <cell r="C71" t="str">
            <v>Comercial D.R.C Ferramentas &amp; Acessorios Ltda - Epp</v>
          </cell>
          <cell r="D71" t="str">
            <v>D R C Ferramentas</v>
          </cell>
          <cell r="E71" t="str">
            <v>05.655.575</v>
          </cell>
          <cell r="F71" t="str">
            <v>05.655.575/0001-66</v>
          </cell>
        </row>
        <row r="72">
          <cell r="A72">
            <v>25925</v>
          </cell>
          <cell r="B72" t="str">
            <v>CORPORATION</v>
          </cell>
          <cell r="C72" t="str">
            <v>Comercial De Ferragens Sao Luis Ltda</v>
          </cell>
          <cell r="D72" t="str">
            <v>Comercial Sao Luis</v>
          </cell>
          <cell r="E72" t="str">
            <v>15.931.157</v>
          </cell>
          <cell r="F72" t="str">
            <v>15.931.157/0001-08</v>
          </cell>
        </row>
        <row r="73">
          <cell r="A73">
            <v>25926</v>
          </cell>
          <cell r="B73" t="str">
            <v>CORPORATION</v>
          </cell>
          <cell r="C73" t="str">
            <v>Comercial De Ferragens Sao Luis Ltda</v>
          </cell>
          <cell r="D73" t="str">
            <v>Comercial Sao Luis Filial</v>
          </cell>
          <cell r="E73" t="str">
            <v>15.931.157</v>
          </cell>
          <cell r="F73" t="str">
            <v>15.931.157/0002-99</v>
          </cell>
        </row>
        <row r="74">
          <cell r="A74">
            <v>25927</v>
          </cell>
          <cell r="B74" t="str">
            <v>CORPORATION</v>
          </cell>
          <cell r="C74" t="str">
            <v>Casa Planeta De Brasilia Maquinas E Ferragens Ltda</v>
          </cell>
          <cell r="D74" t="str">
            <v>Casa Planeta Taguatinga</v>
          </cell>
          <cell r="E74" t="str">
            <v>00.001.891</v>
          </cell>
          <cell r="F74" t="str">
            <v>00.001.891/0004-43</v>
          </cell>
          <cell r="G74" t="str">
            <v>CASA PLANETA</v>
          </cell>
        </row>
        <row r="75">
          <cell r="A75">
            <v>25928</v>
          </cell>
          <cell r="B75" t="str">
            <v>CORPORATION</v>
          </cell>
          <cell r="C75" t="str">
            <v>Casa Planeta De Brasilia Maquinas E Ferragens Ltda</v>
          </cell>
          <cell r="D75" t="str">
            <v>Casa Planeta Matriz</v>
          </cell>
          <cell r="E75" t="str">
            <v>00.001.891</v>
          </cell>
          <cell r="F75" t="str">
            <v>00.001.891/0001-09</v>
          </cell>
          <cell r="G75" t="str">
            <v>CASA PLANETA</v>
          </cell>
        </row>
        <row r="76">
          <cell r="A76">
            <v>25929</v>
          </cell>
          <cell r="B76" t="str">
            <v>CORPORATION</v>
          </cell>
          <cell r="C76" t="str">
            <v>Colorado De Friburgo Madeiras Ltda - Epp</v>
          </cell>
          <cell r="D76" t="str">
            <v>Colorado Madeiras</v>
          </cell>
          <cell r="E76" t="str">
            <v>32.549.925</v>
          </cell>
          <cell r="F76" t="str">
            <v>32.549.925/0001-82</v>
          </cell>
        </row>
        <row r="77">
          <cell r="A77">
            <v>25932</v>
          </cell>
          <cell r="B77" t="str">
            <v>CORPORATION</v>
          </cell>
          <cell r="C77" t="str">
            <v>A Alugaasolda Aluguel De Solda Ltda</v>
          </cell>
          <cell r="D77" t="str">
            <v>A Alugaasolda</v>
          </cell>
          <cell r="E77" t="str">
            <v>61.284.618</v>
          </cell>
          <cell r="F77" t="str">
            <v>61.284.618/0001-15</v>
          </cell>
        </row>
        <row r="78">
          <cell r="A78">
            <v>25934</v>
          </cell>
          <cell r="B78" t="str">
            <v>CORPORATION</v>
          </cell>
          <cell r="C78" t="str">
            <v>Abc Mercantil, Maquinas E Ferramentas Ltda - Me</v>
          </cell>
          <cell r="D78" t="str">
            <v>A B C Mercantil</v>
          </cell>
          <cell r="E78" t="str">
            <v>01.709.741</v>
          </cell>
          <cell r="F78" t="str">
            <v>01.709.741/0001-09</v>
          </cell>
        </row>
        <row r="79">
          <cell r="A79">
            <v>25936</v>
          </cell>
          <cell r="B79" t="str">
            <v>CORPORATION</v>
          </cell>
          <cell r="C79" t="str">
            <v>Amm Manutencao De Equipamentos Industriais Eireli - Me</v>
          </cell>
          <cell r="D79" t="str">
            <v>A M M Manutencao De Equipamentos</v>
          </cell>
          <cell r="E79" t="str">
            <v>04.316.848</v>
          </cell>
          <cell r="F79" t="str">
            <v>04.316.848/0001-85</v>
          </cell>
        </row>
        <row r="80">
          <cell r="A80">
            <v>25937</v>
          </cell>
          <cell r="B80" t="str">
            <v>CORPORATION</v>
          </cell>
          <cell r="C80" t="str">
            <v>A R Esteves &amp; Cia Ltda - Me</v>
          </cell>
          <cell r="D80" t="str">
            <v>A R Esteves &amp; Cia Ltda - Me (Não Possui Email)</v>
          </cell>
          <cell r="E80" t="str">
            <v>44.771.459</v>
          </cell>
          <cell r="F80" t="str">
            <v>44.771.459/0001-64</v>
          </cell>
        </row>
        <row r="81">
          <cell r="A81">
            <v>25939</v>
          </cell>
          <cell r="B81" t="str">
            <v>CORPORATION</v>
          </cell>
          <cell r="C81" t="str">
            <v>Alumaq Locacao E Comercio De Maquinas De Solda Ltda</v>
          </cell>
          <cell r="D81" t="str">
            <v>Alumaq</v>
          </cell>
          <cell r="E81" t="str">
            <v>46.991.618</v>
          </cell>
          <cell r="F81" t="str">
            <v>46.991.618/0001-61</v>
          </cell>
        </row>
        <row r="82">
          <cell r="A82">
            <v>25940</v>
          </cell>
          <cell r="B82" t="str">
            <v>CORPORATION</v>
          </cell>
          <cell r="C82" t="str">
            <v>Comercial Faccina Ltda - Epp</v>
          </cell>
          <cell r="D82" t="str">
            <v>Faccina</v>
          </cell>
          <cell r="E82" t="str">
            <v>79.923.025</v>
          </cell>
          <cell r="F82" t="str">
            <v>79.923.025/0001-17</v>
          </cell>
        </row>
        <row r="83">
          <cell r="A83">
            <v>25941</v>
          </cell>
          <cell r="B83" t="str">
            <v>CORPORATION</v>
          </cell>
          <cell r="C83" t="str">
            <v>Luciano Pacheco Peron - Me</v>
          </cell>
          <cell r="D83" t="str">
            <v>Soldas Pacheco</v>
          </cell>
          <cell r="E83" t="str">
            <v>19.255.082</v>
          </cell>
          <cell r="F83" t="str">
            <v>19.255.082/0001-43</v>
          </cell>
        </row>
        <row r="84">
          <cell r="A84">
            <v>25942</v>
          </cell>
          <cell r="B84" t="str">
            <v>CORPORATION</v>
          </cell>
          <cell r="C84" t="str">
            <v>Lucimara Correa Da Silva Votorantim - Me</v>
          </cell>
          <cell r="D84" t="str">
            <v>Votobombas Bombas E Compressores</v>
          </cell>
          <cell r="E84" t="str">
            <v>07.644.416</v>
          </cell>
          <cell r="F84" t="str">
            <v>07.644.416/0001-91</v>
          </cell>
        </row>
        <row r="85">
          <cell r="A85">
            <v>25943</v>
          </cell>
          <cell r="B85" t="str">
            <v>CORPORATION</v>
          </cell>
          <cell r="C85" t="str">
            <v>J. K. Ferragens E Ferramentas Ltda - Me</v>
          </cell>
          <cell r="D85" t="str">
            <v>J K Ferragens E Ferramentas</v>
          </cell>
          <cell r="E85" t="str">
            <v>12.552.633</v>
          </cell>
          <cell r="F85" t="str">
            <v>12.552.633/0001-91</v>
          </cell>
        </row>
        <row r="86">
          <cell r="A86">
            <v>25944</v>
          </cell>
          <cell r="B86" t="str">
            <v>CORPORATION</v>
          </cell>
          <cell r="C86" t="str">
            <v>J. V. Sampaio Eireli</v>
          </cell>
          <cell r="D86" t="str">
            <v>Jv Sampaio</v>
          </cell>
          <cell r="E86" t="str">
            <v>11.562.587</v>
          </cell>
          <cell r="F86" t="str">
            <v>11.562.587/0001-49</v>
          </cell>
          <cell r="G86" t="str">
            <v>JV SAMPAIO</v>
          </cell>
        </row>
        <row r="87">
          <cell r="A87">
            <v>25946</v>
          </cell>
          <cell r="B87" t="str">
            <v>CORPORATION</v>
          </cell>
          <cell r="C87" t="str">
            <v>Oxi-Maq - Comercial E Industrial De Equipamentos Ltda</v>
          </cell>
          <cell r="D87" t="str">
            <v>Oxi-Maq - Comercial E Industrial De Equipamentos Ltda</v>
          </cell>
          <cell r="E87" t="str">
            <v>38.875.597</v>
          </cell>
          <cell r="F87" t="str">
            <v>38.875.597/0001-90</v>
          </cell>
        </row>
        <row r="88">
          <cell r="A88">
            <v>25947</v>
          </cell>
          <cell r="B88" t="str">
            <v>CORPORATION</v>
          </cell>
          <cell r="C88" t="str">
            <v>Lc Comercio De Maquinas E Ferramentas Ltda - Me</v>
          </cell>
          <cell r="D88" t="str">
            <v>Brasil Maquinas E Ferramentas</v>
          </cell>
          <cell r="E88" t="str">
            <v>08.955.944</v>
          </cell>
          <cell r="F88" t="str">
            <v>08.955.944/0001-24</v>
          </cell>
        </row>
        <row r="89">
          <cell r="A89">
            <v>25950</v>
          </cell>
          <cell r="B89" t="str">
            <v>CORPORATION</v>
          </cell>
          <cell r="C89" t="str">
            <v>Gg Comercial Ltda - Me</v>
          </cell>
          <cell r="D89" t="str">
            <v>G G Comercial</v>
          </cell>
          <cell r="E89" t="str">
            <v>02.136.523</v>
          </cell>
          <cell r="F89" t="str">
            <v>02.136.523/0001-95</v>
          </cell>
        </row>
        <row r="90">
          <cell r="A90">
            <v>25951</v>
          </cell>
          <cell r="B90" t="str">
            <v>CORPORATION</v>
          </cell>
          <cell r="C90" t="str">
            <v>G G Maquinas E Implementos Agricolas Ltda - Epp</v>
          </cell>
          <cell r="D90" t="str">
            <v>G G Maquinas E Implementos Agricolas</v>
          </cell>
          <cell r="E90" t="str">
            <v>00.133.438</v>
          </cell>
          <cell r="F90" t="str">
            <v>00.133.438/0001-48</v>
          </cell>
        </row>
        <row r="91">
          <cell r="A91">
            <v>25953</v>
          </cell>
          <cell r="B91" t="str">
            <v>CORPORATION</v>
          </cell>
          <cell r="C91" t="str">
            <v>Gasmec Gases E Mecanica Ltda - Epp</v>
          </cell>
          <cell r="D91" t="str">
            <v>Gasmec</v>
          </cell>
          <cell r="E91" t="str">
            <v>49.798.382</v>
          </cell>
          <cell r="F91" t="str">
            <v>49.798.382/0001-30</v>
          </cell>
        </row>
        <row r="92">
          <cell r="A92">
            <v>25954</v>
          </cell>
          <cell r="B92" t="str">
            <v>CORPORATION</v>
          </cell>
          <cell r="C92" t="str">
            <v>R.K. Distribuidora De Ferragens Ltda - Me</v>
          </cell>
          <cell r="D92" t="str">
            <v>R K</v>
          </cell>
          <cell r="E92" t="str">
            <v>08.893.916</v>
          </cell>
          <cell r="F92" t="str">
            <v>08.893.916/0001-20</v>
          </cell>
        </row>
        <row r="93">
          <cell r="A93">
            <v>25956</v>
          </cell>
          <cell r="B93" t="str">
            <v>CORPORATION</v>
          </cell>
          <cell r="C93" t="str">
            <v>F. Andrade Compressores Ltda - Me</v>
          </cell>
          <cell r="D93" t="str">
            <v>F Andrade Compressores</v>
          </cell>
          <cell r="E93" t="str">
            <v>28.136.448</v>
          </cell>
          <cell r="F93" t="str">
            <v>28.136.448/0001-56</v>
          </cell>
        </row>
        <row r="94">
          <cell r="A94">
            <v>25957</v>
          </cell>
          <cell r="B94" t="str">
            <v>CORPORATION</v>
          </cell>
          <cell r="C94" t="str">
            <v>F H R De Magalhaes - Me</v>
          </cell>
          <cell r="D94" t="str">
            <v>G L Distribuidora</v>
          </cell>
          <cell r="E94" t="str">
            <v>10.630.493</v>
          </cell>
          <cell r="F94" t="str">
            <v>10.630.493/0001-05</v>
          </cell>
        </row>
        <row r="95">
          <cell r="A95">
            <v>25958</v>
          </cell>
          <cell r="B95" t="str">
            <v>CORPORATION</v>
          </cell>
          <cell r="C95" t="str">
            <v>Ciclo Cairu Ltda</v>
          </cell>
          <cell r="D95" t="str">
            <v>Ciclo Cairu</v>
          </cell>
          <cell r="E95" t="str">
            <v>02.513.526</v>
          </cell>
          <cell r="F95" t="str">
            <v>02.513.526/0001-09</v>
          </cell>
        </row>
        <row r="96">
          <cell r="A96">
            <v>25959</v>
          </cell>
          <cell r="B96" t="str">
            <v>CORPORATION</v>
          </cell>
          <cell r="C96" t="str">
            <v>Goldmaq Maquinas E Equipamentos Eireli Ltda</v>
          </cell>
          <cell r="D96" t="str">
            <v>Goldmaq</v>
          </cell>
          <cell r="E96" t="str">
            <v>04.874.154</v>
          </cell>
          <cell r="F96" t="str">
            <v>04.874.154/0001-63</v>
          </cell>
        </row>
        <row r="97">
          <cell r="A97">
            <v>25960</v>
          </cell>
          <cell r="B97" t="str">
            <v>CORPORATION</v>
          </cell>
          <cell r="C97" t="str">
            <v>Norte Comercio De Equipamentos E Ferramentas Ltda - Me</v>
          </cell>
          <cell r="D97" t="str">
            <v>Norte Ferramentas</v>
          </cell>
          <cell r="E97" t="str">
            <v>09.574.962</v>
          </cell>
          <cell r="F97" t="str">
            <v>09.574.962/0001-29</v>
          </cell>
        </row>
        <row r="98">
          <cell r="A98">
            <v>25962</v>
          </cell>
          <cell r="B98" t="str">
            <v>CORPORATION</v>
          </cell>
          <cell r="C98" t="str">
            <v>Minas Ferramentas Ltda</v>
          </cell>
          <cell r="D98" t="str">
            <v>Minas Ferramentas</v>
          </cell>
          <cell r="E98" t="str">
            <v>17.194.994</v>
          </cell>
          <cell r="F98" t="str">
            <v>17.194.994/0001-27</v>
          </cell>
        </row>
        <row r="99">
          <cell r="A99">
            <v>25963</v>
          </cell>
          <cell r="B99" t="str">
            <v>CORPORATION</v>
          </cell>
          <cell r="C99" t="str">
            <v>Diafer Eireli</v>
          </cell>
          <cell r="D99" t="str">
            <v>Diafer Itapeva Matriz</v>
          </cell>
          <cell r="E99" t="str">
            <v>04.798.677</v>
          </cell>
          <cell r="F99" t="str">
            <v>04.798.677/0001-78</v>
          </cell>
          <cell r="G99" t="str">
            <v>DIAFER</v>
          </cell>
        </row>
        <row r="100">
          <cell r="A100">
            <v>25964</v>
          </cell>
          <cell r="B100" t="str">
            <v>CORPORATION</v>
          </cell>
          <cell r="C100" t="str">
            <v>Importadora Oplima Ltda</v>
          </cell>
          <cell r="D100" t="str">
            <v>Importadora Oplima</v>
          </cell>
          <cell r="E100" t="str">
            <v>04.945.481</v>
          </cell>
          <cell r="F100" t="str">
            <v>04.945.481/0001-69</v>
          </cell>
        </row>
        <row r="101">
          <cell r="A101">
            <v>25965</v>
          </cell>
          <cell r="B101" t="str">
            <v>CORPORATION</v>
          </cell>
          <cell r="C101" t="str">
            <v>Comercial Ivaipora Ltda</v>
          </cell>
          <cell r="D101" t="str">
            <v>Comercial Ivaipora</v>
          </cell>
          <cell r="E101" t="str">
            <v>75.274.423</v>
          </cell>
          <cell r="F101" t="str">
            <v>75.274.423/0014-13</v>
          </cell>
        </row>
        <row r="102">
          <cell r="A102">
            <v>25967</v>
          </cell>
          <cell r="B102" t="str">
            <v>CORPORATION</v>
          </cell>
          <cell r="C102" t="str">
            <v>Y Yamada Sa Comercio E Industria</v>
          </cell>
          <cell r="D102" t="str">
            <v>Y Yamada</v>
          </cell>
          <cell r="E102" t="str">
            <v>04.895.751</v>
          </cell>
          <cell r="F102" t="str">
            <v>04.895.751/0001-74</v>
          </cell>
        </row>
        <row r="103">
          <cell r="A103">
            <v>25969</v>
          </cell>
          <cell r="B103" t="str">
            <v>CORPORATION</v>
          </cell>
          <cell r="C103" t="str">
            <v>J. S. R. Itaborai Comercio De Ferragens Ltda - Me</v>
          </cell>
          <cell r="D103" t="str">
            <v>Jsr Ferragens</v>
          </cell>
          <cell r="E103" t="str">
            <v>08.505.412</v>
          </cell>
          <cell r="F103" t="str">
            <v>08.505.412/0001-95</v>
          </cell>
          <cell r="G103" t="str">
            <v>JSR</v>
          </cell>
        </row>
        <row r="104">
          <cell r="A104">
            <v>25970</v>
          </cell>
          <cell r="B104" t="str">
            <v>CORPORATION</v>
          </cell>
          <cell r="C104" t="str">
            <v>Leopardo Maquinas Ltda - Epp</v>
          </cell>
          <cell r="D104" t="str">
            <v>Leopardo Maquinas Matriz</v>
          </cell>
          <cell r="E104" t="str">
            <v>04.183.015</v>
          </cell>
          <cell r="F104" t="str">
            <v>04.183.015/0001-93</v>
          </cell>
          <cell r="G104" t="str">
            <v>LEOPARDO</v>
          </cell>
        </row>
        <row r="105">
          <cell r="A105">
            <v>25971</v>
          </cell>
          <cell r="B105" t="str">
            <v>CORPORATION</v>
          </cell>
          <cell r="C105" t="str">
            <v>V. S. Comercio De Ferramentas E Servicos Ltda</v>
          </cell>
          <cell r="D105" t="str">
            <v>V S</v>
          </cell>
          <cell r="E105" t="str">
            <v>01.951.162</v>
          </cell>
          <cell r="F105" t="str">
            <v>01.951.162/0001-78</v>
          </cell>
        </row>
        <row r="106">
          <cell r="A106">
            <v>25974</v>
          </cell>
          <cell r="B106" t="str">
            <v>CORPORATION</v>
          </cell>
          <cell r="C106" t="str">
            <v>Rpm Motores E Maquinas Industriais Ltda</v>
          </cell>
          <cell r="D106" t="str">
            <v>R P M Motores E Maquinas</v>
          </cell>
          <cell r="E106" t="str">
            <v>21.659.123</v>
          </cell>
          <cell r="F106" t="str">
            <v>21.659.123/0001-09</v>
          </cell>
        </row>
        <row r="107">
          <cell r="A107">
            <v>25975</v>
          </cell>
          <cell r="B107" t="str">
            <v>CORPORATION</v>
          </cell>
          <cell r="C107" t="str">
            <v>Rosa Maria O Azevedo - Me</v>
          </cell>
          <cell r="D107" t="str">
            <v>Rosa Maria O Azevedo - Me</v>
          </cell>
          <cell r="E107" t="str">
            <v>30.838.874</v>
          </cell>
          <cell r="F107" t="str">
            <v>30.838.874/0001-83</v>
          </cell>
        </row>
        <row r="108">
          <cell r="A108">
            <v>25977</v>
          </cell>
          <cell r="B108" t="str">
            <v>CORPORATION</v>
          </cell>
          <cell r="C108" t="str">
            <v>Roncon Comercio De Esquadrias E Ferro Ltda</v>
          </cell>
          <cell r="D108" t="str">
            <v>Roncon</v>
          </cell>
          <cell r="E108" t="str">
            <v>05.645.572</v>
          </cell>
          <cell r="F108" t="str">
            <v>05.645.572/0001-41</v>
          </cell>
        </row>
        <row r="109">
          <cell r="A109">
            <v>25978</v>
          </cell>
          <cell r="B109" t="str">
            <v>CORPORATION</v>
          </cell>
          <cell r="C109" t="str">
            <v>Comercial Fercatto Ltda</v>
          </cell>
          <cell r="D109" t="str">
            <v>Comercial Fercatto</v>
          </cell>
          <cell r="E109" t="str">
            <v>06.056.662</v>
          </cell>
          <cell r="F109" t="str">
            <v>06.056.662/0001-60</v>
          </cell>
          <cell r="G109" t="str">
            <v>COMERCIAL FERCATTO</v>
          </cell>
        </row>
        <row r="110">
          <cell r="A110">
            <v>25979</v>
          </cell>
          <cell r="B110" t="str">
            <v>CORPORATION</v>
          </cell>
          <cell r="C110" t="str">
            <v>Pregao Materiais De Construcao Ltda - Epp</v>
          </cell>
          <cell r="D110" t="str">
            <v>Pregao Materiais De Construcao</v>
          </cell>
          <cell r="E110" t="str">
            <v>05.115.983</v>
          </cell>
          <cell r="F110" t="str">
            <v>05.115.983/0001-25</v>
          </cell>
          <cell r="G110" t="str">
            <v>PREGÃO</v>
          </cell>
        </row>
        <row r="111">
          <cell r="A111">
            <v>25980</v>
          </cell>
          <cell r="B111" t="str">
            <v>CORPORATION</v>
          </cell>
          <cell r="C111" t="str">
            <v>Cidade Alta Maquinas E Ferramentas Ltda - Me</v>
          </cell>
          <cell r="D111" t="str">
            <v>O Ferramenteiro Maquinas E Ferramentas</v>
          </cell>
          <cell r="E111" t="str">
            <v>97.542.313</v>
          </cell>
          <cell r="F111" t="str">
            <v>97.542.313/0001-03</v>
          </cell>
        </row>
        <row r="112">
          <cell r="A112">
            <v>25981</v>
          </cell>
          <cell r="B112" t="str">
            <v>CORPORATION</v>
          </cell>
          <cell r="C112" t="str">
            <v>Luiz Claudio Quintaneiro - Me</v>
          </cell>
          <cell r="D112" t="str">
            <v>L C Q Ferramentas, Maquinas E Pecas Automotivas</v>
          </cell>
          <cell r="E112" t="str">
            <v>09.397.329</v>
          </cell>
          <cell r="F112" t="str">
            <v>09.397.329/0001-02</v>
          </cell>
        </row>
        <row r="113">
          <cell r="A113">
            <v>25982</v>
          </cell>
          <cell r="B113" t="str">
            <v>CORPORATION</v>
          </cell>
          <cell r="C113" t="str">
            <v>Mnh Queiroiz Comercio</v>
          </cell>
          <cell r="D113" t="str">
            <v>Unifer - Soldas E Ferramentas</v>
          </cell>
          <cell r="E113" t="str">
            <v>03.112.578</v>
          </cell>
          <cell r="F113" t="str">
            <v>03.112.578/0001-28</v>
          </cell>
        </row>
        <row r="114">
          <cell r="A114">
            <v>25984</v>
          </cell>
          <cell r="B114" t="str">
            <v>CORPORATION</v>
          </cell>
          <cell r="C114" t="str">
            <v>Ferrakrebs Comercio De Ferramentas Especiais Ltda</v>
          </cell>
          <cell r="D114" t="str">
            <v>Ferrakrebs</v>
          </cell>
          <cell r="E114" t="str">
            <v>59.107.060</v>
          </cell>
          <cell r="F114" t="str">
            <v>59.107.060/0001-50</v>
          </cell>
        </row>
        <row r="115">
          <cell r="A115">
            <v>25985</v>
          </cell>
          <cell r="B115" t="str">
            <v>CORPORATION</v>
          </cell>
          <cell r="C115" t="str">
            <v>Alugatec Soldas Ltda - Epp</v>
          </cell>
          <cell r="D115" t="str">
            <v>Alugatec Soldas</v>
          </cell>
          <cell r="E115" t="str">
            <v>72.795.933</v>
          </cell>
          <cell r="F115" t="str">
            <v>72.795.933/0001-23</v>
          </cell>
          <cell r="G115" t="str">
            <v xml:space="preserve">Oxibras </v>
          </cell>
        </row>
        <row r="116">
          <cell r="A116">
            <v>25986</v>
          </cell>
          <cell r="B116" t="str">
            <v>CORPORATION</v>
          </cell>
          <cell r="C116" t="str">
            <v>Famaquinas Maquinas Agricolas Ltda - Me</v>
          </cell>
          <cell r="D116" t="str">
            <v>Tarimaquinas</v>
          </cell>
          <cell r="E116" t="str">
            <v>21.695.705</v>
          </cell>
          <cell r="F116" t="str">
            <v>21.695.705/0001-40</v>
          </cell>
        </row>
        <row r="117">
          <cell r="A117">
            <v>25987</v>
          </cell>
          <cell r="B117" t="str">
            <v>CORPORATION</v>
          </cell>
          <cell r="C117" t="str">
            <v>Wagher Compressores E Equipamentos P Pint Ltda - Me</v>
          </cell>
          <cell r="D117" t="str">
            <v>Wagher Compressores E Equipamentos</v>
          </cell>
          <cell r="E117" t="str">
            <v>44.355.246</v>
          </cell>
          <cell r="F117" t="str">
            <v>44.355.246/0001-51</v>
          </cell>
        </row>
        <row r="118">
          <cell r="A118">
            <v>25989</v>
          </cell>
          <cell r="B118" t="str">
            <v>CORPORATION</v>
          </cell>
          <cell r="C118" t="str">
            <v>Silmar Equipamentos E Ferramentas Ltda</v>
          </cell>
          <cell r="D118" t="str">
            <v>Silmar Equipamentos E Ferramentas</v>
          </cell>
          <cell r="E118" t="str">
            <v>60.320.181</v>
          </cell>
          <cell r="F118" t="str">
            <v>60.320.181/0001-65</v>
          </cell>
        </row>
        <row r="119">
          <cell r="A119">
            <v>25990</v>
          </cell>
          <cell r="B119" t="str">
            <v>CORPORATION</v>
          </cell>
          <cell r="C119" t="str">
            <v>Francisco Giraldi &amp; Filhos Ltda</v>
          </cell>
          <cell r="D119" t="str">
            <v>Francisco Giraldi &amp; Filhos Ltda</v>
          </cell>
          <cell r="E119" t="str">
            <v>44.507.002</v>
          </cell>
          <cell r="F119" t="str">
            <v>44.507.002/0001-47</v>
          </cell>
        </row>
        <row r="120">
          <cell r="A120">
            <v>25991</v>
          </cell>
          <cell r="B120" t="str">
            <v>CORPORATION</v>
          </cell>
          <cell r="C120" t="str">
            <v>Rodoagro Irrigacao E Servicos Ltda</v>
          </cell>
          <cell r="D120" t="str">
            <v>Rodoagro</v>
          </cell>
          <cell r="E120" t="str">
            <v>20.755.609</v>
          </cell>
          <cell r="F120" t="str">
            <v>20.755.609/0001-88</v>
          </cell>
        </row>
        <row r="121">
          <cell r="A121">
            <v>25992</v>
          </cell>
          <cell r="B121" t="str">
            <v>CORPORATION</v>
          </cell>
          <cell r="C121" t="str">
            <v>Ildeu Rodrigues Moura - Me</v>
          </cell>
          <cell r="D121" t="str">
            <v>Ildeu Rodrigues Moura</v>
          </cell>
          <cell r="E121" t="str">
            <v>02.978.457</v>
          </cell>
          <cell r="F121" t="str">
            <v>02.978.457/0001-09</v>
          </cell>
        </row>
        <row r="122">
          <cell r="A122">
            <v>25993</v>
          </cell>
          <cell r="B122" t="str">
            <v>CORPORATION</v>
          </cell>
          <cell r="C122" t="str">
            <v>Comercial J H Di Angelis Ltda - Me</v>
          </cell>
          <cell r="D122" t="str">
            <v>Comercial J H Di Angelis</v>
          </cell>
          <cell r="E122" t="str">
            <v>66.173.139</v>
          </cell>
          <cell r="F122" t="str">
            <v>66.173.139/0001-45</v>
          </cell>
        </row>
        <row r="123">
          <cell r="A123">
            <v>25994</v>
          </cell>
          <cell r="B123" t="str">
            <v>CORPORATION</v>
          </cell>
          <cell r="C123" t="str">
            <v>Cmb - Comercial De Maquinas E Bombas Ltda - Me</v>
          </cell>
          <cell r="D123" t="str">
            <v>C M B - Comercial De Maquinas E Bombas</v>
          </cell>
          <cell r="E123" t="str">
            <v>02.905.316</v>
          </cell>
          <cell r="F123" t="str">
            <v>02.905.316/0001-58</v>
          </cell>
        </row>
        <row r="124">
          <cell r="A124">
            <v>25995</v>
          </cell>
          <cell r="B124" t="str">
            <v>CORPORATION</v>
          </cell>
          <cell r="C124" t="str">
            <v>Fermarcs -Com Varejista De Ferramentas E Acessorios Ltda-Me</v>
          </cell>
          <cell r="D124" t="str">
            <v>Fermarcs Varejista De Ferramentas</v>
          </cell>
          <cell r="E124" t="str">
            <v>08.615.223</v>
          </cell>
          <cell r="F124" t="str">
            <v>08.615.223/0001-75</v>
          </cell>
          <cell r="G124" t="str">
            <v>FERMARCS</v>
          </cell>
        </row>
        <row r="125">
          <cell r="A125">
            <v>25997</v>
          </cell>
          <cell r="B125" t="str">
            <v>CORPORATION</v>
          </cell>
          <cell r="C125" t="str">
            <v>Graczyki &amp; Graczyki Ltda</v>
          </cell>
          <cell r="D125" t="str">
            <v>Graczyki &amp; Graczyki</v>
          </cell>
          <cell r="E125" t="str">
            <v>77.124.196</v>
          </cell>
          <cell r="F125" t="str">
            <v>77.124.196/0001-50</v>
          </cell>
        </row>
        <row r="126">
          <cell r="A126">
            <v>25999</v>
          </cell>
          <cell r="B126" t="str">
            <v>CORPORATION</v>
          </cell>
          <cell r="C126" t="str">
            <v>Agrocampo Produtos Agropecuarios Ltda - Epp</v>
          </cell>
          <cell r="D126" t="str">
            <v>Agrocampo</v>
          </cell>
          <cell r="E126" t="str">
            <v>10.260.048</v>
          </cell>
          <cell r="F126" t="str">
            <v>10.260.048/0001-92</v>
          </cell>
        </row>
        <row r="127">
          <cell r="A127">
            <v>26000</v>
          </cell>
          <cell r="B127" t="str">
            <v>CORPORATION</v>
          </cell>
          <cell r="C127" t="str">
            <v>Parafusos Angra Ltda Epp</v>
          </cell>
          <cell r="D127" t="str">
            <v>Parafusos Angra Ltda Epp</v>
          </cell>
          <cell r="E127" t="str">
            <v>27.627.967</v>
          </cell>
          <cell r="F127" t="str">
            <v>27.627.967/0001-54</v>
          </cell>
        </row>
        <row r="128">
          <cell r="A128">
            <v>26001</v>
          </cell>
          <cell r="B128" t="str">
            <v>CORPORATION</v>
          </cell>
          <cell r="C128" t="str">
            <v>Dmill Casa &amp; Materiais Para Construcao Ltda - Epp</v>
          </cell>
          <cell r="D128" t="str">
            <v>Dmill Casa &amp; Construcao</v>
          </cell>
          <cell r="E128" t="str">
            <v>09.178.926</v>
          </cell>
          <cell r="F128" t="str">
            <v>09.178.926/0001-46</v>
          </cell>
        </row>
        <row r="129">
          <cell r="A129">
            <v>26002</v>
          </cell>
          <cell r="B129" t="str">
            <v>CORPORATION</v>
          </cell>
          <cell r="C129" t="str">
            <v>Comercio De Maquinas E Materiais Pereira Ltda</v>
          </cell>
          <cell r="D129" t="str">
            <v>Comape</v>
          </cell>
          <cell r="E129" t="str">
            <v>75.408.278</v>
          </cell>
          <cell r="F129" t="str">
            <v>75.408.278/0001-00</v>
          </cell>
        </row>
        <row r="130">
          <cell r="A130">
            <v>26005</v>
          </cell>
          <cell r="B130" t="str">
            <v>CORPORATION</v>
          </cell>
          <cell r="C130" t="str">
            <v>Frimasa Friburgo Materiais Soldas E Abrasivos Ltda - Epp</v>
          </cell>
          <cell r="D130" t="str">
            <v>Frimasa</v>
          </cell>
          <cell r="E130" t="str">
            <v>86.809.845</v>
          </cell>
          <cell r="F130" t="str">
            <v>86.809.845/0001-48</v>
          </cell>
        </row>
        <row r="131">
          <cell r="A131">
            <v>26007</v>
          </cell>
          <cell r="B131" t="str">
            <v>CORPORATION</v>
          </cell>
          <cell r="C131" t="str">
            <v>Discafer Petropolis Comercio De Ferro E Aco Ltda - Me</v>
          </cell>
          <cell r="D131" t="str">
            <v>Discafer</v>
          </cell>
          <cell r="E131" t="str">
            <v>09.312.365</v>
          </cell>
          <cell r="F131" t="str">
            <v>09.312.365/0001-26</v>
          </cell>
        </row>
        <row r="132">
          <cell r="A132">
            <v>26008</v>
          </cell>
          <cell r="B132" t="str">
            <v>CORPORATION</v>
          </cell>
          <cell r="C132" t="str">
            <v>Ferramax Comercio De Ferragens Ltda - Epp</v>
          </cell>
          <cell r="D132" t="str">
            <v>Ferramax</v>
          </cell>
          <cell r="E132" t="str">
            <v>13.847.740</v>
          </cell>
          <cell r="F132" t="str">
            <v>13.847.740/0001-00</v>
          </cell>
        </row>
        <row r="133">
          <cell r="A133">
            <v>26009</v>
          </cell>
          <cell r="B133" t="str">
            <v>CORPORATION</v>
          </cell>
          <cell r="C133" t="str">
            <v>Cristiane De Souza Lendengue - Me</v>
          </cell>
          <cell r="D133" t="str">
            <v>Cristiane De Souza Lendengue - Me</v>
          </cell>
          <cell r="E133" t="str">
            <v>07.586.061</v>
          </cell>
          <cell r="F133" t="str">
            <v>07.586.061/0001-21</v>
          </cell>
        </row>
        <row r="134">
          <cell r="A134">
            <v>26010</v>
          </cell>
          <cell r="B134" t="str">
            <v>CORPORATION</v>
          </cell>
          <cell r="C134" t="str">
            <v>R. R. Bacelar - Me</v>
          </cell>
          <cell r="D134" t="str">
            <v>Casa Das Bombas</v>
          </cell>
          <cell r="E134" t="str">
            <v>16.888.147</v>
          </cell>
          <cell r="F134" t="str">
            <v>16.888.147/0001-08</v>
          </cell>
          <cell r="G134" t="str">
            <v>CASA DAS BOMBAS</v>
          </cell>
        </row>
        <row r="135">
          <cell r="A135">
            <v>26011</v>
          </cell>
          <cell r="B135" t="str">
            <v>CORPORATION</v>
          </cell>
          <cell r="C135" t="str">
            <v>Daniel Gustavo Costa Cruz</v>
          </cell>
          <cell r="D135" t="str">
            <v>Ox Fermaq</v>
          </cell>
          <cell r="E135" t="str">
            <v>09.220.878</v>
          </cell>
          <cell r="F135" t="str">
            <v>09.220.878/0001-07</v>
          </cell>
        </row>
        <row r="136">
          <cell r="A136">
            <v>26012</v>
          </cell>
          <cell r="B136" t="str">
            <v>CORPORATION</v>
          </cell>
          <cell r="C136" t="str">
            <v>Loja Do Mecanico Ferramentas Eirelli</v>
          </cell>
          <cell r="D136" t="str">
            <v>Casa Do Mecanico</v>
          </cell>
          <cell r="E136" t="str">
            <v>03.660.234</v>
          </cell>
          <cell r="F136" t="str">
            <v>03.660.234/0001-53</v>
          </cell>
        </row>
        <row r="137">
          <cell r="A137">
            <v>26013</v>
          </cell>
          <cell r="B137" t="str">
            <v>CORPORATION</v>
          </cell>
          <cell r="C137" t="str">
            <v>Marcelo Aparecido Giusepette - Epp</v>
          </cell>
          <cell r="D137" t="str">
            <v>M G - Vendas, Locacao E Consertos De Maq.E Equipamentos</v>
          </cell>
          <cell r="E137" t="str">
            <v>05.240.995</v>
          </cell>
          <cell r="F137" t="str">
            <v>05.240.995/0001-81</v>
          </cell>
        </row>
        <row r="138">
          <cell r="A138">
            <v>26014</v>
          </cell>
          <cell r="B138" t="str">
            <v>CORPORATION</v>
          </cell>
          <cell r="C138" t="str">
            <v>Motomec Ferramentas Comercial Ltda. - Epp</v>
          </cell>
          <cell r="D138" t="str">
            <v>Motomec Ferramentas</v>
          </cell>
          <cell r="E138" t="str">
            <v>13.978.181</v>
          </cell>
          <cell r="F138" t="str">
            <v>13.978.181/0001-77</v>
          </cell>
        </row>
        <row r="139">
          <cell r="A139">
            <v>26015</v>
          </cell>
          <cell r="B139" t="str">
            <v>CORPORATION</v>
          </cell>
          <cell r="C139" t="str">
            <v>Wisniewski Auto Pecas Ltda. - Epp</v>
          </cell>
          <cell r="D139" t="str">
            <v>Wisniewski Auto Pecas</v>
          </cell>
          <cell r="E139" t="str">
            <v>13.604.854</v>
          </cell>
          <cell r="F139" t="str">
            <v>13.604.854/0001-29</v>
          </cell>
        </row>
        <row r="140">
          <cell r="A140">
            <v>26016</v>
          </cell>
          <cell r="B140" t="str">
            <v>CORPORATION</v>
          </cell>
          <cell r="C140" t="str">
            <v>Hidro Eletrica Irmaos Manhaes Ltda - Epp</v>
          </cell>
          <cell r="D140" t="str">
            <v>Hidro Eletrica Irmaos Manhaes</v>
          </cell>
          <cell r="E140" t="str">
            <v>29.881.935</v>
          </cell>
          <cell r="F140" t="str">
            <v>29.881.935/0001-06</v>
          </cell>
        </row>
        <row r="141">
          <cell r="A141">
            <v>26017</v>
          </cell>
          <cell r="B141" t="str">
            <v>CORPORATION</v>
          </cell>
          <cell r="C141" t="str">
            <v>D.Marcelino Da Silva - Gas - Me</v>
          </cell>
          <cell r="D141" t="str">
            <v>D.Marcelino Da Silva - Gas - Me</v>
          </cell>
          <cell r="E141" t="str">
            <v>10.740.321</v>
          </cell>
          <cell r="F141" t="str">
            <v>10.740.321/0001-86</v>
          </cell>
        </row>
        <row r="142">
          <cell r="A142">
            <v>26018</v>
          </cell>
          <cell r="B142" t="str">
            <v>CORPORATION</v>
          </cell>
          <cell r="C142" t="str">
            <v>Esquinao Das Maquinas Ltda - Me</v>
          </cell>
          <cell r="D142" t="str">
            <v>Esquinao Das Maquinas</v>
          </cell>
          <cell r="E142" t="str">
            <v>16.657.650</v>
          </cell>
          <cell r="F142" t="str">
            <v>16.657.650/0001-44</v>
          </cell>
        </row>
        <row r="143">
          <cell r="A143">
            <v>26019</v>
          </cell>
          <cell r="B143" t="str">
            <v>CORPORATION</v>
          </cell>
          <cell r="C143" t="str">
            <v>Soldamig Industria E Comercio Ltda - Me</v>
          </cell>
          <cell r="D143" t="str">
            <v>Soldamig Maquinas De Solda</v>
          </cell>
          <cell r="E143" t="str">
            <v>05.099.910</v>
          </cell>
          <cell r="F143" t="str">
            <v>05.099.910/0001-97</v>
          </cell>
          <cell r="G143" t="str">
            <v>SOLDAMIG</v>
          </cell>
        </row>
        <row r="144">
          <cell r="A144">
            <v>26020</v>
          </cell>
          <cell r="B144" t="str">
            <v>CORPORATION</v>
          </cell>
          <cell r="C144" t="str">
            <v>Atlantica Maq Industria Comercio De Maquinas Ltda - Me</v>
          </cell>
          <cell r="D144" t="str">
            <v>Atlantica</v>
          </cell>
          <cell r="E144" t="str">
            <v>00.723.647</v>
          </cell>
          <cell r="F144" t="str">
            <v>00.723.647/0001-41</v>
          </cell>
        </row>
        <row r="145">
          <cell r="A145">
            <v>26021</v>
          </cell>
          <cell r="B145" t="str">
            <v>CORPORATION</v>
          </cell>
          <cell r="C145" t="str">
            <v>Itapeva Comercio De Parafusos E Ferragens Ltda - Me</v>
          </cell>
          <cell r="D145" t="str">
            <v>Parafuso &amp; Cia</v>
          </cell>
          <cell r="E145" t="str">
            <v>17.184.076</v>
          </cell>
          <cell r="F145" t="str">
            <v>17.184.076/0001-17</v>
          </cell>
        </row>
        <row r="146">
          <cell r="A146">
            <v>26023</v>
          </cell>
          <cell r="B146" t="str">
            <v>CORPORATION</v>
          </cell>
          <cell r="C146" t="str">
            <v>Manoel Nascimento De Souza - Me</v>
          </cell>
          <cell r="D146" t="str">
            <v>Rei Dos Parafusos</v>
          </cell>
          <cell r="E146" t="str">
            <v>06.167.602</v>
          </cell>
          <cell r="F146" t="str">
            <v>06.167.602/0001-14</v>
          </cell>
        </row>
        <row r="147">
          <cell r="A147">
            <v>26024</v>
          </cell>
          <cell r="B147" t="str">
            <v>CORPORATION</v>
          </cell>
          <cell r="C147" t="str">
            <v>Wladimir Bighetti &amp; Cia Ltda - Me</v>
          </cell>
          <cell r="D147" t="str">
            <v>Wladimir Bighetti &amp; Cia</v>
          </cell>
          <cell r="E147" t="str">
            <v>02.538.227</v>
          </cell>
          <cell r="F147" t="str">
            <v>02.538.227/0001-10</v>
          </cell>
        </row>
        <row r="148">
          <cell r="A148">
            <v>26025</v>
          </cell>
          <cell r="B148" t="str">
            <v>CORPORATION</v>
          </cell>
          <cell r="C148" t="str">
            <v>Ebm Distribuidora Ltda - Me</v>
          </cell>
          <cell r="D148" t="str">
            <v>E B M Distribuidora</v>
          </cell>
          <cell r="E148" t="str">
            <v>96.667.993</v>
          </cell>
          <cell r="F148" t="str">
            <v>96.667.993/0001-29</v>
          </cell>
        </row>
        <row r="149">
          <cell r="A149">
            <v>26026</v>
          </cell>
          <cell r="B149" t="str">
            <v>CORPORATION</v>
          </cell>
          <cell r="C149" t="str">
            <v>Fabio Shoji Nakagawa - Me</v>
          </cell>
          <cell r="D149" t="str">
            <v>L J Pneumaticos</v>
          </cell>
          <cell r="E149" t="str">
            <v>08.254.501</v>
          </cell>
          <cell r="F149" t="str">
            <v>08.254.501/0001-06</v>
          </cell>
        </row>
        <row r="150">
          <cell r="A150">
            <v>26027</v>
          </cell>
          <cell r="B150" t="str">
            <v>CORPORATION</v>
          </cell>
          <cell r="C150" t="str">
            <v>Deposito Uniao Materiais De Construcao Ltda</v>
          </cell>
          <cell r="D150" t="str">
            <v>Deposito Uniao</v>
          </cell>
          <cell r="E150" t="str">
            <v>03.747.982</v>
          </cell>
          <cell r="F150" t="str">
            <v>03.747.982/0001-78</v>
          </cell>
        </row>
        <row r="151">
          <cell r="A151">
            <v>26028</v>
          </cell>
          <cell r="B151" t="str">
            <v>CORPORATION</v>
          </cell>
          <cell r="C151" t="str">
            <v>Andaimes Predial De Teresopolis Ltda</v>
          </cell>
          <cell r="D151" t="str">
            <v>Andaimes Predial De Teresopolis</v>
          </cell>
          <cell r="E151" t="str">
            <v>01.909.451</v>
          </cell>
          <cell r="F151" t="str">
            <v>01.909.451/0001-09</v>
          </cell>
        </row>
        <row r="152">
          <cell r="A152">
            <v>26029</v>
          </cell>
          <cell r="B152" t="str">
            <v>CORPORATION</v>
          </cell>
          <cell r="C152" t="str">
            <v>Casa &amp; Jardim Comercio De Ferragens Ltda - Epp</v>
          </cell>
          <cell r="D152" t="str">
            <v>Casa E Jardim</v>
          </cell>
          <cell r="E152" t="str">
            <v>11.053.328</v>
          </cell>
          <cell r="F152" t="str">
            <v>11.053.328/0001-92</v>
          </cell>
        </row>
        <row r="153">
          <cell r="A153">
            <v>26030</v>
          </cell>
          <cell r="B153" t="str">
            <v>CORPORATION</v>
          </cell>
          <cell r="C153" t="str">
            <v>Adriano Coelho Hernandes Bauru - Me</v>
          </cell>
          <cell r="D153" t="str">
            <v>Rolafuso Hernandes</v>
          </cell>
          <cell r="E153" t="str">
            <v>02.922.146</v>
          </cell>
          <cell r="F153" t="str">
            <v>02.922.146/0001-10</v>
          </cell>
        </row>
        <row r="154">
          <cell r="A154">
            <v>26031</v>
          </cell>
          <cell r="B154" t="str">
            <v>CORPORATION</v>
          </cell>
          <cell r="C154" t="str">
            <v>A. Gutierrez Comercial De Ferramentas E Maquinas Eireli</v>
          </cell>
          <cell r="D154" t="str">
            <v>A Gutierrez</v>
          </cell>
          <cell r="E154" t="str">
            <v>05.222.657</v>
          </cell>
          <cell r="F154" t="str">
            <v>05.222.657/0001-17</v>
          </cell>
          <cell r="G154" t="str">
            <v>A. GUTIERREZ</v>
          </cell>
        </row>
        <row r="155">
          <cell r="A155">
            <v>26032</v>
          </cell>
          <cell r="B155" t="str">
            <v>CORPORATION</v>
          </cell>
          <cell r="C155" t="str">
            <v>Mauro Lucio Rocha - Me</v>
          </cell>
          <cell r="D155" t="str">
            <v>Igarape Motores Eletricos</v>
          </cell>
          <cell r="E155" t="str">
            <v>01.166.576</v>
          </cell>
          <cell r="F155" t="str">
            <v>01.166.576/0001-96</v>
          </cell>
        </row>
        <row r="156">
          <cell r="A156">
            <v>26033</v>
          </cell>
          <cell r="B156" t="str">
            <v>CORPORATION</v>
          </cell>
          <cell r="C156" t="str">
            <v>Comercio De Ferragens Miguel Garcia Ltda - Epp</v>
          </cell>
          <cell r="D156" t="str">
            <v>Yogi Ferragens</v>
          </cell>
          <cell r="E156" t="str">
            <v>00.302.549</v>
          </cell>
          <cell r="F156" t="str">
            <v>00.302.549/0001-30</v>
          </cell>
        </row>
        <row r="157">
          <cell r="A157">
            <v>26034</v>
          </cell>
          <cell r="B157" t="str">
            <v>CORPORATION</v>
          </cell>
          <cell r="C157" t="str">
            <v>Flamafer Comercio De Ferramentas Ltda - Epp</v>
          </cell>
          <cell r="D157" t="str">
            <v>Compreferramentas.Com</v>
          </cell>
          <cell r="E157" t="str">
            <v>65.761.579</v>
          </cell>
          <cell r="F157" t="str">
            <v>65.761.579/0001-50</v>
          </cell>
        </row>
        <row r="158">
          <cell r="A158">
            <v>26035</v>
          </cell>
          <cell r="B158" t="str">
            <v>CORPORATION</v>
          </cell>
          <cell r="C158" t="str">
            <v>Marcia E S C Pereto &amp; Cia Ltda - Me</v>
          </cell>
          <cell r="D158" t="str">
            <v>Usitec</v>
          </cell>
          <cell r="E158" t="str">
            <v>02.775.362</v>
          </cell>
          <cell r="F158" t="str">
            <v>02.775.362/0002-60</v>
          </cell>
        </row>
        <row r="159">
          <cell r="A159">
            <v>26037</v>
          </cell>
          <cell r="B159" t="str">
            <v>CORPORATION</v>
          </cell>
          <cell r="C159" t="str">
            <v>Gustavo Do Vale Elias - Me</v>
          </cell>
          <cell r="D159" t="str">
            <v>Concreaco Ferramentas</v>
          </cell>
          <cell r="E159" t="str">
            <v>06.131.779</v>
          </cell>
          <cell r="F159" t="str">
            <v>06.131.779/0001-60</v>
          </cell>
        </row>
        <row r="160">
          <cell r="A160">
            <v>26038</v>
          </cell>
          <cell r="B160" t="str">
            <v>CORPORATION</v>
          </cell>
          <cell r="C160" t="str">
            <v>Jose Roberto Bottino</v>
          </cell>
          <cell r="D160" t="str">
            <v>Jose Roberto Bottino</v>
          </cell>
          <cell r="E160" t="str">
            <v>08.460.414</v>
          </cell>
          <cell r="F160" t="str">
            <v>08.460.414/0001-05</v>
          </cell>
        </row>
        <row r="161">
          <cell r="A161">
            <v>26040</v>
          </cell>
          <cell r="B161" t="str">
            <v>CORPORATION</v>
          </cell>
          <cell r="C161" t="str">
            <v>Organizacoes Mt &amp; F Comercio De Suprimentos Industriais Ltda - Me</v>
          </cell>
          <cell r="D161" t="str">
            <v>O M T&amp;F Suprimentos Industriais</v>
          </cell>
          <cell r="E161" t="str">
            <v>08.657.916</v>
          </cell>
          <cell r="F161" t="str">
            <v>08.657.916/0001-20</v>
          </cell>
        </row>
        <row r="162">
          <cell r="A162">
            <v>26041</v>
          </cell>
          <cell r="B162" t="str">
            <v>CORPORATION</v>
          </cell>
          <cell r="C162" t="str">
            <v>Hermes Amilton Toro Pimenta - Me</v>
          </cell>
          <cell r="D162" t="str">
            <v>Pra Casa Material De Construcao</v>
          </cell>
          <cell r="E162" t="str">
            <v>03.527.635</v>
          </cell>
          <cell r="F162" t="str">
            <v>03.527.635/0001-30</v>
          </cell>
        </row>
        <row r="163">
          <cell r="A163">
            <v>26042</v>
          </cell>
          <cell r="B163" t="str">
            <v>CORPORATION</v>
          </cell>
          <cell r="C163" t="str">
            <v>W. Soares De Oliveira Comercio - Epp</v>
          </cell>
          <cell r="D163" t="str">
            <v>Comam</v>
          </cell>
          <cell r="E163" t="str">
            <v>09.073.223</v>
          </cell>
          <cell r="F163" t="str">
            <v>09.073.223/0001-53</v>
          </cell>
        </row>
        <row r="164">
          <cell r="A164">
            <v>26043</v>
          </cell>
          <cell r="B164" t="str">
            <v>CORPORATION</v>
          </cell>
          <cell r="C164" t="str">
            <v>Brasol Equipamentos Para Solda Ltda - Me</v>
          </cell>
          <cell r="D164" t="str">
            <v>Brasol</v>
          </cell>
          <cell r="E164" t="str">
            <v>64.080.831</v>
          </cell>
          <cell r="F164" t="str">
            <v>64.080.831/0001-01</v>
          </cell>
        </row>
        <row r="165">
          <cell r="A165">
            <v>26044</v>
          </cell>
          <cell r="B165" t="str">
            <v>CORPORATION</v>
          </cell>
          <cell r="C165" t="str">
            <v>Luar Comercio De Produtos Industriais Eireli - Epp</v>
          </cell>
          <cell r="D165" t="str">
            <v>Luar Comercio</v>
          </cell>
          <cell r="E165" t="str">
            <v>04.942.885</v>
          </cell>
          <cell r="F165" t="str">
            <v>04.942.885/0001-07</v>
          </cell>
        </row>
        <row r="166">
          <cell r="A166">
            <v>26045</v>
          </cell>
          <cell r="B166" t="str">
            <v>CORPORATION</v>
          </cell>
          <cell r="C166" t="str">
            <v>Marchiori Comercial Ltda - Epp</v>
          </cell>
          <cell r="D166" t="str">
            <v>Marchiori Comercial</v>
          </cell>
          <cell r="E166" t="str">
            <v>01.985.149</v>
          </cell>
          <cell r="F166" t="str">
            <v>01.985.149/0001-30</v>
          </cell>
        </row>
        <row r="167">
          <cell r="A167">
            <v>26046</v>
          </cell>
          <cell r="B167" t="str">
            <v>CORPORATION</v>
          </cell>
          <cell r="C167" t="str">
            <v>Bruna Alves Satiro De Moura - Me</v>
          </cell>
          <cell r="D167" t="str">
            <v>Kaue Maquinas E Equipamentos</v>
          </cell>
          <cell r="E167" t="str">
            <v>10.648.085</v>
          </cell>
          <cell r="F167" t="str">
            <v>10.648.085/0001-72</v>
          </cell>
        </row>
        <row r="168">
          <cell r="A168">
            <v>26047</v>
          </cell>
          <cell r="B168" t="str">
            <v>CORPORATION</v>
          </cell>
          <cell r="C168" t="str">
            <v>A C Comercio Ferramentas Ltda</v>
          </cell>
          <cell r="D168" t="str">
            <v>A C Comercio Ferramentas</v>
          </cell>
          <cell r="E168" t="str">
            <v>51.167.369</v>
          </cell>
          <cell r="F168" t="str">
            <v>51.167.369/0001-24</v>
          </cell>
        </row>
        <row r="169">
          <cell r="A169">
            <v>26048</v>
          </cell>
          <cell r="B169" t="str">
            <v>CORPORATION</v>
          </cell>
          <cell r="C169" t="str">
            <v>Comercial Dacor Ltda - Epp</v>
          </cell>
          <cell r="D169" t="str">
            <v>Dacor</v>
          </cell>
          <cell r="E169" t="str">
            <v>02.256.640</v>
          </cell>
          <cell r="F169" t="str">
            <v>02.256.640/0001-92</v>
          </cell>
        </row>
        <row r="170">
          <cell r="A170">
            <v>26050</v>
          </cell>
          <cell r="B170" t="str">
            <v>CORPORATION</v>
          </cell>
          <cell r="C170" t="str">
            <v>L M Longatto Ferramenta - Me</v>
          </cell>
          <cell r="D170" t="str">
            <v>L M Longatto</v>
          </cell>
          <cell r="E170" t="str">
            <v>03.022.903</v>
          </cell>
          <cell r="F170" t="str">
            <v>03.022.903/0001-61</v>
          </cell>
        </row>
        <row r="171">
          <cell r="A171">
            <v>26051</v>
          </cell>
          <cell r="B171" t="str">
            <v>CORPORATION</v>
          </cell>
          <cell r="C171" t="str">
            <v>Geral Minas Atacadista De Parafusos Ltda - Epp</v>
          </cell>
          <cell r="D171" t="str">
            <v>Geral Minas</v>
          </cell>
          <cell r="E171" t="str">
            <v>20.370.037</v>
          </cell>
          <cell r="F171" t="str">
            <v>20.370.037/0001-19</v>
          </cell>
        </row>
        <row r="172">
          <cell r="A172">
            <v>26052</v>
          </cell>
          <cell r="B172" t="str">
            <v>CORPORATION</v>
          </cell>
          <cell r="C172" t="str">
            <v>Sos Lar Artigos Para Construcao Ltda - Epp</v>
          </cell>
          <cell r="D172" t="str">
            <v>S O S Lar</v>
          </cell>
          <cell r="E172" t="str">
            <v>07.340.137</v>
          </cell>
          <cell r="F172" t="str">
            <v>07.340.137/0001-34</v>
          </cell>
        </row>
        <row r="173">
          <cell r="A173">
            <v>26053</v>
          </cell>
          <cell r="B173" t="str">
            <v>CORPORATION</v>
          </cell>
          <cell r="C173" t="str">
            <v>Italian Comercio De Equipamentos Ltda - Me</v>
          </cell>
          <cell r="D173" t="str">
            <v>Italian</v>
          </cell>
          <cell r="E173" t="str">
            <v>33.412.784</v>
          </cell>
          <cell r="F173" t="str">
            <v>33.412.784/0001-14</v>
          </cell>
        </row>
        <row r="174">
          <cell r="A174">
            <v>26054</v>
          </cell>
          <cell r="B174" t="str">
            <v>CORPORATION</v>
          </cell>
          <cell r="C174" t="str">
            <v>Serial Comercio De Equipamentos E Ferramentas Ltda - Epp</v>
          </cell>
          <cell r="D174" t="str">
            <v>Serial Comercio</v>
          </cell>
          <cell r="E174" t="str">
            <v>02.271.722</v>
          </cell>
          <cell r="F174" t="str">
            <v>02.271.722/0001-06</v>
          </cell>
        </row>
        <row r="175">
          <cell r="A175">
            <v>26055</v>
          </cell>
          <cell r="B175" t="str">
            <v>CORPORATION</v>
          </cell>
          <cell r="C175" t="str">
            <v>Rebolfer Comercial Ltda - Epp</v>
          </cell>
          <cell r="D175" t="str">
            <v>Rebolfer</v>
          </cell>
          <cell r="E175" t="str">
            <v>83.560.409</v>
          </cell>
          <cell r="F175" t="str">
            <v>83.560.409/0001-90</v>
          </cell>
        </row>
        <row r="176">
          <cell r="A176">
            <v>26056</v>
          </cell>
          <cell r="B176" t="str">
            <v>CORPORATION</v>
          </cell>
          <cell r="C176" t="str">
            <v>Miriam Santos Da Silva Materiais De Construcao - Me</v>
          </cell>
          <cell r="D176" t="str">
            <v>Pico Do Frade Construcao</v>
          </cell>
          <cell r="E176" t="str">
            <v>12.429.739</v>
          </cell>
          <cell r="F176" t="str">
            <v>12.429.739/0001-00</v>
          </cell>
        </row>
        <row r="177">
          <cell r="A177">
            <v>26057</v>
          </cell>
          <cell r="B177" t="str">
            <v>CORPORATION</v>
          </cell>
          <cell r="C177" t="str">
            <v>Sao Sebastiao Ferramentas Ltda - Me</v>
          </cell>
          <cell r="D177" t="str">
            <v>Rodrigo Tonelli Sebastiao - Me</v>
          </cell>
          <cell r="E177" t="str">
            <v>03.285.760</v>
          </cell>
          <cell r="F177" t="str">
            <v>03.285.760/0001-80</v>
          </cell>
        </row>
        <row r="178">
          <cell r="A178">
            <v>26058</v>
          </cell>
          <cell r="B178" t="str">
            <v>CORPORATION</v>
          </cell>
          <cell r="C178" t="str">
            <v>Evandro Jose Mieli - Me</v>
          </cell>
          <cell r="D178" t="str">
            <v>Mieli Motores</v>
          </cell>
          <cell r="E178" t="str">
            <v>10.626.476</v>
          </cell>
          <cell r="F178" t="str">
            <v>10.626.476/0001-96</v>
          </cell>
        </row>
        <row r="179">
          <cell r="A179">
            <v>26059</v>
          </cell>
          <cell r="B179" t="str">
            <v>CORPORATION</v>
          </cell>
          <cell r="C179" t="str">
            <v>Mary Comercio De Material De Construcao Ltda - Me</v>
          </cell>
          <cell r="D179" t="str">
            <v>Mary Material De Construcao</v>
          </cell>
          <cell r="E179" t="str">
            <v>07.079.077</v>
          </cell>
          <cell r="F179" t="str">
            <v>07.079.077/0001-48</v>
          </cell>
        </row>
        <row r="180">
          <cell r="A180">
            <v>26060</v>
          </cell>
          <cell r="B180" t="str">
            <v>CORPORATION</v>
          </cell>
          <cell r="C180" t="str">
            <v>J L De Pontes - Me</v>
          </cell>
          <cell r="D180" t="str">
            <v>Natal Maquinas E Equipamentos</v>
          </cell>
          <cell r="E180" t="str">
            <v>18.505.129</v>
          </cell>
          <cell r="F180" t="str">
            <v>18.505.129/0001-17</v>
          </cell>
        </row>
        <row r="181">
          <cell r="A181">
            <v>26061</v>
          </cell>
          <cell r="B181" t="str">
            <v>CORPORATION</v>
          </cell>
          <cell r="C181" t="str">
            <v>Oxibadin Gases E Soldas Ltda - Me</v>
          </cell>
          <cell r="D181" t="str">
            <v>Oxibadin</v>
          </cell>
          <cell r="E181" t="str">
            <v>10.322.809</v>
          </cell>
          <cell r="F181" t="str">
            <v>10.322.809/0001-93</v>
          </cell>
        </row>
        <row r="182">
          <cell r="A182">
            <v>26062</v>
          </cell>
          <cell r="B182" t="str">
            <v>CORPORATION</v>
          </cell>
          <cell r="C182" t="str">
            <v>Rdv Comercio De Ferramentas Ltda - Me</v>
          </cell>
          <cell r="D182" t="str">
            <v>R C A Ferramentas</v>
          </cell>
          <cell r="E182" t="str">
            <v>09.544.654</v>
          </cell>
          <cell r="F182" t="str">
            <v>09.544.654/0001-50</v>
          </cell>
        </row>
        <row r="183">
          <cell r="A183">
            <v>26063</v>
          </cell>
          <cell r="B183" t="str">
            <v>CORPORATION</v>
          </cell>
          <cell r="C183" t="str">
            <v>Neo Maquinas, Ferramentas, Comercio E Locacao Ltda - Me</v>
          </cell>
          <cell r="D183" t="str">
            <v>Neo Maquinas</v>
          </cell>
          <cell r="E183" t="str">
            <v>11.024.394</v>
          </cell>
          <cell r="F183" t="str">
            <v>11.024.394/0001-34</v>
          </cell>
        </row>
        <row r="184">
          <cell r="A184">
            <v>26064</v>
          </cell>
          <cell r="B184" t="str">
            <v>CORPORATION</v>
          </cell>
          <cell r="C184" t="str">
            <v>Edilene Santiago Camandaroba De Souza - Me</v>
          </cell>
          <cell r="D184" t="str">
            <v>Hidroeletrica Santiago</v>
          </cell>
          <cell r="E184" t="str">
            <v>12.884.341</v>
          </cell>
          <cell r="F184" t="str">
            <v>12.884.341/0001-56</v>
          </cell>
        </row>
        <row r="185">
          <cell r="A185">
            <v>26066</v>
          </cell>
          <cell r="B185" t="str">
            <v>CORPORATION</v>
          </cell>
          <cell r="C185" t="str">
            <v>Takara Takara E Irmao Ltda</v>
          </cell>
          <cell r="D185" t="str">
            <v>Takara Takara E Irmao</v>
          </cell>
          <cell r="E185" t="str">
            <v>60.836.244</v>
          </cell>
          <cell r="F185" t="str">
            <v>60.836.244/0001-30</v>
          </cell>
        </row>
        <row r="186">
          <cell r="A186">
            <v>26067</v>
          </cell>
          <cell r="B186" t="str">
            <v>CORPORATION</v>
          </cell>
          <cell r="C186" t="str">
            <v>M.Antonio Rodrigues Bombas - Me</v>
          </cell>
          <cell r="D186" t="str">
            <v>Hidrobombas</v>
          </cell>
          <cell r="E186" t="str">
            <v>03.052.658</v>
          </cell>
          <cell r="F186" t="str">
            <v>03.052.658/0001-35</v>
          </cell>
        </row>
        <row r="187">
          <cell r="A187">
            <v>26068</v>
          </cell>
          <cell r="B187" t="str">
            <v>CORPORATION</v>
          </cell>
          <cell r="C187" t="str">
            <v>Max Da Cunha - Me</v>
          </cell>
          <cell r="D187" t="str">
            <v>Max Soldas</v>
          </cell>
          <cell r="E187" t="str">
            <v>04.726.418</v>
          </cell>
          <cell r="F187" t="str">
            <v>04.726.418/0002-12</v>
          </cell>
        </row>
        <row r="188">
          <cell r="A188">
            <v>26069</v>
          </cell>
          <cell r="B188" t="str">
            <v>CORPORATION</v>
          </cell>
          <cell r="C188" t="str">
            <v>Disbom Distribuidora Comercial De Bombas E Motores Ltda - Epp</v>
          </cell>
          <cell r="D188" t="str">
            <v>Disbom Distribuidora</v>
          </cell>
          <cell r="E188" t="str">
            <v>16.241.150</v>
          </cell>
          <cell r="F188" t="str">
            <v>16.241.150/0001-27</v>
          </cell>
        </row>
        <row r="189">
          <cell r="A189">
            <v>26070</v>
          </cell>
          <cell r="B189" t="str">
            <v>CORPORATION</v>
          </cell>
          <cell r="C189" t="str">
            <v>Maria Claudia Candiani Camargo &amp; Cia Ltda - Epp</v>
          </cell>
          <cell r="D189" t="str">
            <v>Camargo Pecas</v>
          </cell>
          <cell r="E189" t="str">
            <v>08.221.212</v>
          </cell>
          <cell r="F189" t="str">
            <v>08.221.212/0001-00</v>
          </cell>
        </row>
        <row r="190">
          <cell r="A190">
            <v>26071</v>
          </cell>
          <cell r="B190" t="str">
            <v>CORPORATION</v>
          </cell>
          <cell r="C190" t="str">
            <v>All-Safety Ferramentas E Equipamentos De Protecao Ltda</v>
          </cell>
          <cell r="D190" t="str">
            <v>All Safety Filial</v>
          </cell>
          <cell r="E190" t="str">
            <v>07.043.165</v>
          </cell>
          <cell r="F190" t="str">
            <v>07.043.165/0003-51</v>
          </cell>
          <cell r="G190" t="str">
            <v>ALL SAFETY</v>
          </cell>
        </row>
        <row r="191">
          <cell r="A191">
            <v>26072</v>
          </cell>
          <cell r="B191" t="str">
            <v>CORPORATION</v>
          </cell>
          <cell r="C191" t="str">
            <v>All-Safety Ferramentas E Equipamentos De Protecao Ltda</v>
          </cell>
          <cell r="D191" t="str">
            <v>All Safety Matriz</v>
          </cell>
          <cell r="E191" t="str">
            <v>07.043.165</v>
          </cell>
          <cell r="F191" t="str">
            <v>07.043.165/0001-90</v>
          </cell>
          <cell r="G191" t="str">
            <v>ALL SAFETY</v>
          </cell>
        </row>
        <row r="192">
          <cell r="A192">
            <v>26073</v>
          </cell>
          <cell r="B192" t="str">
            <v>CORPORATION</v>
          </cell>
          <cell r="C192" t="str">
            <v>Carla Aline Guimaraes Leite Botelho - Me</v>
          </cell>
          <cell r="D192" t="str">
            <v>Construcal</v>
          </cell>
          <cell r="E192" t="str">
            <v>08.087.135</v>
          </cell>
          <cell r="F192" t="str">
            <v>08.087.135/0001-48</v>
          </cell>
        </row>
        <row r="193">
          <cell r="A193">
            <v>26075</v>
          </cell>
          <cell r="B193" t="str">
            <v>CORPORATION</v>
          </cell>
          <cell r="C193" t="str">
            <v>Mastermix Ferramentas E Utilidades Ltda</v>
          </cell>
          <cell r="D193" t="str">
            <v>Mastermix Ferramentas E Utilidades</v>
          </cell>
          <cell r="E193" t="str">
            <v>41.080.327</v>
          </cell>
          <cell r="F193" t="str">
            <v>41.080.327/0001-06</v>
          </cell>
        </row>
        <row r="194">
          <cell r="A194">
            <v>26081</v>
          </cell>
          <cell r="B194" t="str">
            <v>CORPORATION</v>
          </cell>
          <cell r="C194" t="str">
            <v>Oxibras Equipamentos Ltda</v>
          </cell>
          <cell r="D194" t="str">
            <v>Oxibras</v>
          </cell>
          <cell r="E194" t="str">
            <v>62.379.292</v>
          </cell>
          <cell r="F194" t="str">
            <v>62.379.292/0001-72</v>
          </cell>
        </row>
        <row r="195">
          <cell r="A195">
            <v>26082</v>
          </cell>
          <cell r="B195" t="str">
            <v>CORPORATION</v>
          </cell>
          <cell r="C195" t="str">
            <v>Vanda Elizia De Freitas Moreira Eireli</v>
          </cell>
          <cell r="D195" t="str">
            <v>Ferro E Aco</v>
          </cell>
          <cell r="E195" t="str">
            <v>05.926.847</v>
          </cell>
          <cell r="F195" t="str">
            <v>05.926.847/0001-15</v>
          </cell>
        </row>
        <row r="196">
          <cell r="A196">
            <v>26083</v>
          </cell>
          <cell r="B196" t="str">
            <v>CORPORATION</v>
          </cell>
          <cell r="C196" t="str">
            <v>Hypar Comercio De Parafusos Ltda</v>
          </cell>
          <cell r="D196" t="str">
            <v>Hypar</v>
          </cell>
          <cell r="E196" t="str">
            <v>61.515.821</v>
          </cell>
          <cell r="F196" t="str">
            <v>61.515.821/0001-55</v>
          </cell>
          <cell r="G196" t="str">
            <v>HYPAR</v>
          </cell>
        </row>
        <row r="197">
          <cell r="A197">
            <v>26087</v>
          </cell>
          <cell r="B197" t="str">
            <v>CORPORATION</v>
          </cell>
          <cell r="C197" t="str">
            <v>R&amp;C Distribuicao E Representacao Ltda</v>
          </cell>
          <cell r="D197" t="str">
            <v>R&amp;C Distribuicao E Representacao Ltda</v>
          </cell>
          <cell r="E197" t="str">
            <v>09.140.599</v>
          </cell>
          <cell r="F197" t="str">
            <v>09.140.599/0001-33</v>
          </cell>
        </row>
        <row r="198">
          <cell r="A198">
            <v>26090</v>
          </cell>
          <cell r="B198" t="str">
            <v>CORPORATION</v>
          </cell>
          <cell r="C198" t="str">
            <v>Diafer Eireli</v>
          </cell>
          <cell r="D198" t="str">
            <v>Diafer Cd</v>
          </cell>
          <cell r="E198" t="str">
            <v>04.798.677</v>
          </cell>
          <cell r="F198" t="str">
            <v>04.798.677/0006-82</v>
          </cell>
          <cell r="G198" t="str">
            <v>DIAFER</v>
          </cell>
        </row>
        <row r="199">
          <cell r="A199">
            <v>26093</v>
          </cell>
          <cell r="B199" t="str">
            <v>CORPORATION</v>
          </cell>
          <cell r="C199" t="str">
            <v>Diafer Eireli</v>
          </cell>
          <cell r="D199" t="str">
            <v>Diafer Itapeva</v>
          </cell>
          <cell r="E199" t="str">
            <v>04.798.677</v>
          </cell>
          <cell r="F199" t="str">
            <v>04.798.677/0007-63</v>
          </cell>
          <cell r="G199" t="str">
            <v>DIAFER</v>
          </cell>
        </row>
        <row r="200">
          <cell r="A200">
            <v>26095</v>
          </cell>
          <cell r="B200" t="str">
            <v>CORPORATION</v>
          </cell>
          <cell r="C200" t="str">
            <v>Ryka Comercio E Servicos Ltda-Me</v>
          </cell>
          <cell r="D200" t="str">
            <v>Ryka Comercio E Servicos</v>
          </cell>
          <cell r="E200" t="str">
            <v>83.581.827</v>
          </cell>
          <cell r="F200" t="str">
            <v>83.581.827/0001-63</v>
          </cell>
        </row>
        <row r="201">
          <cell r="A201">
            <v>26125</v>
          </cell>
          <cell r="B201" t="str">
            <v>CORPORATION</v>
          </cell>
          <cell r="C201" t="str">
            <v>Danilo Rafael Hildevert</v>
          </cell>
          <cell r="D201" t="str">
            <v>Multi Valvulas Mesquita</v>
          </cell>
          <cell r="E201" t="str">
            <v>07.249.630</v>
          </cell>
          <cell r="F201" t="str">
            <v>07.249.630/0001-43</v>
          </cell>
        </row>
        <row r="202">
          <cell r="A202">
            <v>26132</v>
          </cell>
          <cell r="B202" t="str">
            <v>CORPORATION</v>
          </cell>
          <cell r="C202" t="str">
            <v>Geral Dos Parafusos E Ferramentas Ltda</v>
          </cell>
          <cell r="D202" t="str">
            <v>Geral Dos Parafusos E Ferramentas Ltda</v>
          </cell>
          <cell r="E202" t="str">
            <v>36.566.438</v>
          </cell>
          <cell r="F202" t="str">
            <v>36.566.438/0001-89</v>
          </cell>
        </row>
        <row r="203">
          <cell r="A203">
            <v>26144</v>
          </cell>
          <cell r="B203" t="str">
            <v>CORPORATION</v>
          </cell>
          <cell r="C203" t="str">
            <v>Luis Eduardo De Campos Ltda</v>
          </cell>
          <cell r="D203" t="str">
            <v>Luis Eduardo De Campos Ltda</v>
          </cell>
          <cell r="E203" t="str">
            <v>40.850.879</v>
          </cell>
          <cell r="F203" t="str">
            <v>40.850.879/0001-85</v>
          </cell>
        </row>
        <row r="204">
          <cell r="A204">
            <v>26151</v>
          </cell>
          <cell r="B204" t="str">
            <v>CORPORATION</v>
          </cell>
          <cell r="C204" t="str">
            <v>Gelson Dos Santos 05750629910</v>
          </cell>
          <cell r="D204" t="str">
            <v>Packfy Componentes Industriais</v>
          </cell>
          <cell r="E204" t="str">
            <v>33.021.229</v>
          </cell>
          <cell r="F204" t="str">
            <v>33.021.229/0001-61</v>
          </cell>
        </row>
        <row r="205">
          <cell r="A205">
            <v>26163</v>
          </cell>
          <cell r="B205" t="str">
            <v>CORPORATION</v>
          </cell>
          <cell r="C205" t="str">
            <v>S.E. Construções Eletricas Eireli - Epp</v>
          </cell>
          <cell r="D205" t="str">
            <v>Sul Engenharia</v>
          </cell>
          <cell r="E205" t="str">
            <v>05.098.247</v>
          </cell>
          <cell r="F205" t="str">
            <v>05.098.247/0001-06</v>
          </cell>
        </row>
        <row r="206">
          <cell r="A206">
            <v>26167</v>
          </cell>
          <cell r="B206" t="str">
            <v>CORPORATION</v>
          </cell>
          <cell r="C206" t="str">
            <v>Elmec-Ita Eletro-Mecanica De Itaperuna Ltda</v>
          </cell>
          <cell r="D206" t="str">
            <v>Elmec Eletromecanica</v>
          </cell>
          <cell r="E206" t="str">
            <v>03.274.186</v>
          </cell>
          <cell r="F206" t="str">
            <v>03.274.186/0001-65</v>
          </cell>
        </row>
        <row r="207">
          <cell r="A207">
            <v>26174</v>
          </cell>
          <cell r="B207" t="str">
            <v>CORPORATION</v>
          </cell>
          <cell r="C207" t="str">
            <v>Soldox Tecnologia Industrial Ltda</v>
          </cell>
          <cell r="D207" t="str">
            <v>Soldox Tecnologia Industrial Ltda</v>
          </cell>
          <cell r="E207" t="str">
            <v>85.495.794</v>
          </cell>
          <cell r="F207" t="str">
            <v>85.495.794/0001-64</v>
          </cell>
        </row>
        <row r="208">
          <cell r="A208">
            <v>26184</v>
          </cell>
          <cell r="B208" t="str">
            <v>CORPORATION</v>
          </cell>
          <cell r="C208" t="str">
            <v>Sousa Costa Comercio Atacadista De Ferragens E Ferramenta Eireli</v>
          </cell>
          <cell r="D208" t="str">
            <v>Dipal Atacado</v>
          </cell>
          <cell r="E208" t="str">
            <v>24.046.049</v>
          </cell>
          <cell r="F208" t="str">
            <v>24.046.049/0001-43</v>
          </cell>
        </row>
        <row r="209">
          <cell r="A209">
            <v>26191</v>
          </cell>
          <cell r="B209" t="str">
            <v>CORPORATION</v>
          </cell>
          <cell r="C209" t="str">
            <v>Fercicle Comercial Eireli</v>
          </cell>
          <cell r="D209" t="str">
            <v>Fercicle Nossa Senhora Das Gracas</v>
          </cell>
          <cell r="E209" t="str">
            <v>01.052.741</v>
          </cell>
          <cell r="F209" t="str">
            <v>01.052.741/0001-89</v>
          </cell>
        </row>
        <row r="210">
          <cell r="A210">
            <v>26192</v>
          </cell>
          <cell r="B210" t="str">
            <v>CORPORATION</v>
          </cell>
          <cell r="C210" t="str">
            <v>Status Comercio De Ferragens E Metais Ltda</v>
          </cell>
          <cell r="D210" t="str">
            <v>Status Comercio De Ferragens E Metais Ltda</v>
          </cell>
          <cell r="E210" t="str">
            <v>74.590.449</v>
          </cell>
          <cell r="F210" t="str">
            <v>74.590.449/0001-93</v>
          </cell>
        </row>
        <row r="211">
          <cell r="A211">
            <v>26194</v>
          </cell>
          <cell r="B211" t="str">
            <v>CORPORATION</v>
          </cell>
          <cell r="C211" t="str">
            <v>H V Magalhaes Construcao</v>
          </cell>
          <cell r="D211" t="str">
            <v>Recanto Construcoes</v>
          </cell>
          <cell r="E211" t="str">
            <v>18.614.810</v>
          </cell>
          <cell r="F211" t="str">
            <v>18.614.810/0001-01</v>
          </cell>
        </row>
        <row r="212">
          <cell r="A212">
            <v>26205</v>
          </cell>
          <cell r="B212" t="str">
            <v>CORPORATION</v>
          </cell>
          <cell r="C212" t="str">
            <v>Demavil Deposito De Madeira Machado Ltda</v>
          </cell>
          <cell r="D212" t="str">
            <v>Demavil Deposito De Madeira Machado Ltda</v>
          </cell>
          <cell r="E212" t="str">
            <v>30.830.301</v>
          </cell>
          <cell r="F212" t="str">
            <v>30.830.301/0001-03</v>
          </cell>
        </row>
        <row r="213">
          <cell r="A213">
            <v>26228</v>
          </cell>
          <cell r="B213" t="str">
            <v>CORPORATION</v>
          </cell>
          <cell r="C213" t="str">
            <v>Delta Comercio De Materiais Eletricos E Hidraulicos Ltda</v>
          </cell>
          <cell r="D213" t="str">
            <v>Delta Comercio De Materiais Eletricos E Hidraulicos Ltda</v>
          </cell>
          <cell r="E213" t="str">
            <v>26.673.126</v>
          </cell>
          <cell r="F213" t="str">
            <v>26.673.126/0001-10</v>
          </cell>
        </row>
        <row r="214">
          <cell r="A214">
            <v>26230</v>
          </cell>
          <cell r="B214" t="str">
            <v>CORPORATION</v>
          </cell>
          <cell r="C214" t="str">
            <v>Lumaq Comercio E Servicos De Maquinas De Solda Ltda</v>
          </cell>
          <cell r="D214" t="str">
            <v>Lumaq</v>
          </cell>
          <cell r="E214" t="str">
            <v>01.603.821</v>
          </cell>
          <cell r="F214" t="str">
            <v>01.603.821/0001-85</v>
          </cell>
        </row>
        <row r="215">
          <cell r="A215">
            <v>26231</v>
          </cell>
          <cell r="B215" t="str">
            <v>CORPORATION</v>
          </cell>
          <cell r="C215" t="str">
            <v>Wv Da S Ferreira Ltda</v>
          </cell>
          <cell r="D215" t="str">
            <v>Take Store</v>
          </cell>
          <cell r="E215" t="str">
            <v>24.998.913</v>
          </cell>
          <cell r="F215" t="str">
            <v>24.998.913/0001-07</v>
          </cell>
        </row>
        <row r="216">
          <cell r="A216">
            <v>26232</v>
          </cell>
          <cell r="B216" t="str">
            <v>CORPORATION</v>
          </cell>
          <cell r="C216" t="str">
            <v>Oximoreto Com. De Ferragens Ferramentas E Gases Ind. E Transporte Ltda</v>
          </cell>
          <cell r="D216" t="str">
            <v>Oximoreto Com. De Ferragens Ferramentas E Gases Ind. E Transporte Ltda</v>
          </cell>
          <cell r="E216" t="str">
            <v>33.903.326</v>
          </cell>
          <cell r="F216" t="str">
            <v>33.903.326/0001-88</v>
          </cell>
        </row>
        <row r="217">
          <cell r="A217">
            <v>26241</v>
          </cell>
          <cell r="B217" t="str">
            <v>CORPORATION</v>
          </cell>
          <cell r="C217" t="str">
            <v>Capital Profissional Ferragens E Ferramentas Ltda</v>
          </cell>
          <cell r="D217" t="str">
            <v>Capital Profissional</v>
          </cell>
          <cell r="E217" t="str">
            <v>26.261.100</v>
          </cell>
          <cell r="F217" t="str">
            <v>26.261.100/0001-65</v>
          </cell>
          <cell r="G217" t="str">
            <v>CAPITAL PROFISSIONAL</v>
          </cell>
        </row>
        <row r="218">
          <cell r="A218">
            <v>26247</v>
          </cell>
          <cell r="B218" t="str">
            <v>CORPORATION</v>
          </cell>
          <cell r="C218" t="str">
            <v>Nova Era Agricola Ltda</v>
          </cell>
          <cell r="D218" t="str">
            <v>Nova Era Agricola</v>
          </cell>
          <cell r="E218" t="str">
            <v>29.989.268</v>
          </cell>
          <cell r="F218" t="str">
            <v>29.989.268/0001-80</v>
          </cell>
        </row>
        <row r="219">
          <cell r="A219">
            <v>26260</v>
          </cell>
          <cell r="B219" t="str">
            <v>CORPORATION</v>
          </cell>
          <cell r="C219" t="str">
            <v>Cooperativa Dos Plantadores De Cana Do Estado Sao Paulo</v>
          </cell>
          <cell r="D219" t="str">
            <v>Cooperativa Dos Plantadores De Cana Do Estado Sao Paulo</v>
          </cell>
          <cell r="E219" t="str">
            <v>54.366.547</v>
          </cell>
          <cell r="F219" t="str">
            <v>54.366.547/0033-11</v>
          </cell>
          <cell r="G219" t="str">
            <v>COPLACANA</v>
          </cell>
        </row>
        <row r="220">
          <cell r="A220">
            <v>26261</v>
          </cell>
          <cell r="B220" t="str">
            <v>CORPORATION</v>
          </cell>
          <cell r="C220" t="str">
            <v>Comercial Confil Americana Ltda</v>
          </cell>
          <cell r="D220" t="str">
            <v>Comercial Confil Americana Ltda</v>
          </cell>
          <cell r="E220" t="str">
            <v>04.617.975</v>
          </cell>
          <cell r="F220" t="str">
            <v>04.617.975/0001-14</v>
          </cell>
        </row>
        <row r="221">
          <cell r="A221">
            <v>26264</v>
          </cell>
          <cell r="B221" t="str">
            <v>CORPORATION</v>
          </cell>
          <cell r="C221" t="str">
            <v>Vidotti &amp; Pontes Ltda</v>
          </cell>
          <cell r="D221" t="str">
            <v>Vp Comercio E Servicos</v>
          </cell>
          <cell r="E221" t="str">
            <v>74.289.281</v>
          </cell>
          <cell r="F221" t="str">
            <v>74.289.281/0001-80</v>
          </cell>
        </row>
        <row r="222">
          <cell r="A222">
            <v>26272</v>
          </cell>
          <cell r="B222" t="str">
            <v>CORPORATION</v>
          </cell>
          <cell r="C222" t="str">
            <v>Fabricio Junio Da Silva 11843193671</v>
          </cell>
          <cell r="D222" t="str">
            <v>Fj Ferramentas</v>
          </cell>
          <cell r="E222" t="str">
            <v>39.831.187</v>
          </cell>
          <cell r="F222" t="str">
            <v>39.831.187/0001-00</v>
          </cell>
          <cell r="G222" t="str">
            <v>FJ FERRAMENTAS</v>
          </cell>
        </row>
        <row r="223">
          <cell r="A223">
            <v>26305</v>
          </cell>
          <cell r="B223" t="str">
            <v>CORPORATION</v>
          </cell>
          <cell r="C223" t="str">
            <v>F. P. Neto Comercio De Ferragens</v>
          </cell>
          <cell r="D223" t="str">
            <v>Canaa Parafusos</v>
          </cell>
          <cell r="E223" t="str">
            <v>12.616.191</v>
          </cell>
          <cell r="F223" t="str">
            <v>12.616.191/0001-08</v>
          </cell>
        </row>
        <row r="224">
          <cell r="A224">
            <v>26329</v>
          </cell>
          <cell r="B224" t="str">
            <v>CORPORATION</v>
          </cell>
          <cell r="C224" t="str">
            <v>Kenio Evaristo De Sousa 03988574660</v>
          </cell>
          <cell r="D224" t="str">
            <v>Top Maquinas</v>
          </cell>
          <cell r="E224" t="str">
            <v>27.855.870</v>
          </cell>
          <cell r="F224" t="str">
            <v>27.855.870/0001-07</v>
          </cell>
        </row>
        <row r="225">
          <cell r="A225">
            <v>26336</v>
          </cell>
          <cell r="B225" t="str">
            <v>CORPORATION</v>
          </cell>
          <cell r="C225" t="str">
            <v>Sr Florencio Comercio De Maquinas E Ferramentas Ltda</v>
          </cell>
          <cell r="D225" t="str">
            <v>Sr Florencio Ferramentas</v>
          </cell>
          <cell r="E225" t="str">
            <v>33.439.909</v>
          </cell>
          <cell r="F225" t="str">
            <v>33.439.909/0001-08</v>
          </cell>
        </row>
        <row r="226">
          <cell r="A226">
            <v>26360</v>
          </cell>
          <cell r="B226" t="str">
            <v>CORPORATION</v>
          </cell>
          <cell r="C226" t="str">
            <v>Bertochi Auto Pecas - Mecanica E Cia Ltda</v>
          </cell>
          <cell r="D226" t="str">
            <v>Bertochi Auto Pecas - Mecanica</v>
          </cell>
          <cell r="E226" t="str">
            <v>03.856.743</v>
          </cell>
          <cell r="F226" t="str">
            <v>03.856.743/0001-56</v>
          </cell>
        </row>
        <row r="227">
          <cell r="A227">
            <v>26376</v>
          </cell>
          <cell r="B227" t="str">
            <v>CORPORATION</v>
          </cell>
          <cell r="C227" t="str">
            <v>E-Commerce Mania Eireli</v>
          </cell>
          <cell r="D227" t="str">
            <v>Blue Hell Tattoo Supply</v>
          </cell>
          <cell r="E227" t="str">
            <v>18.315.203</v>
          </cell>
          <cell r="F227" t="str">
            <v>18.315.203/0001-32</v>
          </cell>
        </row>
        <row r="228">
          <cell r="A228">
            <v>26387</v>
          </cell>
          <cell r="B228" t="str">
            <v>CORPORATION</v>
          </cell>
          <cell r="C228" t="str">
            <v>Bosco Rustikos Parafusos Ferramentas E Ferragens Ltda</v>
          </cell>
          <cell r="D228" t="str">
            <v>Bosco Ferramentas</v>
          </cell>
          <cell r="E228" t="str">
            <v>40.811.201</v>
          </cell>
          <cell r="F228" t="str">
            <v>40.811.201/0001-93</v>
          </cell>
        </row>
        <row r="229">
          <cell r="A229">
            <v>26388</v>
          </cell>
          <cell r="B229" t="str">
            <v>CORPORATION</v>
          </cell>
          <cell r="C229" t="str">
            <v>Igor Santana Bernardo 03882244100</v>
          </cell>
          <cell r="D229" t="str">
            <v>Acessorios Mendanha</v>
          </cell>
          <cell r="E229" t="str">
            <v>40.471.171</v>
          </cell>
          <cell r="F229" t="str">
            <v>40.471.171/0001-13</v>
          </cell>
        </row>
        <row r="230">
          <cell r="A230">
            <v>26390</v>
          </cell>
          <cell r="B230" t="str">
            <v>CORPORATION</v>
          </cell>
          <cell r="C230" t="str">
            <v>D. M. Leal Maquinas E Ferramentas</v>
          </cell>
          <cell r="D230" t="str">
            <v>Damele Maquinas E Ferramentas</v>
          </cell>
          <cell r="E230" t="str">
            <v>20.227.995</v>
          </cell>
          <cell r="F230" t="str">
            <v>20.227.995/0001-35</v>
          </cell>
        </row>
        <row r="231">
          <cell r="A231">
            <v>26392</v>
          </cell>
          <cell r="B231" t="str">
            <v>CORPORATION</v>
          </cell>
          <cell r="C231" t="str">
            <v>C. Carvalho Silva</v>
          </cell>
          <cell r="D231" t="str">
            <v>Casa Das Variedades</v>
          </cell>
          <cell r="E231" t="str">
            <v>63.578.579</v>
          </cell>
          <cell r="F231" t="str">
            <v>63.578.579/0001-94</v>
          </cell>
        </row>
        <row r="232">
          <cell r="A232">
            <v>26399</v>
          </cell>
          <cell r="B232" t="str">
            <v>CORPORATION</v>
          </cell>
          <cell r="C232" t="str">
            <v>Eduardo S Carvalho</v>
          </cell>
          <cell r="D232" t="str">
            <v>Parafusos &amp; Cia</v>
          </cell>
          <cell r="E232" t="str">
            <v>12.951.202</v>
          </cell>
          <cell r="F232" t="str">
            <v>12.951.202/0001-06</v>
          </cell>
        </row>
        <row r="233">
          <cell r="A233">
            <v>26401</v>
          </cell>
          <cell r="B233" t="str">
            <v>CORPORATION</v>
          </cell>
          <cell r="C233" t="str">
            <v>J E A Comercio De Ferragens E Ferramentas Ltda</v>
          </cell>
          <cell r="D233" t="str">
            <v>Lojao Das Soldas</v>
          </cell>
          <cell r="E233" t="str">
            <v>46.522.296</v>
          </cell>
          <cell r="F233" t="str">
            <v>46.522.296/0001-01</v>
          </cell>
        </row>
        <row r="234">
          <cell r="A234">
            <v>26403</v>
          </cell>
          <cell r="B234" t="str">
            <v>CORPORATION</v>
          </cell>
          <cell r="C234" t="str">
            <v>Wallace Melo Da Rocha 02649037229</v>
          </cell>
          <cell r="D234" t="str">
            <v>Mw.Tec</v>
          </cell>
          <cell r="E234" t="str">
            <v>36.595.170</v>
          </cell>
          <cell r="F234" t="str">
            <v>36.595.170/0001-03</v>
          </cell>
        </row>
        <row r="235">
          <cell r="A235">
            <v>26435</v>
          </cell>
          <cell r="B235" t="str">
            <v>CORPORATION</v>
          </cell>
          <cell r="C235" t="str">
            <v>Progresso Ferramentas Eireli</v>
          </cell>
          <cell r="D235" t="str">
            <v>Centro Das Ferramentas</v>
          </cell>
          <cell r="E235" t="str">
            <v>04.355.807</v>
          </cell>
          <cell r="F235" t="str">
            <v>04.355.807/0001-06</v>
          </cell>
          <cell r="G235" t="str">
            <v>CENTRO DAS FERRAMENTAS</v>
          </cell>
        </row>
        <row r="236">
          <cell r="A236">
            <v>26446</v>
          </cell>
          <cell r="B236" t="str">
            <v>CORPORATION</v>
          </cell>
          <cell r="C236" t="str">
            <v>Macedo Comercio De Maquinas E Parafusos Ltda</v>
          </cell>
          <cell r="D236" t="str">
            <v>Macedo Parafusos E Ferramentas</v>
          </cell>
          <cell r="E236" t="str">
            <v>37.704.456</v>
          </cell>
          <cell r="F236" t="str">
            <v>37.704.456/0001-42</v>
          </cell>
          <cell r="G236" t="str">
            <v>MACEDO</v>
          </cell>
        </row>
        <row r="237">
          <cell r="A237">
            <v>26460</v>
          </cell>
          <cell r="B237" t="str">
            <v>CORPORATION</v>
          </cell>
          <cell r="C237" t="str">
            <v>J.F. Proteminas Comercio Ltda</v>
          </cell>
          <cell r="D237" t="str">
            <v>Jf Proteminas</v>
          </cell>
          <cell r="E237" t="str">
            <v>27.708.748</v>
          </cell>
          <cell r="F237" t="str">
            <v>27.708.748/0001-08</v>
          </cell>
        </row>
        <row r="238">
          <cell r="A238">
            <v>26472</v>
          </cell>
          <cell r="B238" t="str">
            <v>CORPORATION</v>
          </cell>
          <cell r="C238" t="str">
            <v>Durante Ferragista Ltda</v>
          </cell>
          <cell r="D238" t="str">
            <v>Premier Ferragista</v>
          </cell>
          <cell r="E238" t="str">
            <v>40.631.063</v>
          </cell>
          <cell r="F238" t="str">
            <v>40.631.063/0001-60</v>
          </cell>
        </row>
        <row r="239">
          <cell r="A239">
            <v>26484</v>
          </cell>
          <cell r="B239" t="str">
            <v>CORPORATION</v>
          </cell>
          <cell r="C239" t="str">
            <v>Parafuso Bom Comercio Ltda</v>
          </cell>
          <cell r="D239" t="str">
            <v>Parafuso Bom</v>
          </cell>
          <cell r="E239" t="str">
            <v>16.527.957</v>
          </cell>
          <cell r="F239" t="str">
            <v>16.527.957/0001-20</v>
          </cell>
        </row>
        <row r="240">
          <cell r="A240">
            <v>26489</v>
          </cell>
          <cell r="B240" t="str">
            <v>CORPORATION</v>
          </cell>
          <cell r="C240" t="str">
            <v>Bsg Comercio De Suprimentos Para Industria Ltda</v>
          </cell>
          <cell r="D240" t="str">
            <v>Bsg Comercio De Suprimentos Para Industria</v>
          </cell>
          <cell r="E240" t="str">
            <v>03.993.602</v>
          </cell>
          <cell r="F240" t="str">
            <v>03.993.602/0001-85</v>
          </cell>
        </row>
        <row r="241">
          <cell r="A241">
            <v>26490</v>
          </cell>
          <cell r="B241" t="str">
            <v>CORPORATION</v>
          </cell>
          <cell r="C241" t="str">
            <v>Regiofer Eireli</v>
          </cell>
          <cell r="D241" t="str">
            <v>Regional Ferramentas</v>
          </cell>
          <cell r="E241" t="str">
            <v>12.282.027</v>
          </cell>
          <cell r="F241" t="str">
            <v>12.282.027/0001-01</v>
          </cell>
          <cell r="G241" t="str">
            <v>ALL SAFETY</v>
          </cell>
        </row>
        <row r="242">
          <cell r="A242">
            <v>26497</v>
          </cell>
          <cell r="B242" t="str">
            <v>CORPORATION</v>
          </cell>
          <cell r="C242" t="str">
            <v>Soldatec Comercio E Servicos Eireli</v>
          </cell>
          <cell r="D242" t="str">
            <v>Soldatec</v>
          </cell>
          <cell r="E242" t="str">
            <v>05.388.478</v>
          </cell>
          <cell r="F242" t="str">
            <v>05.388.478/0001-54</v>
          </cell>
        </row>
        <row r="243">
          <cell r="A243">
            <v>26505</v>
          </cell>
          <cell r="B243" t="str">
            <v>CORPORATION</v>
          </cell>
          <cell r="C243" t="str">
            <v>Fertorq Comercio De Ferramentas Industriais Ltda</v>
          </cell>
          <cell r="D243" t="str">
            <v>Fertorq Comercio De Ferramentas Industriais</v>
          </cell>
          <cell r="E243" t="str">
            <v>22.401.620</v>
          </cell>
          <cell r="F243" t="str">
            <v>22.401.620/0001-75</v>
          </cell>
        </row>
        <row r="244">
          <cell r="A244">
            <v>26513</v>
          </cell>
          <cell r="B244" t="str">
            <v>CORPORATION</v>
          </cell>
          <cell r="C244" t="str">
            <v>Luis Fernando Da Silveira Filho</v>
          </cell>
          <cell r="D244" t="str">
            <v>Control.Io</v>
          </cell>
          <cell r="E244" t="str">
            <v>35.846.573</v>
          </cell>
          <cell r="F244" t="str">
            <v>35.846.573/0001-15</v>
          </cell>
        </row>
        <row r="245">
          <cell r="A245">
            <v>26524</v>
          </cell>
          <cell r="B245" t="str">
            <v>CORPORATION</v>
          </cell>
          <cell r="C245" t="str">
            <v>Valence Maquinas E Equipamentos Ltda</v>
          </cell>
          <cell r="D245" t="str">
            <v>Valence Maquinas E Equipamentos Ltda</v>
          </cell>
          <cell r="E245" t="str">
            <v>08.250.241</v>
          </cell>
          <cell r="F245" t="str">
            <v>08.250.241/0008-77</v>
          </cell>
        </row>
        <row r="246">
          <cell r="A246">
            <v>26540</v>
          </cell>
          <cell r="B246" t="str">
            <v>CORPORATION</v>
          </cell>
          <cell r="C246" t="str">
            <v>E A Tsuki Wadaue</v>
          </cell>
          <cell r="D246" t="str">
            <v>E A Tsuki Wadaue</v>
          </cell>
          <cell r="E246" t="str">
            <v>07.255.444</v>
          </cell>
          <cell r="F246" t="str">
            <v>07.255.444/0001-17</v>
          </cell>
        </row>
        <row r="247">
          <cell r="A247">
            <v>26541</v>
          </cell>
          <cell r="B247" t="str">
            <v>CORPORATION</v>
          </cell>
          <cell r="C247" t="str">
            <v>Apx Equipamentos E Servicos Eireli</v>
          </cell>
          <cell r="D247" t="str">
            <v>Apx Equipamentos E Servicos Eireli</v>
          </cell>
          <cell r="E247" t="str">
            <v>11.287.645</v>
          </cell>
          <cell r="F247" t="str">
            <v>11.287.645/0001-73</v>
          </cell>
        </row>
        <row r="248">
          <cell r="A248">
            <v>26546</v>
          </cell>
          <cell r="B248" t="str">
            <v>CORPORATION</v>
          </cell>
          <cell r="C248" t="str">
            <v>Kamilla Glaycianne Viegas Pinheiro 61047705338</v>
          </cell>
          <cell r="D248" t="str">
            <v>Kamilla Bykes</v>
          </cell>
          <cell r="E248" t="str">
            <v>42.769.803</v>
          </cell>
          <cell r="F248" t="str">
            <v>42.769.803/0001-55</v>
          </cell>
        </row>
        <row r="249">
          <cell r="A249">
            <v>26561</v>
          </cell>
          <cell r="B249" t="str">
            <v>CORPORATION</v>
          </cell>
          <cell r="C249" t="str">
            <v>Rafael Maiki De Oliveira Cruz</v>
          </cell>
          <cell r="D249" t="str">
            <v>Rdt Ferramentas</v>
          </cell>
          <cell r="E249" t="str">
            <v>38.338.108</v>
          </cell>
          <cell r="F249" t="str">
            <v>38.338.108/0001-61</v>
          </cell>
        </row>
        <row r="250">
          <cell r="A250">
            <v>26575</v>
          </cell>
          <cell r="B250" t="str">
            <v>CORPORATION</v>
          </cell>
          <cell r="C250" t="str">
            <v>Paulo Assis De Brito Ltda</v>
          </cell>
          <cell r="D250" t="str">
            <v>Paulo Assis De Brito Ltda</v>
          </cell>
          <cell r="E250" t="str">
            <v>41.316.000</v>
          </cell>
          <cell r="F250" t="str">
            <v>41.316.000/0001-82</v>
          </cell>
        </row>
        <row r="251">
          <cell r="A251">
            <v>26587</v>
          </cell>
          <cell r="B251" t="str">
            <v>CORPORATION</v>
          </cell>
          <cell r="C251" t="str">
            <v>Wako Ferramentas E Equipamentos Ltda</v>
          </cell>
          <cell r="D251" t="str">
            <v>Wako Ferramentas E Equipamentos Ltda</v>
          </cell>
          <cell r="E251" t="str">
            <v>41.068.483</v>
          </cell>
          <cell r="F251" t="str">
            <v>41.068.483/0001-43</v>
          </cell>
        </row>
        <row r="252">
          <cell r="A252">
            <v>26593</v>
          </cell>
          <cell r="B252" t="str">
            <v>CORPORATION</v>
          </cell>
          <cell r="C252" t="str">
            <v>Northwest Com. De Ferragens, Implementos Agricolas E Suprimentos</v>
          </cell>
          <cell r="D252" t="str">
            <v>Lojas Northwest</v>
          </cell>
          <cell r="E252" t="str">
            <v>37.247.494</v>
          </cell>
          <cell r="F252" t="str">
            <v>37.247.494/0001-13</v>
          </cell>
        </row>
        <row r="253">
          <cell r="A253">
            <v>26596</v>
          </cell>
          <cell r="B253" t="str">
            <v>CORPORATION</v>
          </cell>
          <cell r="C253" t="str">
            <v>Gravia Industria De Perfilados De Aco Ltda</v>
          </cell>
          <cell r="D253" t="str">
            <v>Gravia</v>
          </cell>
          <cell r="E253" t="str">
            <v>26.487.744</v>
          </cell>
          <cell r="F253" t="str">
            <v>26.487.744/0011-48</v>
          </cell>
          <cell r="G253" t="str">
            <v>GRAVIA</v>
          </cell>
        </row>
        <row r="254">
          <cell r="A254">
            <v>26613</v>
          </cell>
          <cell r="B254" t="str">
            <v>CORPORATION</v>
          </cell>
          <cell r="C254" t="str">
            <v>In Cordas Solucoes Em Altura Ltda</v>
          </cell>
          <cell r="D254" t="str">
            <v>Incordas</v>
          </cell>
          <cell r="E254" t="str">
            <v>21.915.746</v>
          </cell>
          <cell r="F254" t="str">
            <v>21.915.746/0001-03</v>
          </cell>
        </row>
        <row r="255">
          <cell r="A255">
            <v>26616</v>
          </cell>
          <cell r="B255" t="str">
            <v>CORPORATION</v>
          </cell>
          <cell r="C255" t="str">
            <v>Maqmotores Comercio De Maquinas E Ferramentas Ltda</v>
          </cell>
          <cell r="D255" t="str">
            <v>Maqmotores</v>
          </cell>
          <cell r="E255" t="str">
            <v>42.459.675</v>
          </cell>
          <cell r="F255" t="str">
            <v>42.459.675/0001-43</v>
          </cell>
        </row>
        <row r="256">
          <cell r="A256">
            <v>26625</v>
          </cell>
          <cell r="B256" t="str">
            <v>CORPORATION</v>
          </cell>
          <cell r="C256" t="str">
            <v>Rolimao Rolamentos Industriais Do Maranhao Ltda</v>
          </cell>
          <cell r="D256" t="str">
            <v>Rolimao</v>
          </cell>
          <cell r="E256" t="str">
            <v>07.514.425</v>
          </cell>
          <cell r="F256" t="str">
            <v>07.514.425/0001-68</v>
          </cell>
        </row>
        <row r="257">
          <cell r="A257">
            <v>26643</v>
          </cell>
          <cell r="B257" t="str">
            <v>CORPORATION</v>
          </cell>
          <cell r="C257" t="str">
            <v>Igor Chialchia Lima 02479334147</v>
          </cell>
          <cell r="D257" t="str">
            <v>Ic Maquinas</v>
          </cell>
          <cell r="E257" t="str">
            <v>46.476.178</v>
          </cell>
          <cell r="F257" t="str">
            <v>46.476.178/0001-04</v>
          </cell>
        </row>
        <row r="258">
          <cell r="A258">
            <v>26667</v>
          </cell>
          <cell r="B258" t="str">
            <v>CORPORATION</v>
          </cell>
          <cell r="C258" t="str">
            <v>Super Locadora Aluguel De Equipamentos Ltda</v>
          </cell>
          <cell r="D258" t="str">
            <v>Super Loc Aluguel De Equipamentos</v>
          </cell>
          <cell r="E258" t="str">
            <v>46.456.639</v>
          </cell>
          <cell r="F258" t="str">
            <v>46.456.639/0001-87</v>
          </cell>
        </row>
        <row r="259">
          <cell r="A259">
            <v>26675</v>
          </cell>
          <cell r="B259" t="str">
            <v>CORPORATION</v>
          </cell>
          <cell r="C259" t="str">
            <v>Emanuel Victor Medeiros Holanda 05416006307</v>
          </cell>
          <cell r="D259" t="str">
            <v>77 Customs Acessorios</v>
          </cell>
          <cell r="E259" t="str">
            <v>37.164.435</v>
          </cell>
          <cell r="F259" t="str">
            <v>37.164.435/0001-81</v>
          </cell>
        </row>
        <row r="260">
          <cell r="A260">
            <v>26685</v>
          </cell>
          <cell r="B260" t="str">
            <v>CORPORATION</v>
          </cell>
          <cell r="C260" t="str">
            <v>Indio Ferro E Aco Ltda</v>
          </cell>
          <cell r="D260" t="str">
            <v>Indio Ferro E Aco</v>
          </cell>
          <cell r="E260" t="str">
            <v>17.078.079</v>
          </cell>
          <cell r="F260" t="str">
            <v>17.078.079/0001-76</v>
          </cell>
        </row>
        <row r="261">
          <cell r="A261">
            <v>26698</v>
          </cell>
          <cell r="B261" t="str">
            <v>CORPORATION</v>
          </cell>
          <cell r="C261" t="str">
            <v>Gustavo De Lima Santana Eireli</v>
          </cell>
          <cell r="D261" t="str">
            <v>Casa Santos</v>
          </cell>
          <cell r="E261" t="str">
            <v>37.609.958</v>
          </cell>
          <cell r="F261" t="str">
            <v>37.609.958/0001-94</v>
          </cell>
        </row>
        <row r="262">
          <cell r="A262">
            <v>26714</v>
          </cell>
          <cell r="B262" t="str">
            <v>CORPORATION</v>
          </cell>
          <cell r="C262" t="str">
            <v>Cordeiro Maquinas E Ferramentas Ltda</v>
          </cell>
          <cell r="D262" t="str">
            <v>Cordeiro Maquinas E Ferramentas Ltda</v>
          </cell>
          <cell r="E262" t="str">
            <v>71.449.201</v>
          </cell>
          <cell r="F262" t="str">
            <v>71.449.201/0003-80</v>
          </cell>
          <cell r="G262" t="str">
            <v>CORDEIRO MÁQUINAS</v>
          </cell>
        </row>
        <row r="263">
          <cell r="A263">
            <v>26728</v>
          </cell>
          <cell r="B263" t="str">
            <v>CORPORATION</v>
          </cell>
          <cell r="C263" t="str">
            <v>Geniobox Comercial Ltda</v>
          </cell>
          <cell r="D263" t="str">
            <v>Geniobox Comercial</v>
          </cell>
          <cell r="E263" t="str">
            <v>41.297.253</v>
          </cell>
          <cell r="F263" t="str">
            <v>41.297.253/0001-56</v>
          </cell>
        </row>
        <row r="264">
          <cell r="A264">
            <v>26732</v>
          </cell>
          <cell r="B264" t="str">
            <v>CORPORATION</v>
          </cell>
          <cell r="C264" t="str">
            <v>Comercio, Manutencao E Locacao De Maquinas Schimidt Ltda</v>
          </cell>
          <cell r="D264" t="str">
            <v>Comercio, Manutencao E Locacao De Maquinas Schimidt Ltda</v>
          </cell>
          <cell r="E264" t="str">
            <v>08.673.325</v>
          </cell>
          <cell r="F264" t="str">
            <v>08.673.325/0001-47</v>
          </cell>
        </row>
        <row r="265">
          <cell r="A265">
            <v>26738</v>
          </cell>
          <cell r="B265" t="str">
            <v>CORPORATION</v>
          </cell>
          <cell r="C265" t="str">
            <v>Casmape Castanhal Comercio De Maquinas E Pecas Ltda</v>
          </cell>
          <cell r="D265" t="str">
            <v>Casmape</v>
          </cell>
          <cell r="E265" t="str">
            <v>05.125.261</v>
          </cell>
          <cell r="F265" t="str">
            <v>05.125.261/0001-51</v>
          </cell>
        </row>
        <row r="266">
          <cell r="A266">
            <v>26752</v>
          </cell>
          <cell r="B266" t="str">
            <v>CORPORATION</v>
          </cell>
          <cell r="C266" t="str">
            <v>Max Brasil Importacao Exportacao Eireli</v>
          </cell>
          <cell r="D266" t="str">
            <v>Max Mercadao</v>
          </cell>
          <cell r="E266" t="str">
            <v>36.190.459</v>
          </cell>
          <cell r="F266" t="str">
            <v>36.190.459/0001-42</v>
          </cell>
          <cell r="G266" t="str">
            <v>QUALIDADE TOOLS</v>
          </cell>
        </row>
        <row r="267">
          <cell r="A267">
            <v>26756</v>
          </cell>
          <cell r="B267" t="str">
            <v>CORPORATION</v>
          </cell>
          <cell r="C267" t="str">
            <v>Ferragens Souza Ltda</v>
          </cell>
          <cell r="D267" t="str">
            <v>Ferragens Souza Ltda</v>
          </cell>
          <cell r="E267" t="str">
            <v>05.984.297</v>
          </cell>
          <cell r="F267" t="str">
            <v>05.984.297/0001-90</v>
          </cell>
        </row>
        <row r="268">
          <cell r="A268">
            <v>26757</v>
          </cell>
          <cell r="B268" t="str">
            <v>CORPORATION</v>
          </cell>
          <cell r="C268" t="str">
            <v>Norte Aco Comercio De Ferro E Aco Ltda</v>
          </cell>
          <cell r="D268" t="str">
            <v>Norte Aco Comercio De Ferro E Aco</v>
          </cell>
          <cell r="E268" t="str">
            <v>19.231.845</v>
          </cell>
          <cell r="F268" t="str">
            <v>19.231.845/0001-16</v>
          </cell>
          <cell r="G268" t="str">
            <v>NORTE AÇO</v>
          </cell>
        </row>
        <row r="269">
          <cell r="A269">
            <v>26760</v>
          </cell>
          <cell r="B269" t="str">
            <v>CORPORATION</v>
          </cell>
          <cell r="C269" t="str">
            <v>Prestec Serviço De Montagem E Manutenção De Maquinas Ltda Me</v>
          </cell>
          <cell r="D269" t="str">
            <v>Prestec</v>
          </cell>
          <cell r="E269" t="str">
            <v>01.618.394</v>
          </cell>
          <cell r="F269" t="str">
            <v>01.618.394/0001-09</v>
          </cell>
        </row>
        <row r="270">
          <cell r="A270">
            <v>26766</v>
          </cell>
          <cell r="B270" t="str">
            <v>CORPORATION</v>
          </cell>
          <cell r="C270" t="str">
            <v>J R Transformadores Ltda</v>
          </cell>
          <cell r="D270" t="str">
            <v>J R Transformadores Ltda</v>
          </cell>
          <cell r="E270" t="str">
            <v>02.591.232</v>
          </cell>
          <cell r="F270" t="str">
            <v>02.591.232/0001-97</v>
          </cell>
        </row>
        <row r="271">
          <cell r="A271">
            <v>26770</v>
          </cell>
          <cell r="B271" t="str">
            <v>CORPORATION</v>
          </cell>
          <cell r="C271" t="str">
            <v>Rosangela Da Silva Conceicao 35724861810</v>
          </cell>
          <cell r="D271" t="str">
            <v>Mestre Das Ferramentas</v>
          </cell>
          <cell r="E271" t="str">
            <v>39.352.542</v>
          </cell>
          <cell r="F271" t="str">
            <v>39.352.542/0001-69</v>
          </cell>
        </row>
        <row r="272">
          <cell r="A272">
            <v>26771</v>
          </cell>
          <cell r="B272" t="str">
            <v>CORPORATION</v>
          </cell>
          <cell r="C272" t="str">
            <v>Edson Miranda Mota</v>
          </cell>
          <cell r="D272" t="str">
            <v>Mota Maquinas</v>
          </cell>
          <cell r="E272" t="str">
            <v>31.423.144</v>
          </cell>
          <cell r="F272" t="str">
            <v>31.423.144/0001-84</v>
          </cell>
        </row>
        <row r="273">
          <cell r="A273">
            <v>26789</v>
          </cell>
          <cell r="B273" t="str">
            <v>CORPORATION</v>
          </cell>
          <cell r="C273" t="str">
            <v>Geison Renato Kruger Comercio Varejista E Atacadista De Ferramentas Eireli</v>
          </cell>
          <cell r="D273" t="str">
            <v>Msb Ferramentas</v>
          </cell>
          <cell r="E273" t="str">
            <v>30.002.997</v>
          </cell>
          <cell r="F273" t="str">
            <v>30.002.997/0001-80</v>
          </cell>
        </row>
        <row r="274">
          <cell r="A274">
            <v>26816</v>
          </cell>
          <cell r="B274" t="str">
            <v>CORPORATION</v>
          </cell>
          <cell r="C274" t="str">
            <v>Serralheria Belmonte Ltda</v>
          </cell>
          <cell r="D274" t="str">
            <v>Serralheria Belmonte Ltda</v>
          </cell>
          <cell r="E274" t="str">
            <v>55.295.620</v>
          </cell>
          <cell r="F274" t="str">
            <v>55.295.620/0001-97</v>
          </cell>
        </row>
        <row r="275">
          <cell r="A275">
            <v>26820</v>
          </cell>
          <cell r="B275" t="str">
            <v>CORPORATION</v>
          </cell>
          <cell r="C275" t="str">
            <v>R Da S Carneiro Comercio De Pecas - Me</v>
          </cell>
          <cell r="D275" t="str">
            <v>R Da S Carneiro</v>
          </cell>
          <cell r="E275" t="str">
            <v>17.909.637</v>
          </cell>
          <cell r="F275" t="str">
            <v>17.909.637/0001-06</v>
          </cell>
        </row>
        <row r="276">
          <cell r="A276">
            <v>26822</v>
          </cell>
          <cell r="B276" t="str">
            <v>CORPORATION</v>
          </cell>
          <cell r="C276" t="str">
            <v>Francisco Mauro Mota De Melo 41488253234</v>
          </cell>
          <cell r="D276" t="str">
            <v>Mkl Loja Do Soldador Ferramentas E Para</v>
          </cell>
          <cell r="E276" t="str">
            <v>37.212.987</v>
          </cell>
          <cell r="F276" t="str">
            <v>37.212.987/0001-18</v>
          </cell>
        </row>
        <row r="277">
          <cell r="A277">
            <v>26824</v>
          </cell>
          <cell r="B277" t="str">
            <v>CORPORATION</v>
          </cell>
          <cell r="C277" t="str">
            <v>Verdes Mares Comercio De Materiais De Construcao Ltda</v>
          </cell>
          <cell r="D277" t="str">
            <v>Casa Da Construcao Verdes Mares</v>
          </cell>
          <cell r="E277" t="str">
            <v>04.293.287</v>
          </cell>
          <cell r="F277" t="str">
            <v>04.293.287/0001-46</v>
          </cell>
        </row>
        <row r="278">
          <cell r="A278">
            <v>26825</v>
          </cell>
          <cell r="B278" t="str">
            <v>CORPORATION</v>
          </cell>
          <cell r="C278" t="str">
            <v>Aco Sales Ltda</v>
          </cell>
          <cell r="D278" t="str">
            <v>Aco Sales</v>
          </cell>
          <cell r="E278" t="str">
            <v>71.066.427</v>
          </cell>
          <cell r="F278" t="str">
            <v>71.066.427/0001-30</v>
          </cell>
          <cell r="G278" t="str">
            <v>AÇO SALES</v>
          </cell>
        </row>
        <row r="279">
          <cell r="A279">
            <v>26832</v>
          </cell>
          <cell r="B279" t="str">
            <v>CORPORATION</v>
          </cell>
          <cell r="C279" t="str">
            <v>Maqvale - Maquinas E Ferramentas Ltda - Epp</v>
          </cell>
          <cell r="D279" t="str">
            <v>Maqvale</v>
          </cell>
          <cell r="E279" t="str">
            <v>09.413.189</v>
          </cell>
          <cell r="F279" t="str">
            <v>09.413.189/0001-19</v>
          </cell>
        </row>
        <row r="280">
          <cell r="A280">
            <v>26833</v>
          </cell>
          <cell r="B280" t="str">
            <v>CORPORATION</v>
          </cell>
          <cell r="C280" t="str">
            <v>Radio Point Servicos De Telecomunicacoes Ltda</v>
          </cell>
          <cell r="D280" t="str">
            <v>Radio Point</v>
          </cell>
          <cell r="E280" t="str">
            <v>05.604.512</v>
          </cell>
          <cell r="F280" t="str">
            <v>05.604.512/0001-80</v>
          </cell>
        </row>
        <row r="281">
          <cell r="A281">
            <v>26841</v>
          </cell>
          <cell r="B281" t="str">
            <v>CORPORATION</v>
          </cell>
          <cell r="C281" t="str">
            <v>Olio Maquinas Comercial Eireli - Epp</v>
          </cell>
          <cell r="D281" t="str">
            <v>Olio Maquinas</v>
          </cell>
          <cell r="E281" t="str">
            <v>04.226.292</v>
          </cell>
          <cell r="F281" t="str">
            <v>04.226.292/0001-36</v>
          </cell>
        </row>
        <row r="282">
          <cell r="A282">
            <v>26845</v>
          </cell>
          <cell r="B282" t="str">
            <v>CORPORATION</v>
          </cell>
          <cell r="C282" t="str">
            <v>Sidnei Aparecido Rosa De Oliveira - Me</v>
          </cell>
          <cell r="D282" t="str">
            <v>J S Vendas E Prestacao De Servicos</v>
          </cell>
          <cell r="E282" t="str">
            <v>08.722.655</v>
          </cell>
          <cell r="F282" t="str">
            <v>08.722.655/0001-85</v>
          </cell>
        </row>
        <row r="283">
          <cell r="A283">
            <v>26849</v>
          </cell>
          <cell r="B283" t="str">
            <v>CORPORATION</v>
          </cell>
          <cell r="C283" t="str">
            <v>Abrasfix Industria De Abrasivos Eireli</v>
          </cell>
          <cell r="D283" t="str">
            <v>V12 Abrasivos</v>
          </cell>
          <cell r="E283" t="str">
            <v>05.663.564</v>
          </cell>
          <cell r="F283" t="str">
            <v>05.663.564/0001-28</v>
          </cell>
        </row>
        <row r="284">
          <cell r="A284">
            <v>26850</v>
          </cell>
          <cell r="B284" t="str">
            <v>CORPORATION</v>
          </cell>
          <cell r="C284" t="str">
            <v>Marcelo Donizete Ferreira ***632689**</v>
          </cell>
          <cell r="D284" t="str">
            <v>Tdm Metal</v>
          </cell>
          <cell r="E284" t="str">
            <v>48.517.091</v>
          </cell>
          <cell r="F284" t="str">
            <v>48.517.091/0001-63</v>
          </cell>
        </row>
        <row r="285">
          <cell r="A285">
            <v>26870</v>
          </cell>
          <cell r="B285" t="str">
            <v>CORPORATION</v>
          </cell>
          <cell r="C285" t="str">
            <v>Arc Dynamics - Materiais Eletricos E Produtos De Soldagem Ltda - Me</v>
          </cell>
          <cell r="D285" t="str">
            <v>Arc Dynamics</v>
          </cell>
          <cell r="E285" t="str">
            <v>04.394.954</v>
          </cell>
          <cell r="F285" t="str">
            <v>04.394.954/0001-87</v>
          </cell>
          <cell r="G285" t="str">
            <v>ARC DYNAMICS</v>
          </cell>
        </row>
        <row r="286">
          <cell r="A286">
            <v>26874</v>
          </cell>
          <cell r="B286" t="str">
            <v>CORPORATION</v>
          </cell>
          <cell r="C286" t="str">
            <v>Dutra Maquinas Comercial E Tecnica Ltda</v>
          </cell>
          <cell r="D286" t="str">
            <v>Dutra Centro De Distribuição</v>
          </cell>
          <cell r="E286" t="str">
            <v>50.970.342</v>
          </cell>
          <cell r="F286" t="str">
            <v>50.970.342/0007-06</v>
          </cell>
          <cell r="G286" t="str">
            <v>DUTRA</v>
          </cell>
        </row>
        <row r="287">
          <cell r="A287">
            <v>26876</v>
          </cell>
          <cell r="B287" t="str">
            <v>CORPORATION</v>
          </cell>
          <cell r="C287" t="str">
            <v>Morao Comercio De Variedades Eireli</v>
          </cell>
          <cell r="D287" t="str">
            <v>Morao Variedades (Bazzo)</v>
          </cell>
          <cell r="E287" t="str">
            <v>39.506.879</v>
          </cell>
          <cell r="F287" t="str">
            <v>39.506.879/0001-83</v>
          </cell>
          <cell r="G287" t="str">
            <v>BAZZO &amp; AMARAL</v>
          </cell>
        </row>
        <row r="288">
          <cell r="A288">
            <v>26878</v>
          </cell>
          <cell r="B288" t="str">
            <v>CORPORATION</v>
          </cell>
          <cell r="C288" t="str">
            <v>Mns-Com Prod Agropecuarios Lt</v>
          </cell>
          <cell r="D288" t="str">
            <v>Mns-Comercio De Produtos Agropecuarios Ltda</v>
          </cell>
          <cell r="E288" t="str">
            <v>00.248.877</v>
          </cell>
          <cell r="F288" t="str">
            <v>00.248.877/0001-04</v>
          </cell>
        </row>
        <row r="289">
          <cell r="A289">
            <v>26886</v>
          </cell>
          <cell r="B289" t="str">
            <v>CORPORATION</v>
          </cell>
          <cell r="C289" t="str">
            <v>Elaine Cristina Santos Silva De Oliveira E Cia Ltda</v>
          </cell>
          <cell r="D289" t="str">
            <v>Maq &amp; Soldas Ferramentas</v>
          </cell>
          <cell r="E289" t="str">
            <v>21.918.893</v>
          </cell>
          <cell r="F289" t="str">
            <v>21.918.893/0001-29</v>
          </cell>
        </row>
        <row r="290">
          <cell r="A290">
            <v>26893</v>
          </cell>
          <cell r="B290" t="str">
            <v>CORPORATION</v>
          </cell>
          <cell r="C290" t="str">
            <v>Comercio Atacadista De Acessorios Industriais Santos E Brasil Ltda</v>
          </cell>
          <cell r="D290" t="str">
            <v>Comercio Atacadista De Acessorios Industriais Santos E Brasil Ltda</v>
          </cell>
          <cell r="E290" t="str">
            <v>12.085.989</v>
          </cell>
          <cell r="F290" t="str">
            <v>12.085.989/0001-62</v>
          </cell>
        </row>
        <row r="291">
          <cell r="A291">
            <v>26912</v>
          </cell>
          <cell r="B291" t="str">
            <v>CORPORATION</v>
          </cell>
          <cell r="C291" t="str">
            <v>J A Santos Junior &amp; Cia Ltda</v>
          </cell>
          <cell r="D291" t="str">
            <v>J A Santos</v>
          </cell>
          <cell r="E291" t="str">
            <v>73.855.405</v>
          </cell>
          <cell r="F291" t="str">
            <v>73.855.405/0001-85</v>
          </cell>
        </row>
        <row r="292">
          <cell r="A292">
            <v>26914</v>
          </cell>
          <cell r="B292" t="str">
            <v>CORPORATION</v>
          </cell>
          <cell r="C292" t="str">
            <v>Monique Sartore 35017614818</v>
          </cell>
          <cell r="D292" t="str">
            <v>Welding Brasil Soldas</v>
          </cell>
          <cell r="E292" t="str">
            <v>40.241.386</v>
          </cell>
          <cell r="F292" t="str">
            <v>40.241.386/0001-48</v>
          </cell>
        </row>
        <row r="293">
          <cell r="A293">
            <v>26916</v>
          </cell>
          <cell r="B293" t="str">
            <v>CORPORATION</v>
          </cell>
          <cell r="C293" t="str">
            <v>Avila Da Cruz E Cia Ltda - Epp</v>
          </cell>
          <cell r="D293" t="str">
            <v>Eletrica Do Urias</v>
          </cell>
          <cell r="E293" t="str">
            <v>00.988.568</v>
          </cell>
          <cell r="F293" t="str">
            <v>00.988.568/0001-62</v>
          </cell>
        </row>
        <row r="294">
          <cell r="A294">
            <v>26921</v>
          </cell>
          <cell r="B294" t="str">
            <v>CORPORATION</v>
          </cell>
          <cell r="C294" t="str">
            <v>Cooperativa Dos Plantadores De Cana Do Estado Sao Paulo</v>
          </cell>
          <cell r="D294" t="str">
            <v>Cooperativa Dos Plantadores De Cana Do Estado Sao Paulo</v>
          </cell>
          <cell r="E294" t="str">
            <v>54.366.547</v>
          </cell>
          <cell r="F294" t="str">
            <v>54.366.547/0027-73</v>
          </cell>
          <cell r="G294" t="str">
            <v>COPLACANA</v>
          </cell>
        </row>
        <row r="295">
          <cell r="A295">
            <v>26938</v>
          </cell>
          <cell r="B295" t="str">
            <v>CORPORATION</v>
          </cell>
          <cell r="C295" t="str">
            <v>Nefer Comercio De Ferro E Acos Ltda</v>
          </cell>
          <cell r="D295" t="str">
            <v>Nefer Comercio De Ferro E Acos</v>
          </cell>
          <cell r="E295" t="str">
            <v>33.439.533</v>
          </cell>
          <cell r="F295" t="str">
            <v>33.439.533/0001-23</v>
          </cell>
        </row>
        <row r="296">
          <cell r="A296">
            <v>26939</v>
          </cell>
          <cell r="B296" t="str">
            <v>CORPORATION</v>
          </cell>
          <cell r="C296" t="str">
            <v>Ferragens Pe Vermelho Ltda</v>
          </cell>
          <cell r="D296" t="str">
            <v>Ferragens Pe Vermelho</v>
          </cell>
          <cell r="E296" t="str">
            <v>43.642.851</v>
          </cell>
          <cell r="F296" t="str">
            <v>43.642.851/0001-40</v>
          </cell>
        </row>
        <row r="297">
          <cell r="A297">
            <v>26941</v>
          </cell>
          <cell r="B297" t="str">
            <v>CORPORATION</v>
          </cell>
          <cell r="C297" t="str">
            <v>A. M. C. Dos Santos - Eireli</v>
          </cell>
          <cell r="D297" t="str">
            <v>Macofer Materiais De Construcao E Cia</v>
          </cell>
          <cell r="E297" t="str">
            <v>23.913.615</v>
          </cell>
          <cell r="F297" t="str">
            <v>23.913.615/0001-04</v>
          </cell>
        </row>
        <row r="298">
          <cell r="A298">
            <v>26942</v>
          </cell>
          <cell r="B298" t="str">
            <v>CORPORATION</v>
          </cell>
          <cell r="C298" t="str">
            <v>Wf Comercio De Materiais Para Construcao Catanduva Ltda</v>
          </cell>
          <cell r="D298" t="str">
            <v>Wf Materiais Para Construcoes</v>
          </cell>
          <cell r="E298" t="str">
            <v>15.299.641</v>
          </cell>
          <cell r="F298" t="str">
            <v>15.299.641/0001-66</v>
          </cell>
        </row>
        <row r="299">
          <cell r="A299">
            <v>26944</v>
          </cell>
          <cell r="B299" t="str">
            <v>CORPORATION</v>
          </cell>
          <cell r="C299" t="str">
            <v>Molossi Maquinas E Equipamentos Ltda</v>
          </cell>
          <cell r="D299" t="str">
            <v>Molossi Maquinas E Equipamentos Ltda</v>
          </cell>
          <cell r="E299" t="str">
            <v>13.696.691</v>
          </cell>
          <cell r="F299" t="str">
            <v>13.696.691/0001-51</v>
          </cell>
        </row>
        <row r="300">
          <cell r="A300">
            <v>26948</v>
          </cell>
          <cell r="B300" t="str">
            <v>CORPORATION</v>
          </cell>
          <cell r="C300" t="str">
            <v>Planalto Ferramental Ltda - Epp</v>
          </cell>
          <cell r="D300" t="str">
            <v>Planalto Ferramental</v>
          </cell>
          <cell r="E300" t="str">
            <v>14.686.539</v>
          </cell>
          <cell r="F300" t="str">
            <v>14.686.539/0001-50</v>
          </cell>
          <cell r="G300" t="str">
            <v>PLANALTO FERRAMENTAL</v>
          </cell>
        </row>
        <row r="301">
          <cell r="A301">
            <v>26953</v>
          </cell>
          <cell r="B301" t="str">
            <v>CORPORATION</v>
          </cell>
          <cell r="C301" t="str">
            <v>Hidraulica Imperatriz Ltda - Epp</v>
          </cell>
          <cell r="D301" t="str">
            <v>Hidraulica Imperatriz</v>
          </cell>
          <cell r="E301" t="str">
            <v>03.261.959</v>
          </cell>
          <cell r="F301" t="str">
            <v>03.261.959/0001-79</v>
          </cell>
        </row>
        <row r="302">
          <cell r="A302">
            <v>26954</v>
          </cell>
          <cell r="B302" t="str">
            <v>CORPORATION</v>
          </cell>
          <cell r="C302" t="str">
            <v>Norte Lagos Empreendimentos Eireli</v>
          </cell>
          <cell r="D302" t="str">
            <v>Utc Construcoes</v>
          </cell>
          <cell r="E302" t="str">
            <v>10.614.866</v>
          </cell>
          <cell r="F302" t="str">
            <v>10.614.866/0001-46</v>
          </cell>
        </row>
        <row r="303">
          <cell r="A303">
            <v>26959</v>
          </cell>
          <cell r="B303" t="str">
            <v>CORPORATION</v>
          </cell>
          <cell r="C303" t="str">
            <v>S. L. Dos Santos Ltda</v>
          </cell>
          <cell r="D303" t="str">
            <v>S. S. Ferramentas</v>
          </cell>
          <cell r="E303" t="str">
            <v>37.437.810</v>
          </cell>
          <cell r="F303" t="str">
            <v>37.437.810/0001-10</v>
          </cell>
        </row>
        <row r="304">
          <cell r="A304">
            <v>26961</v>
          </cell>
          <cell r="B304" t="str">
            <v>CORPORATION</v>
          </cell>
          <cell r="C304" t="str">
            <v>Oxipara Comercio De Gas E Equipamentos Ltda - Epp</v>
          </cell>
          <cell r="D304" t="str">
            <v>Oxipara</v>
          </cell>
          <cell r="E304" t="str">
            <v>19.137.715</v>
          </cell>
          <cell r="F304" t="str">
            <v>19.137.715/0001-19</v>
          </cell>
        </row>
        <row r="305">
          <cell r="A305">
            <v>26985</v>
          </cell>
          <cell r="B305" t="str">
            <v>CORPORATION</v>
          </cell>
          <cell r="C305" t="str">
            <v>J Zambonin E Zambonin Ltda</v>
          </cell>
          <cell r="D305" t="str">
            <v>Real Pecas E Servicos</v>
          </cell>
          <cell r="E305" t="str">
            <v>34.040.166</v>
          </cell>
          <cell r="F305" t="str">
            <v>34.040.166/0001-53</v>
          </cell>
        </row>
        <row r="306">
          <cell r="A306">
            <v>26992</v>
          </cell>
          <cell r="B306" t="str">
            <v>CORPORATION</v>
          </cell>
          <cell r="C306" t="str">
            <v>A C L Veras Comercial</v>
          </cell>
          <cell r="D306" t="str">
            <v>Acl Comercial</v>
          </cell>
          <cell r="E306" t="str">
            <v>22.957.767</v>
          </cell>
          <cell r="F306" t="str">
            <v>22.957.767/0001-46</v>
          </cell>
        </row>
        <row r="307">
          <cell r="A307">
            <v>26998</v>
          </cell>
          <cell r="B307" t="str">
            <v>CORPORATION</v>
          </cell>
          <cell r="C307" t="str">
            <v>Oximac - Comercio E Representacoes Eireli</v>
          </cell>
          <cell r="D307" t="str">
            <v>Oximac - Comercio E Representacoes Eireli</v>
          </cell>
          <cell r="E307" t="str">
            <v>11.206.654</v>
          </cell>
          <cell r="F307" t="str">
            <v>11.206.654/0001-92</v>
          </cell>
          <cell r="G307" t="str">
            <v>OXIMAC</v>
          </cell>
        </row>
        <row r="308">
          <cell r="A308">
            <v>26999</v>
          </cell>
          <cell r="B308" t="str">
            <v>CORPORATION</v>
          </cell>
          <cell r="C308" t="str">
            <v>Real Maquinas Ltda</v>
          </cell>
          <cell r="D308" t="str">
            <v>Real Maquinas E Parafusos</v>
          </cell>
          <cell r="E308" t="str">
            <v>39.470.199</v>
          </cell>
          <cell r="F308" t="str">
            <v>39.470.199/0001-57</v>
          </cell>
        </row>
        <row r="309">
          <cell r="A309">
            <v>27002</v>
          </cell>
          <cell r="B309" t="str">
            <v>CORPORATION</v>
          </cell>
          <cell r="C309" t="str">
            <v>47.699.777 Welton Ferreira Da Silva</v>
          </cell>
          <cell r="D309" t="str">
            <v>Wf Soldas</v>
          </cell>
          <cell r="E309" t="str">
            <v>47.699.777</v>
          </cell>
          <cell r="F309" t="str">
            <v>47.699.777/0001-50</v>
          </cell>
        </row>
        <row r="310">
          <cell r="A310">
            <v>27019</v>
          </cell>
          <cell r="B310" t="str">
            <v>CORPORATION</v>
          </cell>
          <cell r="C310" t="str">
            <v>Oli.Soldas Manutencao E Locacao De Maquinas - Eireli</v>
          </cell>
          <cell r="D310" t="str">
            <v>Oli.Soldas</v>
          </cell>
          <cell r="E310" t="str">
            <v>07.254.821</v>
          </cell>
          <cell r="F310" t="str">
            <v>07.254.821/0001-01</v>
          </cell>
        </row>
        <row r="311">
          <cell r="A311">
            <v>27023</v>
          </cell>
          <cell r="B311" t="str">
            <v>CORPORATION</v>
          </cell>
          <cell r="C311" t="str">
            <v>Acos Abdala Comercio De Ferragem Ltda</v>
          </cell>
          <cell r="D311" t="str">
            <v>Acos Abdala Comercio De Ferragens</v>
          </cell>
          <cell r="E311" t="str">
            <v>47.047.933</v>
          </cell>
          <cell r="F311" t="str">
            <v>47.047.933/0001-06</v>
          </cell>
        </row>
        <row r="312">
          <cell r="A312">
            <v>27034</v>
          </cell>
          <cell r="B312" t="str">
            <v>CORPORATION</v>
          </cell>
          <cell r="C312" t="str">
            <v>Du Ferramentas E Maquinas Ltda</v>
          </cell>
          <cell r="D312" t="str">
            <v>Du Ferramentas E Maquinas</v>
          </cell>
          <cell r="E312" t="str">
            <v>41.501.981</v>
          </cell>
          <cell r="F312" t="str">
            <v>41.501.981/0001-38</v>
          </cell>
        </row>
        <row r="313">
          <cell r="A313">
            <v>27042</v>
          </cell>
          <cell r="B313" t="str">
            <v>CORPORATION</v>
          </cell>
          <cell r="C313" t="str">
            <v>Gomes E Vilela Comercio E Servicos Ltda</v>
          </cell>
          <cell r="D313" t="str">
            <v>Casa Das Soldas</v>
          </cell>
          <cell r="E313" t="str">
            <v>12.744.312</v>
          </cell>
          <cell r="F313" t="str">
            <v>12.744.312/0001-99</v>
          </cell>
        </row>
        <row r="314">
          <cell r="A314">
            <v>27043</v>
          </cell>
          <cell r="B314" t="str">
            <v>CORPORATION</v>
          </cell>
          <cell r="C314" t="str">
            <v>Rs Comercio De Materiais Eletricos E Servicos De Instalacoes Ltda</v>
          </cell>
          <cell r="D314" t="str">
            <v>Rs Service</v>
          </cell>
          <cell r="E314" t="str">
            <v>10.482.141</v>
          </cell>
          <cell r="F314" t="str">
            <v>10.482.141/0001-41</v>
          </cell>
        </row>
        <row r="315">
          <cell r="A315">
            <v>27049</v>
          </cell>
          <cell r="B315" t="str">
            <v>CORPORATION</v>
          </cell>
          <cell r="C315" t="str">
            <v>Fame Comercial De Gases Industriais E Servicos Eireli</v>
          </cell>
          <cell r="D315" t="str">
            <v>Oxileno Gases</v>
          </cell>
          <cell r="E315" t="str">
            <v>23.389.941</v>
          </cell>
          <cell r="F315" t="str">
            <v>23.389.941/0001-64</v>
          </cell>
        </row>
        <row r="316">
          <cell r="A316">
            <v>27052</v>
          </cell>
          <cell r="B316" t="str">
            <v>CORPORATION</v>
          </cell>
          <cell r="C316" t="str">
            <v>Elvis De Paula Ferreira</v>
          </cell>
          <cell r="D316" t="str">
            <v>Elvis De Paula Ferreira</v>
          </cell>
          <cell r="E316" t="str">
            <v>15.012.564</v>
          </cell>
          <cell r="F316" t="str">
            <v>15.012.564/0001-11</v>
          </cell>
        </row>
        <row r="317">
          <cell r="A317">
            <v>27072</v>
          </cell>
          <cell r="B317" t="str">
            <v>CORPORATION</v>
          </cell>
          <cell r="C317" t="str">
            <v>M N Teruya Comercial De Ferramentas Ltda</v>
          </cell>
          <cell r="D317" t="str">
            <v>Cofema Sumaré</v>
          </cell>
          <cell r="E317" t="str">
            <v>69.194.454</v>
          </cell>
          <cell r="F317" t="str">
            <v>69.194.454/0003-09</v>
          </cell>
          <cell r="G317" t="str">
            <v>COFEMA</v>
          </cell>
        </row>
        <row r="318">
          <cell r="A318">
            <v>27075</v>
          </cell>
          <cell r="B318" t="str">
            <v>CORPORATION</v>
          </cell>
          <cell r="C318" t="str">
            <v>Metal Ferreira Comercio De Aco Ltda</v>
          </cell>
          <cell r="D318" t="str">
            <v>Brasfer - O Lojao Do Aco</v>
          </cell>
          <cell r="E318" t="str">
            <v>35.815.486</v>
          </cell>
          <cell r="F318" t="str">
            <v>35.815.486/0001-09</v>
          </cell>
          <cell r="G318" t="str">
            <v>Brasfer - O Lojao Do Aco</v>
          </cell>
        </row>
        <row r="319">
          <cell r="A319">
            <v>27087</v>
          </cell>
          <cell r="B319" t="str">
            <v>CORPORATION</v>
          </cell>
          <cell r="C319" t="str">
            <v>Eletro Solda Comercial Ltda</v>
          </cell>
          <cell r="D319" t="str">
            <v>Eletrosolda Limeira</v>
          </cell>
          <cell r="E319" t="str">
            <v>66.085.473</v>
          </cell>
          <cell r="F319" t="str">
            <v>66.085.473/0001-47</v>
          </cell>
        </row>
        <row r="320">
          <cell r="A320">
            <v>27092</v>
          </cell>
          <cell r="B320" t="str">
            <v>CORPORATION</v>
          </cell>
          <cell r="C320" t="str">
            <v>Martini Comercio E Importacao Ltda</v>
          </cell>
          <cell r="D320" t="str">
            <v>Martini</v>
          </cell>
          <cell r="E320" t="str">
            <v>46.050.464</v>
          </cell>
          <cell r="F320" t="str">
            <v>46.050.464/0004-56</v>
          </cell>
        </row>
        <row r="321">
          <cell r="A321">
            <v>27093</v>
          </cell>
          <cell r="B321" t="str">
            <v>CORPORATION</v>
          </cell>
          <cell r="C321" t="str">
            <v>Trabalho E Lazer Comercial Ltda</v>
          </cell>
          <cell r="D321" t="str">
            <v>Trabalho &amp; Lazer</v>
          </cell>
          <cell r="E321" t="str">
            <v>46.949.769</v>
          </cell>
          <cell r="F321" t="str">
            <v>46.949.769/0001-51</v>
          </cell>
        </row>
        <row r="322">
          <cell r="A322">
            <v>27105</v>
          </cell>
          <cell r="B322" t="str">
            <v>CORPORATION</v>
          </cell>
          <cell r="C322" t="str">
            <v>Alge Equipamentos Ltda</v>
          </cell>
          <cell r="D322" t="str">
            <v>Alge Commerce</v>
          </cell>
          <cell r="E322" t="str">
            <v>31.490.453</v>
          </cell>
          <cell r="F322" t="str">
            <v>31.490.453/0001-77</v>
          </cell>
        </row>
        <row r="323">
          <cell r="A323">
            <v>27106</v>
          </cell>
          <cell r="B323" t="str">
            <v>CORPORATION</v>
          </cell>
          <cell r="C323" t="str">
            <v>Fix Pafer Materiais Para Construcao Ltda.</v>
          </cell>
          <cell r="D323" t="str">
            <v>Pafer</v>
          </cell>
          <cell r="E323" t="str">
            <v>45.691.585</v>
          </cell>
          <cell r="F323" t="str">
            <v>45.691.585/0001-71</v>
          </cell>
        </row>
        <row r="324">
          <cell r="A324">
            <v>27107</v>
          </cell>
          <cell r="B324" t="str">
            <v>CORPORATION</v>
          </cell>
          <cell r="C324" t="str">
            <v>Help Parafusos E Acessorios Industriais Ltda - Epp</v>
          </cell>
          <cell r="D324" t="str">
            <v>Help Parafusos</v>
          </cell>
          <cell r="E324" t="str">
            <v>07.854.634</v>
          </cell>
          <cell r="F324" t="str">
            <v>07.854.634/0001-50</v>
          </cell>
        </row>
        <row r="325">
          <cell r="A325">
            <v>27110</v>
          </cell>
          <cell r="B325" t="str">
            <v>CORPORATION</v>
          </cell>
          <cell r="C325" t="str">
            <v>Criativa Maquinas E Servicos Ltda</v>
          </cell>
          <cell r="D325" t="str">
            <v>Criativa Maquinas E Servicos</v>
          </cell>
          <cell r="E325" t="str">
            <v>49.412.195</v>
          </cell>
          <cell r="F325" t="str">
            <v>49.412.195/0001-76</v>
          </cell>
        </row>
        <row r="326">
          <cell r="A326">
            <v>27112</v>
          </cell>
          <cell r="B326" t="str">
            <v>CORPORATION</v>
          </cell>
          <cell r="C326" t="str">
            <v>H A Beltrame De Oliveira - Me</v>
          </cell>
          <cell r="D326" t="str">
            <v>H A Beltrame De Oliveira - Me</v>
          </cell>
          <cell r="E326" t="str">
            <v>14.819.374</v>
          </cell>
          <cell r="F326" t="str">
            <v>14.819.374/0001-48</v>
          </cell>
        </row>
        <row r="327">
          <cell r="A327">
            <v>27114</v>
          </cell>
          <cell r="B327" t="str">
            <v>CORPORATION</v>
          </cell>
          <cell r="C327" t="str">
            <v>Machado Casa Dos Parafusos Ltda - Epp</v>
          </cell>
          <cell r="D327" t="str">
            <v>Machado Casa Dos Parafusos</v>
          </cell>
          <cell r="E327" t="str">
            <v>53.933.818</v>
          </cell>
          <cell r="F327" t="str">
            <v>53.933.818/0001-23</v>
          </cell>
        </row>
        <row r="328">
          <cell r="A328">
            <v>27121</v>
          </cell>
          <cell r="B328" t="str">
            <v>CORPORATION</v>
          </cell>
          <cell r="C328" t="str">
            <v>Florestal Moto Serras Ltda - Me</v>
          </cell>
          <cell r="D328" t="str">
            <v>Florestal Moto Serras</v>
          </cell>
          <cell r="E328" t="str">
            <v>00.781.534</v>
          </cell>
          <cell r="F328" t="str">
            <v>00.781.534/0001-00</v>
          </cell>
        </row>
        <row r="329">
          <cell r="A329">
            <v>27131</v>
          </cell>
          <cell r="B329" t="str">
            <v>CORPORATION</v>
          </cell>
          <cell r="C329" t="str">
            <v>Superpesa Maritima Ltda</v>
          </cell>
          <cell r="D329" t="str">
            <v>Superpesa</v>
          </cell>
          <cell r="E329" t="str">
            <v>00.202.759</v>
          </cell>
          <cell r="F329" t="str">
            <v>00.202.759/0001-57</v>
          </cell>
          <cell r="G329" t="str">
            <v>SUPERPESA</v>
          </cell>
        </row>
        <row r="330">
          <cell r="A330">
            <v>27136</v>
          </cell>
          <cell r="B330" t="str">
            <v>CORPORATION</v>
          </cell>
          <cell r="C330" t="str">
            <v>Robson Leandro Fagundes De Oliveira - Me</v>
          </cell>
          <cell r="D330" t="str">
            <v>Neres Casa E Construcao</v>
          </cell>
          <cell r="E330" t="str">
            <v>11.358.011</v>
          </cell>
          <cell r="F330" t="str">
            <v>11.358.011/0001-64</v>
          </cell>
        </row>
        <row r="331">
          <cell r="A331">
            <v>27138</v>
          </cell>
          <cell r="B331" t="str">
            <v>CORPORATION</v>
          </cell>
          <cell r="C331" t="str">
            <v>Paulo Roberto S De Oliveira</v>
          </cell>
          <cell r="D331" t="str">
            <v>Aco Forte</v>
          </cell>
          <cell r="E331" t="str">
            <v>26.208.077</v>
          </cell>
          <cell r="F331" t="str">
            <v>26.208.077/0001-45</v>
          </cell>
        </row>
        <row r="332">
          <cell r="A332">
            <v>27139</v>
          </cell>
          <cell r="B332" t="str">
            <v>CORPORATION</v>
          </cell>
          <cell r="C332" t="str">
            <v>Jundisoldas Comercio De Maquinas E Pecas Ltda</v>
          </cell>
          <cell r="D332" t="str">
            <v>Jundisoldas</v>
          </cell>
          <cell r="E332" t="str">
            <v>12.159.684</v>
          </cell>
          <cell r="F332" t="str">
            <v>12.159.684/0001-58</v>
          </cell>
        </row>
        <row r="333">
          <cell r="A333">
            <v>27144</v>
          </cell>
          <cell r="B333" t="str">
            <v>CORPORATION</v>
          </cell>
          <cell r="C333" t="str">
            <v>Nick Rolamentos E Pecas Ltda</v>
          </cell>
          <cell r="D333" t="str">
            <v>Nick Rolamentos E Pecas Ltda</v>
          </cell>
          <cell r="E333" t="str">
            <v>05.465.316</v>
          </cell>
          <cell r="F333" t="str">
            <v>05.465.316/0001-72</v>
          </cell>
        </row>
        <row r="334">
          <cell r="A334">
            <v>27150</v>
          </cell>
          <cell r="B334" t="str">
            <v>CORPORATION</v>
          </cell>
          <cell r="C334" t="str">
            <v>Rodrigo Fabro Gravena - Me</v>
          </cell>
          <cell r="D334" t="str">
            <v>Rodrigo Fabro Gravena</v>
          </cell>
          <cell r="E334" t="str">
            <v>10.611.858</v>
          </cell>
          <cell r="F334" t="str">
            <v>10.611.858/0001-46</v>
          </cell>
        </row>
        <row r="335">
          <cell r="A335">
            <v>27153</v>
          </cell>
          <cell r="B335" t="str">
            <v>CORPORATION</v>
          </cell>
          <cell r="C335" t="str">
            <v>Claudinei Pelussi De Oliveira &amp; Cia. Ltda.</v>
          </cell>
          <cell r="D335" t="str">
            <v>Claudinei Pelussi De Oliveira &amp; Cia. Ltda.</v>
          </cell>
          <cell r="E335" t="str">
            <v>03.444.599</v>
          </cell>
          <cell r="F335" t="str">
            <v>03.444.599/0001-40</v>
          </cell>
        </row>
        <row r="336">
          <cell r="A336">
            <v>27154</v>
          </cell>
          <cell r="B336" t="str">
            <v>CORPORATION</v>
          </cell>
          <cell r="C336" t="str">
            <v>Ferragista Contatus Ltda</v>
          </cell>
          <cell r="D336" t="str">
            <v>Ferragista Contatus</v>
          </cell>
          <cell r="E336" t="str">
            <v>34.829.625</v>
          </cell>
          <cell r="F336" t="str">
            <v>34.829.625/0001-82</v>
          </cell>
        </row>
        <row r="337">
          <cell r="A337">
            <v>27166</v>
          </cell>
          <cell r="B337" t="str">
            <v>CORPORATION</v>
          </cell>
          <cell r="C337" t="str">
            <v>Paulo Basso Esoppa 70108412849</v>
          </cell>
          <cell r="D337" t="str">
            <v>P.B.</v>
          </cell>
          <cell r="E337" t="str">
            <v>34.877.757</v>
          </cell>
          <cell r="F337" t="str">
            <v>34.877.757/0001-80</v>
          </cell>
        </row>
        <row r="338">
          <cell r="A338">
            <v>27173</v>
          </cell>
          <cell r="B338" t="str">
            <v>CORPORATION</v>
          </cell>
          <cell r="C338" t="str">
            <v>Dariana Comercial Ltda</v>
          </cell>
          <cell r="D338" t="str">
            <v>Master Ferramentas</v>
          </cell>
          <cell r="E338" t="str">
            <v>11.205.854</v>
          </cell>
          <cell r="F338" t="str">
            <v>11.205.854/0001-20</v>
          </cell>
          <cell r="G338" t="str">
            <v>MASTER FERRAMENTAS</v>
          </cell>
        </row>
        <row r="339">
          <cell r="A339">
            <v>27193</v>
          </cell>
          <cell r="B339" t="str">
            <v>CORPORATION</v>
          </cell>
          <cell r="C339" t="str">
            <v>Tania Maria De Paula 77743288668</v>
          </cell>
          <cell r="D339" t="str">
            <v>Gemac</v>
          </cell>
          <cell r="E339" t="str">
            <v>41.259.863</v>
          </cell>
          <cell r="F339" t="str">
            <v>41.259.863/0001-65</v>
          </cell>
          <cell r="G339" t="str">
            <v>GEMAC</v>
          </cell>
        </row>
        <row r="340">
          <cell r="A340">
            <v>27197</v>
          </cell>
          <cell r="B340" t="str">
            <v>CORPORATION</v>
          </cell>
          <cell r="C340" t="str">
            <v>Justi Comercio E Servicos De Maquinas E Pecas Ltda</v>
          </cell>
          <cell r="D340" t="str">
            <v>Justi Maquinas &amp; Pecas</v>
          </cell>
          <cell r="E340" t="str">
            <v>91.614.149</v>
          </cell>
          <cell r="F340" t="str">
            <v>91.614.149/0001-16</v>
          </cell>
          <cell r="G340" t="str">
            <v>JUSTI</v>
          </cell>
        </row>
        <row r="341">
          <cell r="A341">
            <v>27202</v>
          </cell>
          <cell r="B341" t="str">
            <v>CORPORATION</v>
          </cell>
          <cell r="C341" t="str">
            <v>16.585.089 Aline De Oliveira De Almeida</v>
          </cell>
          <cell r="D341" t="str">
            <v>Itatec Soldas</v>
          </cell>
          <cell r="E341" t="str">
            <v>16.585.089</v>
          </cell>
          <cell r="F341" t="str">
            <v>16.585.089/0001-35</v>
          </cell>
        </row>
        <row r="342">
          <cell r="A342">
            <v>27204</v>
          </cell>
          <cell r="B342" t="str">
            <v>CORPORATION</v>
          </cell>
          <cell r="C342" t="str">
            <v>Maristela Barbosa Prettz</v>
          </cell>
          <cell r="D342" t="str">
            <v>Base Comercio E Servicos</v>
          </cell>
          <cell r="E342" t="str">
            <v>10.809.585</v>
          </cell>
          <cell r="F342" t="str">
            <v>10.809.585/0001-49</v>
          </cell>
        </row>
        <row r="343">
          <cell r="A343">
            <v>27230</v>
          </cell>
          <cell r="B343" t="str">
            <v>CORPORATION</v>
          </cell>
          <cell r="C343" t="str">
            <v>Schirmann Solucoes Em Aco Ltda</v>
          </cell>
          <cell r="D343" t="str">
            <v>Schirmann Solucoes Em Aco</v>
          </cell>
          <cell r="E343" t="str">
            <v>49.054.172</v>
          </cell>
          <cell r="F343" t="str">
            <v>49.054.172/0001-37</v>
          </cell>
        </row>
        <row r="344">
          <cell r="A344">
            <v>27231</v>
          </cell>
          <cell r="B344" t="str">
            <v>CORPORATION</v>
          </cell>
          <cell r="C344" t="str">
            <v>Dilmar Comercio De Materiais Eletricos Ltda - Epp</v>
          </cell>
          <cell r="D344" t="str">
            <v>Dilmar Comercio De Materiais Eletricos</v>
          </cell>
          <cell r="E344" t="str">
            <v>31.268.410</v>
          </cell>
          <cell r="F344" t="str">
            <v>31.268.410/0001-41</v>
          </cell>
        </row>
        <row r="345">
          <cell r="A345">
            <v>27234</v>
          </cell>
          <cell r="B345" t="str">
            <v>CORPORATION</v>
          </cell>
          <cell r="C345" t="str">
            <v>Lofmaq Comercio De Maquinas E Ferramentas Industriais Ltda - Epp</v>
          </cell>
          <cell r="D345" t="str">
            <v>Lofmaq Comercio De Maquinas E Ferramentas Industriais</v>
          </cell>
          <cell r="E345" t="str">
            <v>46.314.993</v>
          </cell>
          <cell r="F345" t="str">
            <v>46.314.993/0001-77</v>
          </cell>
        </row>
        <row r="346">
          <cell r="A346">
            <v>27237</v>
          </cell>
          <cell r="B346" t="str">
            <v>CORPORATION</v>
          </cell>
          <cell r="C346" t="str">
            <v>Ferragista Do Lobbo Ltda - Me</v>
          </cell>
          <cell r="D346" t="str">
            <v>Ferragista Do Lobbo</v>
          </cell>
          <cell r="E346" t="str">
            <v>24.898.637</v>
          </cell>
          <cell r="F346" t="str">
            <v>24.898.637/0001-05</v>
          </cell>
        </row>
        <row r="347">
          <cell r="A347">
            <v>27240</v>
          </cell>
          <cell r="B347" t="str">
            <v>CORPORATION</v>
          </cell>
          <cell r="C347" t="str">
            <v>Apex Comercio De Ferramentas Ltda - Me</v>
          </cell>
          <cell r="D347" t="str">
            <v>Apex Comercio De Ferramentas</v>
          </cell>
          <cell r="E347" t="str">
            <v>55.319.024</v>
          </cell>
          <cell r="F347" t="str">
            <v>55.319.024/0001-08</v>
          </cell>
        </row>
        <row r="348">
          <cell r="A348">
            <v>27241</v>
          </cell>
          <cell r="B348" t="str">
            <v>CORPORATION</v>
          </cell>
          <cell r="C348" t="str">
            <v>Azulao Parafusos E Ferramentas Ltda</v>
          </cell>
          <cell r="D348" t="str">
            <v>Azulão Parafusos E Ferramentas</v>
          </cell>
          <cell r="E348" t="str">
            <v>02.226.278</v>
          </cell>
          <cell r="F348" t="str">
            <v>02.226.278/0001-07</v>
          </cell>
        </row>
        <row r="349">
          <cell r="A349">
            <v>27244</v>
          </cell>
          <cell r="B349" t="str">
            <v>CORPORATION</v>
          </cell>
          <cell r="C349" t="str">
            <v>Ferramentas Gerais Ltda - Epp</v>
          </cell>
          <cell r="D349" t="str">
            <v>Ferramentas Gerais</v>
          </cell>
          <cell r="E349" t="str">
            <v>68.542.984</v>
          </cell>
          <cell r="F349" t="str">
            <v>68.542.984/0001-76</v>
          </cell>
        </row>
        <row r="350">
          <cell r="A350">
            <v>27248</v>
          </cell>
          <cell r="B350" t="str">
            <v>CORPORATION</v>
          </cell>
          <cell r="C350" t="str">
            <v>N Koltermann Comercio De Acessorios E Pecas Agricolas Ltda</v>
          </cell>
          <cell r="D350" t="str">
            <v>Acessorios Koltermann</v>
          </cell>
          <cell r="E350" t="str">
            <v>92.598.812</v>
          </cell>
          <cell r="F350" t="str">
            <v>92.598.812/0001-07</v>
          </cell>
        </row>
        <row r="351">
          <cell r="A351">
            <v>27264</v>
          </cell>
          <cell r="B351" t="str">
            <v>CORPORATION</v>
          </cell>
          <cell r="C351" t="str">
            <v>Linprol-Linhares Parafusos E Rolamentos Ltda</v>
          </cell>
          <cell r="D351" t="str">
            <v>Linprol Linhares Parafusos E Rolamentos</v>
          </cell>
          <cell r="E351" t="str">
            <v>36.338.028</v>
          </cell>
          <cell r="F351" t="str">
            <v>36.338.028/0001-80</v>
          </cell>
          <cell r="G351" t="str">
            <v>LINPROL</v>
          </cell>
        </row>
        <row r="352">
          <cell r="A352">
            <v>27277</v>
          </cell>
          <cell r="B352" t="str">
            <v>CORPORATION</v>
          </cell>
          <cell r="C352" t="str">
            <v>Almo Tec Comercial Ltda - Me</v>
          </cell>
          <cell r="D352" t="str">
            <v>Almo Tec Comercial Ltda - Me</v>
          </cell>
          <cell r="E352" t="str">
            <v>39.761.952</v>
          </cell>
          <cell r="F352" t="str">
            <v>39.761.952/0001-63</v>
          </cell>
        </row>
        <row r="353">
          <cell r="A353">
            <v>27279</v>
          </cell>
          <cell r="B353" t="str">
            <v>CORPORATION</v>
          </cell>
          <cell r="C353" t="str">
            <v>Rr Ferramentas Comercio Varejista De Pecas Automotivos Ltda</v>
          </cell>
          <cell r="D353" t="str">
            <v>Rr Ferramentas</v>
          </cell>
          <cell r="E353" t="str">
            <v>36.104.118</v>
          </cell>
          <cell r="F353" t="str">
            <v>36.104.118/0001-07</v>
          </cell>
        </row>
        <row r="354">
          <cell r="A354">
            <v>27291</v>
          </cell>
          <cell r="B354" t="str">
            <v>CORPORATION</v>
          </cell>
          <cell r="C354" t="str">
            <v>Uniarc Industria De Soldas Automaticas Ltda - Me</v>
          </cell>
          <cell r="D354" t="str">
            <v>Uniarc Industria De Soldas Automaticas</v>
          </cell>
          <cell r="E354" t="str">
            <v>05.879.436</v>
          </cell>
          <cell r="F354" t="str">
            <v>05.879.436/0001-16</v>
          </cell>
        </row>
        <row r="355">
          <cell r="A355">
            <v>27298</v>
          </cell>
          <cell r="B355" t="str">
            <v>CORPORATION</v>
          </cell>
          <cell r="C355" t="str">
            <v>Igor De Castro Goncalves 03470587108</v>
          </cell>
          <cell r="D355" t="str">
            <v>Icg Materiais</v>
          </cell>
          <cell r="E355" t="str">
            <v>41.193.693</v>
          </cell>
          <cell r="F355" t="str">
            <v>41.193.693/0001-63</v>
          </cell>
        </row>
        <row r="356">
          <cell r="A356">
            <v>27300</v>
          </cell>
          <cell r="B356" t="str">
            <v>CORPORATION</v>
          </cell>
          <cell r="C356" t="str">
            <v>Paixao &amp; Souza Comercio De Materiais De Construcao Ltda - Me</v>
          </cell>
          <cell r="D356" t="str">
            <v>Chale Lanches</v>
          </cell>
          <cell r="E356" t="str">
            <v>02.152.894</v>
          </cell>
          <cell r="F356" t="str">
            <v>02.152.894/0001-60</v>
          </cell>
        </row>
        <row r="357">
          <cell r="A357">
            <v>27303</v>
          </cell>
          <cell r="B357" t="str">
            <v>CORPORATION</v>
          </cell>
          <cell r="C357" t="str">
            <v>Torch Tools Maquinas E Ferramentas Ltda - Epp</v>
          </cell>
          <cell r="D357" t="str">
            <v>Torchtools</v>
          </cell>
          <cell r="E357" t="str">
            <v>08.318.836</v>
          </cell>
          <cell r="F357" t="str">
            <v>08.318.836/0001-40</v>
          </cell>
        </row>
        <row r="358">
          <cell r="A358">
            <v>27307</v>
          </cell>
          <cell r="B358" t="str">
            <v>CORPORATION</v>
          </cell>
          <cell r="C358" t="str">
            <v>Almeida Comercio Varejista De Material Eletrico Eireli</v>
          </cell>
          <cell r="D358" t="str">
            <v>Mm Distribuidora</v>
          </cell>
          <cell r="E358" t="str">
            <v>34.443.277</v>
          </cell>
          <cell r="F358" t="str">
            <v>34.443.277/0001-00</v>
          </cell>
        </row>
        <row r="359">
          <cell r="A359">
            <v>27312</v>
          </cell>
          <cell r="B359" t="str">
            <v>CORPORATION</v>
          </cell>
          <cell r="C359" t="str">
            <v>Jsm Eletrica Moura Eireli</v>
          </cell>
          <cell r="D359" t="str">
            <v>Eletrica Moura</v>
          </cell>
          <cell r="E359" t="str">
            <v>39.679.222</v>
          </cell>
          <cell r="F359" t="str">
            <v>39.679.222/0001-18</v>
          </cell>
        </row>
        <row r="360">
          <cell r="A360">
            <v>27313</v>
          </cell>
          <cell r="B360" t="str">
            <v>CORPORATION</v>
          </cell>
          <cell r="C360" t="str">
            <v>Gênova Indústria E Comércio De Balanças Ltda</v>
          </cell>
          <cell r="D360" t="str">
            <v>Gênova Indústria E Comércio De Balanças Ltda</v>
          </cell>
          <cell r="E360" t="str">
            <v>05.865.879</v>
          </cell>
          <cell r="F360" t="str">
            <v>05.865.879/0001-58</v>
          </cell>
        </row>
        <row r="361">
          <cell r="A361">
            <v>27314</v>
          </cell>
          <cell r="B361" t="str">
            <v>CORPORATION</v>
          </cell>
          <cell r="C361" t="str">
            <v>Plamantec Empreendimentos Ltda</v>
          </cell>
          <cell r="D361" t="str">
            <v>Plamantec</v>
          </cell>
          <cell r="E361" t="str">
            <v>03.806.983</v>
          </cell>
          <cell r="F361" t="str">
            <v>03.806.983/0001-46</v>
          </cell>
          <cell r="G361" t="str">
            <v>PLAMANTEC</v>
          </cell>
        </row>
        <row r="362">
          <cell r="A362">
            <v>27318</v>
          </cell>
          <cell r="B362" t="str">
            <v>CORPORATION</v>
          </cell>
          <cell r="C362" t="str">
            <v>Plamantec Comercio De Epi'S, Maquinas E Equipamentos E Materiais Para Obras</v>
          </cell>
          <cell r="D362" t="str">
            <v>Plamantec Engenharia, Comercio E Representacoes</v>
          </cell>
          <cell r="E362" t="str">
            <v>39.577.987</v>
          </cell>
          <cell r="F362" t="str">
            <v>39.577.987/0002-28</v>
          </cell>
          <cell r="G362" t="str">
            <v>PLAMANTEC</v>
          </cell>
        </row>
        <row r="363">
          <cell r="A363">
            <v>27326</v>
          </cell>
          <cell r="B363" t="str">
            <v>CORPORATION</v>
          </cell>
          <cell r="C363" t="str">
            <v>Irmaos Bartolomeu Ltda</v>
          </cell>
          <cell r="D363" t="str">
            <v>Bartolomeu Materiais Para Construcao</v>
          </cell>
          <cell r="E363" t="str">
            <v>48.524.219</v>
          </cell>
          <cell r="F363" t="str">
            <v>48.524.219/0001-16</v>
          </cell>
        </row>
        <row r="364">
          <cell r="A364">
            <v>27332</v>
          </cell>
          <cell r="B364" t="str">
            <v>CORPORATION</v>
          </cell>
          <cell r="C364" t="str">
            <v>Blumenfer Comercio De Soldas E Ferramentas Ltda - Me</v>
          </cell>
          <cell r="D364" t="str">
            <v>Blumenfer Comercio De Soldas E Ferramentas</v>
          </cell>
          <cell r="E364" t="str">
            <v>06.252.714</v>
          </cell>
          <cell r="F364" t="str">
            <v>06.252.714/0001-73</v>
          </cell>
        </row>
        <row r="365">
          <cell r="A365">
            <v>27338</v>
          </cell>
          <cell r="B365" t="str">
            <v>CORPORATION</v>
          </cell>
          <cell r="C365" t="str">
            <v>T Mendes De Freitas Materiais Para Construcao</v>
          </cell>
          <cell r="D365" t="str">
            <v>Construmax Materiais Para Construcao</v>
          </cell>
          <cell r="E365" t="str">
            <v>10.319.608</v>
          </cell>
          <cell r="F365" t="str">
            <v>10.319.608/0001-37</v>
          </cell>
        </row>
        <row r="366">
          <cell r="A366">
            <v>27339</v>
          </cell>
          <cell r="B366" t="str">
            <v>CORPORATION</v>
          </cell>
          <cell r="C366" t="str">
            <v>Fortmaq Ltda</v>
          </cell>
          <cell r="D366" t="str">
            <v>Fortmaq</v>
          </cell>
          <cell r="E366" t="str">
            <v>49.780.197</v>
          </cell>
          <cell r="F366" t="str">
            <v>49.780.197/0001-18</v>
          </cell>
          <cell r="G366" t="str">
            <v>FORTMAQ</v>
          </cell>
        </row>
        <row r="367">
          <cell r="A367">
            <v>27340</v>
          </cell>
          <cell r="B367" t="str">
            <v>CORPORATION</v>
          </cell>
          <cell r="C367" t="str">
            <v>A. Lopes Comercio De Maquinas Eireli - Me</v>
          </cell>
          <cell r="D367" t="str">
            <v>Mactec Maquinas &amp; Ferramentas</v>
          </cell>
          <cell r="E367" t="str">
            <v>14.116.555</v>
          </cell>
          <cell r="F367" t="str">
            <v>14.116.555/0001-08</v>
          </cell>
        </row>
        <row r="368">
          <cell r="A368">
            <v>27345</v>
          </cell>
          <cell r="B368" t="str">
            <v>CORPORATION</v>
          </cell>
          <cell r="C368" t="str">
            <v>Aco Italia Industria Metalurgica Ltda</v>
          </cell>
          <cell r="D368" t="str">
            <v>Aco Italia</v>
          </cell>
          <cell r="E368" t="str">
            <v>01.982.960</v>
          </cell>
          <cell r="F368" t="str">
            <v>01.982.960/0001-67</v>
          </cell>
        </row>
        <row r="369">
          <cell r="A369">
            <v>27348</v>
          </cell>
          <cell r="B369" t="str">
            <v>CORPORATION</v>
          </cell>
          <cell r="C369" t="str">
            <v>Construlok Servicos E Locacoes Ltda</v>
          </cell>
          <cell r="D369" t="str">
            <v>Construlok</v>
          </cell>
          <cell r="E369" t="str">
            <v>30.636.704</v>
          </cell>
          <cell r="F369" t="str">
            <v>30.636.704/0001-16</v>
          </cell>
        </row>
        <row r="370">
          <cell r="A370">
            <v>27349</v>
          </cell>
          <cell r="B370" t="str">
            <v>CORPORATION</v>
          </cell>
          <cell r="C370" t="str">
            <v>Lion Comercio E Locacao De Equipamentos Ltda - Me</v>
          </cell>
          <cell r="D370" t="str">
            <v>Lion Comercio E Locacao</v>
          </cell>
          <cell r="E370" t="str">
            <v>06.351.499</v>
          </cell>
          <cell r="F370" t="str">
            <v>06.351.499/0001-68</v>
          </cell>
        </row>
        <row r="371">
          <cell r="A371">
            <v>27361</v>
          </cell>
          <cell r="B371" t="str">
            <v>CORPORATION</v>
          </cell>
          <cell r="C371" t="str">
            <v>Tatiana Braga Da Rocha 82387150082</v>
          </cell>
          <cell r="D371" t="str">
            <v>Tbr Ferramentas</v>
          </cell>
          <cell r="E371" t="str">
            <v>41.390.579</v>
          </cell>
          <cell r="F371" t="str">
            <v>41.390.579/0001-23</v>
          </cell>
          <cell r="G371" t="str">
            <v>TB FERRAMENTAS</v>
          </cell>
        </row>
        <row r="372">
          <cell r="A372">
            <v>27365</v>
          </cell>
          <cell r="B372" t="str">
            <v>CORPORATION</v>
          </cell>
          <cell r="C372" t="str">
            <v>Elizandra Braga Da Rocha 81393687091</v>
          </cell>
          <cell r="D372" t="str">
            <v>Tb Ferramentas</v>
          </cell>
          <cell r="E372" t="str">
            <v>36.543.295</v>
          </cell>
          <cell r="F372" t="str">
            <v>36.543.295/0001-90</v>
          </cell>
          <cell r="G372" t="str">
            <v>TB FERRAMENTAS</v>
          </cell>
        </row>
        <row r="373">
          <cell r="A373">
            <v>27366</v>
          </cell>
          <cell r="B373" t="str">
            <v>CORPORATION</v>
          </cell>
          <cell r="C373" t="str">
            <v>Solda Ferragens Ferramentas E Maquinas Ltda - Me</v>
          </cell>
          <cell r="D373" t="str">
            <v>Solda Mais Ferragens</v>
          </cell>
          <cell r="E373" t="str">
            <v>16.436.615</v>
          </cell>
          <cell r="F373" t="str">
            <v>16.436.615/0001-03</v>
          </cell>
        </row>
        <row r="374">
          <cell r="A374">
            <v>27368</v>
          </cell>
          <cell r="B374" t="str">
            <v>CORPORATION</v>
          </cell>
          <cell r="C374" t="str">
            <v>Marco Antonio De Oliveira</v>
          </cell>
          <cell r="D374" t="str">
            <v>Servittec</v>
          </cell>
          <cell r="E374" t="str">
            <v>04.152.984</v>
          </cell>
          <cell r="F374" t="str">
            <v>04.152.984/0001-87</v>
          </cell>
        </row>
        <row r="375">
          <cell r="A375">
            <v>27371</v>
          </cell>
          <cell r="B375" t="str">
            <v>CORPORATION</v>
          </cell>
          <cell r="C375" t="str">
            <v>J. E. De Oliveira Eireli</v>
          </cell>
          <cell r="D375" t="str">
            <v>Pioneira Borracha</v>
          </cell>
          <cell r="E375" t="str">
            <v>10.932.740</v>
          </cell>
          <cell r="F375" t="str">
            <v>10.932.740/0001-10</v>
          </cell>
        </row>
        <row r="376">
          <cell r="A376">
            <v>27374</v>
          </cell>
          <cell r="B376" t="str">
            <v>CORPORATION</v>
          </cell>
          <cell r="C376" t="str">
            <v>Marim Parafusos Ltda - Me</v>
          </cell>
          <cell r="D376" t="str">
            <v>Marim Parafusos Ltda - Me</v>
          </cell>
          <cell r="E376" t="str">
            <v>04.683.711</v>
          </cell>
          <cell r="F376" t="str">
            <v>04.683.711/0001-69</v>
          </cell>
        </row>
        <row r="377">
          <cell r="A377">
            <v>27376</v>
          </cell>
          <cell r="B377" t="str">
            <v>CORPORATION</v>
          </cell>
          <cell r="C377" t="str">
            <v>Jaqueline Pereira De Araujo Noronha Casa Do Metalurgico E Equipamentos De Protecao Individual Eireli</v>
          </cell>
          <cell r="D377" t="str">
            <v>Casa Do Metalurgico Tudo Em Soldas E Epi'S</v>
          </cell>
          <cell r="E377" t="str">
            <v>33.577.455</v>
          </cell>
          <cell r="F377" t="str">
            <v>33.577.455/0001-23</v>
          </cell>
        </row>
        <row r="378">
          <cell r="A378">
            <v>27384</v>
          </cell>
          <cell r="B378" t="str">
            <v>CORPORATION</v>
          </cell>
          <cell r="C378" t="str">
            <v>Vc. Dos Santos - Me</v>
          </cell>
          <cell r="D378" t="str">
            <v>Vc. Dos Santos - Me</v>
          </cell>
          <cell r="E378" t="str">
            <v>19.147.626</v>
          </cell>
          <cell r="F378" t="str">
            <v>19.147.626/0001-53</v>
          </cell>
        </row>
        <row r="379">
          <cell r="A379">
            <v>27387</v>
          </cell>
          <cell r="B379" t="str">
            <v>CORPORATION</v>
          </cell>
          <cell r="C379" t="str">
            <v>Goncalves &amp; Barbosa Ltda - Epp</v>
          </cell>
          <cell r="D379" t="str">
            <v>Eletroserv Ferramentas</v>
          </cell>
          <cell r="E379" t="str">
            <v>08.389.195</v>
          </cell>
          <cell r="F379" t="str">
            <v>08.389.195/0001-15</v>
          </cell>
          <cell r="G379" t="str">
            <v>ELETROSERV FERRAMENTAS</v>
          </cell>
        </row>
        <row r="380">
          <cell r="A380">
            <v>27391</v>
          </cell>
          <cell r="B380" t="str">
            <v>CORPORATION</v>
          </cell>
          <cell r="C380" t="str">
            <v>Rosenilde Dos Santos De Souza 09538733746</v>
          </cell>
          <cell r="D380" t="str">
            <v>L.S.N. Maquinas E Ferramentas</v>
          </cell>
          <cell r="E380" t="str">
            <v>41.639.107</v>
          </cell>
          <cell r="F380" t="str">
            <v>41.639.107/0001-61</v>
          </cell>
        </row>
        <row r="381">
          <cell r="A381">
            <v>27399</v>
          </cell>
          <cell r="B381" t="str">
            <v>CORPORATION</v>
          </cell>
          <cell r="C381" t="str">
            <v>Comercio E Representacoes Agropecuaria Ltda - Epp</v>
          </cell>
          <cell r="D381" t="str">
            <v>Comercio E Representacoes Agropecuaria Ltda - Epp</v>
          </cell>
          <cell r="E381" t="str">
            <v>01.008.019</v>
          </cell>
          <cell r="F381" t="str">
            <v>01.008.019/0001-47</v>
          </cell>
        </row>
        <row r="382">
          <cell r="A382">
            <v>27400</v>
          </cell>
          <cell r="B382" t="str">
            <v>CORPORATION</v>
          </cell>
          <cell r="C382" t="str">
            <v>Multiagro Agronegocios &amp; Comercio Servico Ltda Me</v>
          </cell>
          <cell r="D382" t="str">
            <v>Multiagro</v>
          </cell>
          <cell r="E382" t="str">
            <v>12.587.301</v>
          </cell>
          <cell r="F382" t="str">
            <v>12.587.301/0001-42</v>
          </cell>
          <cell r="G382" t="str">
            <v>MULTIAGRO</v>
          </cell>
        </row>
        <row r="383">
          <cell r="A383">
            <v>27401</v>
          </cell>
          <cell r="B383" t="str">
            <v>CORPORATION</v>
          </cell>
          <cell r="C383" t="str">
            <v>Vicker &amp; Uicker Ltda - Me</v>
          </cell>
          <cell r="D383" t="str">
            <v>Merizio &amp; Moreira Ltda</v>
          </cell>
          <cell r="E383" t="str">
            <v>03.854.076</v>
          </cell>
          <cell r="F383" t="str">
            <v>03.854.076/0001-72</v>
          </cell>
        </row>
        <row r="384">
          <cell r="A384">
            <v>27407</v>
          </cell>
          <cell r="B384" t="str">
            <v>CORPORATION</v>
          </cell>
          <cell r="C384" t="str">
            <v>Parafusos Pegaso Ltda</v>
          </cell>
          <cell r="D384" t="str">
            <v>Parafusos Pegaso Ltda</v>
          </cell>
          <cell r="E384" t="str">
            <v>44.348.373</v>
          </cell>
          <cell r="F384" t="str">
            <v>44.348.373/0001-23</v>
          </cell>
        </row>
        <row r="385">
          <cell r="A385">
            <v>27408</v>
          </cell>
          <cell r="B385" t="str">
            <v>CORPORATION</v>
          </cell>
          <cell r="C385" t="str">
            <v>Feval Hidraulica E Eletrica Ltda - Me</v>
          </cell>
          <cell r="D385" t="str">
            <v>Feval Hidraulica E Eletrica</v>
          </cell>
          <cell r="E385" t="str">
            <v>01.446.612</v>
          </cell>
          <cell r="F385" t="str">
            <v>01.446.612/0001-75</v>
          </cell>
        </row>
        <row r="386">
          <cell r="A386">
            <v>27411</v>
          </cell>
          <cell r="B386" t="str">
            <v>CORPORATION</v>
          </cell>
          <cell r="C386" t="str">
            <v>Vega Maquinas E Equipamentos Ltda</v>
          </cell>
          <cell r="D386" t="str">
            <v>Vega Maquinas</v>
          </cell>
          <cell r="E386" t="str">
            <v>53.291.258</v>
          </cell>
          <cell r="F386" t="str">
            <v>53.291.258/0001-50</v>
          </cell>
        </row>
        <row r="387">
          <cell r="A387">
            <v>27412</v>
          </cell>
          <cell r="B387" t="str">
            <v>CORPORATION</v>
          </cell>
          <cell r="C387" t="str">
            <v>Alvo - Empreiteira Ltda</v>
          </cell>
          <cell r="D387" t="str">
            <v>Alvo - Empreiteira Ltda</v>
          </cell>
          <cell r="E387" t="str">
            <v>42.606.134</v>
          </cell>
          <cell r="F387" t="str">
            <v>42.606.134/0001-09</v>
          </cell>
        </row>
        <row r="388">
          <cell r="A388">
            <v>27413</v>
          </cell>
          <cell r="B388" t="str">
            <v>CORPORATION</v>
          </cell>
          <cell r="C388" t="str">
            <v>Casa Gama Ferragens Ltda</v>
          </cell>
          <cell r="D388" t="str">
            <v>Casa Gama</v>
          </cell>
          <cell r="E388" t="str">
            <v>26.996.094</v>
          </cell>
          <cell r="F388" t="str">
            <v>26.996.094/0001-94</v>
          </cell>
        </row>
        <row r="389">
          <cell r="A389">
            <v>27414</v>
          </cell>
          <cell r="B389" t="str">
            <v>CORPORATION</v>
          </cell>
          <cell r="C389" t="str">
            <v>Comercial Rodaviva Ltda - Me</v>
          </cell>
          <cell r="D389" t="str">
            <v>Roda Viva</v>
          </cell>
          <cell r="E389" t="str">
            <v>59.552.000</v>
          </cell>
          <cell r="F389" t="str">
            <v>59.552.000/0001-47</v>
          </cell>
        </row>
        <row r="390">
          <cell r="A390">
            <v>27416</v>
          </cell>
          <cell r="B390" t="str">
            <v>CORPORATION</v>
          </cell>
          <cell r="C390" t="str">
            <v>West Soldas Ltda</v>
          </cell>
          <cell r="D390" t="str">
            <v>West Soldas Ltda</v>
          </cell>
          <cell r="E390" t="str">
            <v>40.158.118</v>
          </cell>
          <cell r="F390" t="str">
            <v>40.158.118/0001-67</v>
          </cell>
        </row>
        <row r="391">
          <cell r="A391">
            <v>27418</v>
          </cell>
          <cell r="B391" t="str">
            <v>CORPORATION</v>
          </cell>
          <cell r="C391" t="str">
            <v>Rodrigo Mesquita - Epp</v>
          </cell>
          <cell r="D391" t="str">
            <v>Casa Dos Parafusos</v>
          </cell>
          <cell r="E391" t="str">
            <v>07.871.359</v>
          </cell>
          <cell r="F391" t="str">
            <v>07.871.359/0001-83</v>
          </cell>
        </row>
        <row r="392">
          <cell r="A392">
            <v>27427</v>
          </cell>
          <cell r="B392" t="str">
            <v>CORPORATION</v>
          </cell>
          <cell r="C392" t="str">
            <v>Campofer Comercio De Ferramentas Ltda - Me</v>
          </cell>
          <cell r="D392" t="str">
            <v>Casa Dos Parafusos</v>
          </cell>
          <cell r="E392" t="str">
            <v>09.416.385</v>
          </cell>
          <cell r="F392" t="str">
            <v>09.416.385/0001-47</v>
          </cell>
        </row>
        <row r="393">
          <cell r="A393">
            <v>27432</v>
          </cell>
          <cell r="B393" t="str">
            <v>CORPORATION</v>
          </cell>
          <cell r="C393" t="str">
            <v>Casa Da Solda Comercio De Abrasivos Ltda</v>
          </cell>
          <cell r="D393" t="str">
            <v>Casa Da Solda Comercio De Abrasivos Ltda</v>
          </cell>
          <cell r="E393" t="str">
            <v>81.112.435</v>
          </cell>
          <cell r="F393" t="str">
            <v>81.112.435/0001-20</v>
          </cell>
        </row>
        <row r="394">
          <cell r="A394">
            <v>27434</v>
          </cell>
          <cell r="B394" t="str">
            <v>CORPORATION</v>
          </cell>
          <cell r="C394" t="str">
            <v>I J L Comercio De Maquinas Ltda</v>
          </cell>
          <cell r="D394" t="str">
            <v>I J L Comercio De Maquinas Ltda</v>
          </cell>
          <cell r="E394" t="str">
            <v>82.218.868</v>
          </cell>
          <cell r="F394" t="str">
            <v>82.218.868/0001-27</v>
          </cell>
        </row>
        <row r="395">
          <cell r="A395">
            <v>27437</v>
          </cell>
          <cell r="B395" t="str">
            <v>CORPORATION</v>
          </cell>
          <cell r="C395" t="str">
            <v>Rockenbach-Ferragens E Maquinas Ltda</v>
          </cell>
          <cell r="D395" t="str">
            <v>Rockenbach-Ferragens E Maquinas Ltda</v>
          </cell>
          <cell r="E395" t="str">
            <v>77.879.005</v>
          </cell>
          <cell r="F395" t="str">
            <v>77.879.005/0001-60</v>
          </cell>
        </row>
        <row r="396">
          <cell r="A396">
            <v>27440</v>
          </cell>
          <cell r="B396" t="str">
            <v>CORPORATION</v>
          </cell>
          <cell r="C396" t="str">
            <v>Sm Abrasivos Maquinas E Ferramentas Ltda</v>
          </cell>
          <cell r="D396" t="str">
            <v>Sm Abrasivos</v>
          </cell>
          <cell r="E396" t="str">
            <v>07.486.628</v>
          </cell>
          <cell r="F396" t="str">
            <v>07.486.628/0001-98</v>
          </cell>
        </row>
        <row r="397">
          <cell r="A397">
            <v>27441</v>
          </cell>
          <cell r="B397" t="str">
            <v>CORPORATION</v>
          </cell>
          <cell r="C397" t="str">
            <v>Realmaq Ltda</v>
          </cell>
          <cell r="D397" t="str">
            <v>Real Maq</v>
          </cell>
          <cell r="E397" t="str">
            <v>41.125.739</v>
          </cell>
          <cell r="F397" t="str">
            <v>41.125.739/0001-07</v>
          </cell>
        </row>
        <row r="398">
          <cell r="A398">
            <v>27445</v>
          </cell>
          <cell r="B398" t="str">
            <v>CORPORATION</v>
          </cell>
          <cell r="C398" t="str">
            <v>Contornocerto Comercio De Materiais De Construcao Ltda - Epp</v>
          </cell>
          <cell r="D398" t="str">
            <v>Contornocerto Materiais De Construcao</v>
          </cell>
          <cell r="E398" t="str">
            <v>02.044.507</v>
          </cell>
          <cell r="F398" t="str">
            <v>02.044.507/0001-72</v>
          </cell>
        </row>
        <row r="399">
          <cell r="A399">
            <v>27450</v>
          </cell>
          <cell r="B399" t="str">
            <v>CORPORATION</v>
          </cell>
          <cell r="C399" t="str">
            <v>Macriwan Acabamentos E Ferramentas Ltda - Epp</v>
          </cell>
          <cell r="D399" t="str">
            <v>Casa Das Ferramentas</v>
          </cell>
          <cell r="E399" t="str">
            <v>39.240.114</v>
          </cell>
          <cell r="F399" t="str">
            <v>39.240.114/0001-44</v>
          </cell>
        </row>
        <row r="400">
          <cell r="A400">
            <v>27452</v>
          </cell>
          <cell r="B400" t="str">
            <v>CORPORATION</v>
          </cell>
          <cell r="C400" t="str">
            <v>Mgf-Comercio E Servicos Ltda</v>
          </cell>
          <cell r="D400" t="str">
            <v>Mgf-Comercio E Servicos Ltda</v>
          </cell>
          <cell r="E400" t="str">
            <v>01.892.448</v>
          </cell>
          <cell r="F400" t="str">
            <v>01.892.448/0001-20</v>
          </cell>
        </row>
        <row r="401">
          <cell r="A401">
            <v>27462</v>
          </cell>
          <cell r="B401" t="str">
            <v>CORPORATION</v>
          </cell>
          <cell r="C401" t="str">
            <v>Forster Industria E Comercio Ltda - Me</v>
          </cell>
          <cell r="D401" t="str">
            <v>Forster Industria E Comercio Ltda - Me</v>
          </cell>
          <cell r="E401" t="str">
            <v>02.116.627</v>
          </cell>
          <cell r="F401" t="str">
            <v>02.116.627/0001-38</v>
          </cell>
        </row>
        <row r="402">
          <cell r="A402">
            <v>27465</v>
          </cell>
          <cell r="B402" t="str">
            <v>CORPORATION</v>
          </cell>
          <cell r="C402" t="str">
            <v>Soldabem Com. E Repres. Ltda - Epp</v>
          </cell>
          <cell r="D402" t="str">
            <v>Soldabem Com.E Repres.</v>
          </cell>
          <cell r="E402" t="str">
            <v>05.160.687</v>
          </cell>
          <cell r="F402" t="str">
            <v>05.160.687/0001-46</v>
          </cell>
        </row>
        <row r="403">
          <cell r="A403">
            <v>27466</v>
          </cell>
          <cell r="B403" t="str">
            <v>CORPORATION</v>
          </cell>
          <cell r="C403" t="str">
            <v>Bott &amp; Cia Ltda</v>
          </cell>
          <cell r="D403" t="str">
            <v>Bott Ferragens</v>
          </cell>
          <cell r="E403" t="str">
            <v>67.471.417</v>
          </cell>
          <cell r="F403" t="str">
            <v>67.471.417/0001-03</v>
          </cell>
        </row>
        <row r="404">
          <cell r="A404">
            <v>27468</v>
          </cell>
          <cell r="B404" t="str">
            <v>CORPORATION</v>
          </cell>
          <cell r="C404" t="str">
            <v>Er Comercial - Materiais Para Solda Ltda</v>
          </cell>
          <cell r="D404" t="str">
            <v>Eduar</v>
          </cell>
          <cell r="E404" t="str">
            <v>15.135.292</v>
          </cell>
          <cell r="F404" t="str">
            <v>15.135.292/0001-47</v>
          </cell>
          <cell r="G404" t="str">
            <v>EDUAR</v>
          </cell>
        </row>
        <row r="405">
          <cell r="A405">
            <v>27477</v>
          </cell>
          <cell r="B405" t="str">
            <v>CORPORATION</v>
          </cell>
          <cell r="C405" t="str">
            <v>Rm Ferramentas Ltda - Me</v>
          </cell>
          <cell r="D405" t="str">
            <v>Supersolda Ferramentas</v>
          </cell>
          <cell r="E405" t="str">
            <v>11.405.179</v>
          </cell>
          <cell r="F405" t="str">
            <v>11.405.179/0001-83</v>
          </cell>
        </row>
        <row r="406">
          <cell r="A406">
            <v>27478</v>
          </cell>
          <cell r="B406" t="str">
            <v>CORPORATION</v>
          </cell>
          <cell r="C406" t="str">
            <v>Leiliane Xavier De Morais Silva</v>
          </cell>
          <cell r="D406" t="str">
            <v>Ferragista E Racoes Casa Nova</v>
          </cell>
          <cell r="E406" t="str">
            <v>07.592.079</v>
          </cell>
          <cell r="F406" t="str">
            <v>07.592.079/0001-36</v>
          </cell>
        </row>
        <row r="407">
          <cell r="A407">
            <v>27480</v>
          </cell>
          <cell r="B407" t="str">
            <v>CORPORATION</v>
          </cell>
          <cell r="C407" t="str">
            <v>Triade 19 Comercio De Maquinas E Aluguel De Equipamentos Ltda</v>
          </cell>
          <cell r="D407" t="str">
            <v>Casa Do Construtor Americana</v>
          </cell>
          <cell r="E407" t="str">
            <v>06.138.823</v>
          </cell>
          <cell r="F407" t="str">
            <v>06.138.823/0001-64</v>
          </cell>
        </row>
        <row r="408">
          <cell r="A408">
            <v>27487</v>
          </cell>
          <cell r="B408" t="str">
            <v>CORPORATION</v>
          </cell>
          <cell r="C408" t="str">
            <v>Trevine &amp; Filhos Ltda</v>
          </cell>
          <cell r="D408" t="str">
            <v>Trevine Home Center</v>
          </cell>
          <cell r="E408" t="str">
            <v>02.036.099</v>
          </cell>
          <cell r="F408" t="str">
            <v>02.036.099/0001-07</v>
          </cell>
        </row>
        <row r="409">
          <cell r="A409">
            <v>27491</v>
          </cell>
          <cell r="B409" t="str">
            <v>CORPORATION</v>
          </cell>
          <cell r="C409" t="str">
            <v>Dark Comercio De Ferramentas E Autopecas Ltda - Epp</v>
          </cell>
          <cell r="D409" t="str">
            <v>Dark Comercio De Ferramentas E Autopecas</v>
          </cell>
          <cell r="E409" t="str">
            <v>50.111.673</v>
          </cell>
          <cell r="F409" t="str">
            <v>50.111.673/0001-97</v>
          </cell>
        </row>
        <row r="410">
          <cell r="A410">
            <v>27492</v>
          </cell>
          <cell r="B410" t="str">
            <v>CORPORATION</v>
          </cell>
          <cell r="C410" t="str">
            <v>Mercadao Dos Parafusos Ltda</v>
          </cell>
          <cell r="D410" t="str">
            <v>Mercadao Dos Parafusos Ltda</v>
          </cell>
          <cell r="E410" t="str">
            <v>24.434.631</v>
          </cell>
          <cell r="F410" t="str">
            <v>24.434.631/0001-87</v>
          </cell>
        </row>
        <row r="411">
          <cell r="A411">
            <v>27493</v>
          </cell>
          <cell r="B411" t="str">
            <v>CORPORATION</v>
          </cell>
          <cell r="C411" t="str">
            <v>Ferragens Toniolo Ltda</v>
          </cell>
          <cell r="D411" t="str">
            <v>Ferragens Toniolo Ltda</v>
          </cell>
          <cell r="E411" t="str">
            <v>03.689.570</v>
          </cell>
          <cell r="F411" t="str">
            <v>03.689.570/0001-29</v>
          </cell>
        </row>
        <row r="412">
          <cell r="A412">
            <v>27497</v>
          </cell>
          <cell r="B412" t="str">
            <v>CORPORATION</v>
          </cell>
          <cell r="C412" t="str">
            <v>A.N.T. - Ferramentas Comercial E Importadora Ltda</v>
          </cell>
          <cell r="D412" t="str">
            <v>A N T Ferramentas</v>
          </cell>
          <cell r="E412" t="str">
            <v>74.671.991</v>
          </cell>
          <cell r="F412" t="str">
            <v>74.671.991/0001-70</v>
          </cell>
        </row>
        <row r="413">
          <cell r="A413">
            <v>27500</v>
          </cell>
          <cell r="B413" t="str">
            <v>CORPORATION</v>
          </cell>
          <cell r="C413" t="str">
            <v>Mella &amp; Cia Ltda</v>
          </cell>
          <cell r="D413" t="str">
            <v>Mella &amp; Cia Ltda</v>
          </cell>
          <cell r="E413" t="str">
            <v>76.000.207</v>
          </cell>
          <cell r="F413" t="str">
            <v>76.000.207/0001-28</v>
          </cell>
        </row>
        <row r="414">
          <cell r="A414">
            <v>27503</v>
          </cell>
          <cell r="B414" t="str">
            <v>CORPORATION</v>
          </cell>
          <cell r="C414" t="str">
            <v>P R Vendruscolo &amp; Cia Ltda</v>
          </cell>
          <cell r="D414" t="str">
            <v>P R Vendruscolo &amp; Cia Ltda</v>
          </cell>
          <cell r="E414" t="str">
            <v>05.073.749</v>
          </cell>
          <cell r="F414" t="str">
            <v>05.073.749/0001-82</v>
          </cell>
        </row>
        <row r="415">
          <cell r="A415">
            <v>27506</v>
          </cell>
          <cell r="B415" t="str">
            <v>CORPORATION</v>
          </cell>
          <cell r="C415" t="str">
            <v>Mhf Do Parana Parafusos E Ferramentas Ltda</v>
          </cell>
          <cell r="D415" t="str">
            <v>Mhf Do Parana Parafusos E Ferramentas Ltda</v>
          </cell>
          <cell r="E415" t="str">
            <v>76.029.024</v>
          </cell>
          <cell r="F415" t="str">
            <v>76.029.024/0001-35</v>
          </cell>
        </row>
        <row r="416">
          <cell r="A416">
            <v>27509</v>
          </cell>
          <cell r="B416" t="str">
            <v>CORPORATION</v>
          </cell>
          <cell r="C416" t="str">
            <v>Vrpar Distribuidora De Materiais Para Construcao Ltda - Me</v>
          </cell>
          <cell r="D416" t="str">
            <v>Vrpar Distribuidora De Materiais Para Construcao Ltda - Me</v>
          </cell>
          <cell r="E416" t="str">
            <v>04.240.670</v>
          </cell>
          <cell r="F416" t="str">
            <v>04.240.670/0001-36</v>
          </cell>
        </row>
        <row r="417">
          <cell r="A417">
            <v>27513</v>
          </cell>
          <cell r="B417" t="str">
            <v>CORPORATION</v>
          </cell>
          <cell r="C417" t="str">
            <v>Central Das Mangueiras Ferragens E Parafusos Ltda</v>
          </cell>
          <cell r="D417" t="str">
            <v>Central Das Mangueiras</v>
          </cell>
          <cell r="E417" t="str">
            <v>41.504.230</v>
          </cell>
          <cell r="F417" t="str">
            <v>41.504.230/0001-75</v>
          </cell>
        </row>
        <row r="418">
          <cell r="A418">
            <v>27514</v>
          </cell>
          <cell r="B418" t="str">
            <v>CORPORATION</v>
          </cell>
          <cell r="C418" t="str">
            <v>Willytec Comercio E Servicos De Ferramentas E Maquinas Ltda</v>
          </cell>
          <cell r="D418" t="str">
            <v>Willytec Comercio E Servicos De Ferramentas E Maquinas Ltda</v>
          </cell>
          <cell r="E418" t="str">
            <v>10.941.014</v>
          </cell>
          <cell r="F418" t="str">
            <v>10.941.014/0001-63</v>
          </cell>
        </row>
        <row r="419">
          <cell r="A419">
            <v>27516</v>
          </cell>
          <cell r="B419" t="str">
            <v>CORPORATION</v>
          </cell>
          <cell r="C419" t="str">
            <v>Eletro Motortec Ltda - Epp</v>
          </cell>
          <cell r="D419" t="str">
            <v>Eletro Motortec Ltda - Epp</v>
          </cell>
          <cell r="E419" t="str">
            <v>77.143.576</v>
          </cell>
          <cell r="F419" t="str">
            <v>77.143.576/0001-32</v>
          </cell>
        </row>
        <row r="420">
          <cell r="A420">
            <v>27517</v>
          </cell>
          <cell r="B420" t="str">
            <v>CORPORATION</v>
          </cell>
          <cell r="C420" t="str">
            <v>Maconfer Ltda</v>
          </cell>
          <cell r="D420" t="str">
            <v>Maconfer Ltda</v>
          </cell>
          <cell r="E420" t="str">
            <v>21.801.451</v>
          </cell>
          <cell r="F420" t="str">
            <v>21.801.451/0001-06</v>
          </cell>
        </row>
        <row r="421">
          <cell r="A421">
            <v>27522</v>
          </cell>
          <cell r="B421" t="str">
            <v>CORPORATION</v>
          </cell>
          <cell r="C421" t="str">
            <v>Osnimaq Ltda Me</v>
          </cell>
          <cell r="D421" t="str">
            <v>On Ferramentas</v>
          </cell>
          <cell r="E421" t="str">
            <v>02.828.278</v>
          </cell>
          <cell r="F421" t="str">
            <v>02.828.278/0001-87</v>
          </cell>
        </row>
        <row r="422">
          <cell r="A422">
            <v>27523</v>
          </cell>
          <cell r="B422" t="str">
            <v>CORPORATION</v>
          </cell>
          <cell r="C422" t="str">
            <v>Dimaco Distribuidora De Maquinas De Corte Ltda</v>
          </cell>
          <cell r="D422" t="str">
            <v>Dimaco Distribuidora De Maquinas De Corte Ltda</v>
          </cell>
          <cell r="E422" t="str">
            <v>76.860.428</v>
          </cell>
          <cell r="F422" t="str">
            <v>76.860.428/0001-76</v>
          </cell>
        </row>
        <row r="423">
          <cell r="A423">
            <v>27526</v>
          </cell>
          <cell r="B423" t="str">
            <v>CORPORATION</v>
          </cell>
          <cell r="C423" t="str">
            <v>Dismafe Ferramentas Ltda.</v>
          </cell>
          <cell r="D423" t="str">
            <v>Dismafe Ferramentas Ltda.</v>
          </cell>
          <cell r="E423" t="str">
            <v>82.028.002</v>
          </cell>
          <cell r="F423" t="str">
            <v>82.028.002/0001-53</v>
          </cell>
        </row>
        <row r="424">
          <cell r="A424">
            <v>27532</v>
          </cell>
          <cell r="B424" t="str">
            <v>CORPORATION</v>
          </cell>
          <cell r="C424" t="str">
            <v>W Chimiloski &amp; Cia Ltda</v>
          </cell>
          <cell r="D424" t="str">
            <v>W Chimiloski &amp; Cia Ltda</v>
          </cell>
          <cell r="E424" t="str">
            <v>10.778.262</v>
          </cell>
          <cell r="F424" t="str">
            <v>10.778.262/0001-35</v>
          </cell>
        </row>
        <row r="425">
          <cell r="A425">
            <v>27535</v>
          </cell>
          <cell r="B425" t="str">
            <v>CORPORATION</v>
          </cell>
          <cell r="C425" t="str">
            <v>Fremix Pavimentação E Construções Ltda</v>
          </cell>
          <cell r="D425" t="str">
            <v>Fremix Pavimentação E Construções Ltda</v>
          </cell>
          <cell r="E425" t="str">
            <v>01.065.014</v>
          </cell>
          <cell r="F425" t="str">
            <v>01.065.014/0001-56</v>
          </cell>
        </row>
        <row r="426">
          <cell r="A426">
            <v>27536</v>
          </cell>
          <cell r="B426" t="str">
            <v>CORPORATION</v>
          </cell>
          <cell r="C426" t="str">
            <v>Prsoldas Maquinas E Ferramentas Ltda</v>
          </cell>
          <cell r="D426" t="str">
            <v>Prsoldas Maquinas E Ferramentas Ltda</v>
          </cell>
          <cell r="E426" t="str">
            <v>04.222.991</v>
          </cell>
          <cell r="F426" t="str">
            <v>04.222.991/0001-08</v>
          </cell>
        </row>
        <row r="427">
          <cell r="A427">
            <v>27538</v>
          </cell>
          <cell r="B427" t="str">
            <v>CORPORATION</v>
          </cell>
          <cell r="C427" t="str">
            <v>So Soldas Ltda</v>
          </cell>
          <cell r="D427" t="str">
            <v>So Soldas Ltda</v>
          </cell>
          <cell r="E427" t="str">
            <v>48.867.804</v>
          </cell>
          <cell r="F427" t="str">
            <v>48.867.804/0001-19</v>
          </cell>
        </row>
        <row r="428">
          <cell r="A428">
            <v>27539</v>
          </cell>
          <cell r="B428" t="str">
            <v>CORPORATION</v>
          </cell>
          <cell r="C428" t="str">
            <v>Pafemar Ferramentas Especiais Automotivas Ltda - Me</v>
          </cell>
          <cell r="D428" t="str">
            <v>Pafemar Ferramentas Especiais Automotivas Ltda</v>
          </cell>
          <cell r="E428" t="str">
            <v>33.733.296</v>
          </cell>
          <cell r="F428" t="str">
            <v>33.733.296/0001-09</v>
          </cell>
        </row>
        <row r="429">
          <cell r="A429">
            <v>27541</v>
          </cell>
          <cell r="B429" t="str">
            <v>CORPORATION</v>
          </cell>
          <cell r="C429" t="str">
            <v>Anilton Dos Santos &amp; Aguiar Ltda</v>
          </cell>
          <cell r="D429" t="str">
            <v>Anilton Dos Santos &amp; Aguiar Ltdav</v>
          </cell>
          <cell r="E429" t="str">
            <v>81.223.091</v>
          </cell>
          <cell r="F429" t="str">
            <v>81.223.091/0001-26</v>
          </cell>
        </row>
        <row r="430">
          <cell r="A430">
            <v>27543</v>
          </cell>
          <cell r="B430" t="str">
            <v>CORPORATION</v>
          </cell>
          <cell r="C430" t="str">
            <v>E. R. J. Carvalho - Me</v>
          </cell>
          <cell r="D430" t="str">
            <v>Rethiar - Compressores E Bombas</v>
          </cell>
          <cell r="E430" t="str">
            <v>06.160.692</v>
          </cell>
          <cell r="F430" t="str">
            <v>06.160.692/0001-11</v>
          </cell>
        </row>
        <row r="431">
          <cell r="A431">
            <v>27546</v>
          </cell>
          <cell r="B431" t="str">
            <v>CORPORATION</v>
          </cell>
          <cell r="C431" t="str">
            <v>Casa Das Lixas Ltda</v>
          </cell>
          <cell r="D431" t="str">
            <v>Casa Das Lixas Ltda</v>
          </cell>
          <cell r="E431" t="str">
            <v>80.045.099</v>
          </cell>
          <cell r="F431" t="str">
            <v>80.045.099/0001-87</v>
          </cell>
        </row>
        <row r="432">
          <cell r="A432">
            <v>27549</v>
          </cell>
          <cell r="B432" t="str">
            <v>CORPORATION</v>
          </cell>
          <cell r="C432" t="str">
            <v>Comercio De Ferragens Palmafer Ltda - Epp</v>
          </cell>
          <cell r="D432" t="str">
            <v>Palmafer Parafusos</v>
          </cell>
          <cell r="E432" t="str">
            <v>80.804.560</v>
          </cell>
          <cell r="F432" t="str">
            <v>80.804.560/0001-38</v>
          </cell>
        </row>
        <row r="433">
          <cell r="A433">
            <v>27551</v>
          </cell>
          <cell r="B433" t="str">
            <v>CORPORATION</v>
          </cell>
          <cell r="C433" t="str">
            <v>Fazendinha Comercio E Manutencao Eletrica Eireli</v>
          </cell>
          <cell r="D433" t="str">
            <v>Fazendinha Solucoes Industriais</v>
          </cell>
          <cell r="E433" t="str">
            <v>50.921.345</v>
          </cell>
          <cell r="F433" t="str">
            <v>50.921.345/0001-56</v>
          </cell>
        </row>
        <row r="434">
          <cell r="A434">
            <v>27552</v>
          </cell>
          <cell r="B434" t="str">
            <v>CORPORATION</v>
          </cell>
          <cell r="C434" t="str">
            <v>Noroeste Ferragens Ltda-Me</v>
          </cell>
          <cell r="D434" t="str">
            <v>Noroeste Ferragens</v>
          </cell>
          <cell r="E434" t="str">
            <v>13.454.157</v>
          </cell>
          <cell r="F434" t="str">
            <v>13.454.157/0001-39</v>
          </cell>
        </row>
        <row r="435">
          <cell r="A435">
            <v>27554</v>
          </cell>
          <cell r="B435" t="str">
            <v>CORPORATION</v>
          </cell>
          <cell r="C435" t="str">
            <v>Piccini Rebobinadora De Motores Eletricos Ltda</v>
          </cell>
          <cell r="D435" t="str">
            <v>Eletro Real</v>
          </cell>
          <cell r="E435" t="str">
            <v>01.732.968</v>
          </cell>
          <cell r="F435" t="str">
            <v>01.732.968/0001-75</v>
          </cell>
        </row>
        <row r="436">
          <cell r="A436">
            <v>27555</v>
          </cell>
          <cell r="B436" t="str">
            <v>CORPORATION</v>
          </cell>
          <cell r="C436" t="str">
            <v>Aziel Martins Da Costa - Eireli</v>
          </cell>
          <cell r="D436" t="str">
            <v>Ferromar</v>
          </cell>
          <cell r="E436" t="str">
            <v>18.410.052</v>
          </cell>
          <cell r="F436" t="str">
            <v>18.410.052/0001-00</v>
          </cell>
        </row>
        <row r="437">
          <cell r="A437">
            <v>27557</v>
          </cell>
          <cell r="B437" t="str">
            <v>CORPORATION</v>
          </cell>
          <cell r="C437" t="str">
            <v>King Importados Comercio Atacado E Varejo Eireli</v>
          </cell>
          <cell r="D437" t="str">
            <v>Eletroking (Baratão Peças)</v>
          </cell>
          <cell r="E437" t="str">
            <v>41.550.753</v>
          </cell>
          <cell r="F437" t="str">
            <v>41.550.753/0001-58</v>
          </cell>
          <cell r="G437" t="str">
            <v>BARATAO PEÇAS</v>
          </cell>
        </row>
        <row r="438">
          <cell r="A438">
            <v>27558</v>
          </cell>
          <cell r="B438" t="str">
            <v>CORPORATION</v>
          </cell>
          <cell r="C438" t="str">
            <v>Laguna Distribuicao Eireli</v>
          </cell>
          <cell r="D438" t="str">
            <v>Laguna Distribuicao</v>
          </cell>
          <cell r="E438" t="str">
            <v>82.596.792</v>
          </cell>
          <cell r="F438" t="str">
            <v>82.596.792/0001-73</v>
          </cell>
        </row>
        <row r="439">
          <cell r="A439">
            <v>27560</v>
          </cell>
          <cell r="B439" t="str">
            <v>CORPORATION</v>
          </cell>
          <cell r="C439" t="str">
            <v>Luluilton Tenorio De Oliveira</v>
          </cell>
          <cell r="D439" t="str">
            <v>Nego Construcao</v>
          </cell>
          <cell r="E439" t="str">
            <v>09.174.617</v>
          </cell>
          <cell r="F439" t="str">
            <v>09.174.617/0001-06</v>
          </cell>
        </row>
        <row r="440">
          <cell r="A440">
            <v>27562</v>
          </cell>
          <cell r="B440" t="str">
            <v>CORPORATION</v>
          </cell>
          <cell r="C440" t="str">
            <v>Dafel Comercio De Ferramentas Ltda</v>
          </cell>
          <cell r="D440" t="str">
            <v>Dafel Comercio De Ferramentas</v>
          </cell>
          <cell r="E440" t="str">
            <v>95.404.406</v>
          </cell>
          <cell r="F440" t="str">
            <v>95.404.406/0001-46</v>
          </cell>
        </row>
        <row r="441">
          <cell r="A441">
            <v>27567</v>
          </cell>
          <cell r="B441" t="str">
            <v>CORPORATION</v>
          </cell>
          <cell r="C441" t="str">
            <v>Viana Comercio E Manutencao De Compressores Ltda</v>
          </cell>
          <cell r="D441" t="str">
            <v>Big Ar Compressores</v>
          </cell>
          <cell r="E441" t="str">
            <v>21.308.289</v>
          </cell>
          <cell r="F441" t="str">
            <v>21.308.289/0001-80</v>
          </cell>
        </row>
        <row r="442">
          <cell r="A442">
            <v>27570</v>
          </cell>
          <cell r="B442" t="str">
            <v>CORPORATION</v>
          </cell>
          <cell r="C442" t="str">
            <v>Silvestre Mannes &amp; Cia Ltda - Epp</v>
          </cell>
          <cell r="D442" t="str">
            <v>Silvestre Mannes</v>
          </cell>
          <cell r="E442" t="str">
            <v>79.362.182</v>
          </cell>
          <cell r="F442" t="str">
            <v>79.362.182/0001-09</v>
          </cell>
        </row>
        <row r="443">
          <cell r="A443">
            <v>27571</v>
          </cell>
          <cell r="B443" t="str">
            <v>CORPORATION</v>
          </cell>
          <cell r="C443" t="str">
            <v>Ultra Maquinas Comercial De Ferramentas Ltda</v>
          </cell>
          <cell r="D443" t="str">
            <v>Ultra Maquinas Comercial De Ferramentas Ltda</v>
          </cell>
          <cell r="E443" t="str">
            <v>00.314.550</v>
          </cell>
          <cell r="F443" t="str">
            <v>00.314.550/0002-66</v>
          </cell>
          <cell r="G443" t="str">
            <v>ULTRA MAQUINAS</v>
          </cell>
        </row>
        <row r="444">
          <cell r="A444">
            <v>27573</v>
          </cell>
          <cell r="B444" t="str">
            <v>CORPORATION</v>
          </cell>
          <cell r="C444" t="str">
            <v>Abreufer - Ferramentas &amp; Ferragens Ltda</v>
          </cell>
          <cell r="D444" t="str">
            <v>Abreufer</v>
          </cell>
          <cell r="E444" t="str">
            <v>04.164.628</v>
          </cell>
          <cell r="F444" t="str">
            <v>04.164.628/0001-83</v>
          </cell>
        </row>
        <row r="445">
          <cell r="A445">
            <v>27574</v>
          </cell>
          <cell r="B445" t="str">
            <v>CORPORATION</v>
          </cell>
          <cell r="C445" t="str">
            <v>Fortes Ferragista E Revestimentos Industriais Ltda</v>
          </cell>
          <cell r="D445" t="str">
            <v>Fortes Ferragista E Revestimentos Industriais</v>
          </cell>
          <cell r="E445" t="str">
            <v>31.352.694</v>
          </cell>
          <cell r="F445" t="str">
            <v>31.352.694/0001-50</v>
          </cell>
          <cell r="G445" t="str">
            <v xml:space="preserve">MJ COMERCIO </v>
          </cell>
        </row>
        <row r="446">
          <cell r="A446">
            <v>27577</v>
          </cell>
          <cell r="B446" t="str">
            <v>CORPORATION</v>
          </cell>
          <cell r="C446" t="str">
            <v>Alves E Simone Maquinas E Equipamentos Ltda Me</v>
          </cell>
          <cell r="D446" t="str">
            <v>Stoccaggio Gruppo</v>
          </cell>
          <cell r="E446" t="str">
            <v>14.126.816</v>
          </cell>
          <cell r="F446" t="str">
            <v>14.126.816/0001-70</v>
          </cell>
        </row>
        <row r="447">
          <cell r="A447">
            <v>27578</v>
          </cell>
          <cell r="B447" t="str">
            <v>CORPORATION</v>
          </cell>
          <cell r="C447" t="str">
            <v>Avantpar Comercio De Parafusos E Pecas Ltda</v>
          </cell>
          <cell r="D447" t="str">
            <v>Avantpar</v>
          </cell>
          <cell r="E447" t="str">
            <v>09.467.065</v>
          </cell>
          <cell r="F447" t="str">
            <v>09.467.065/0001-16</v>
          </cell>
        </row>
        <row r="448">
          <cell r="A448">
            <v>27589</v>
          </cell>
          <cell r="B448" t="str">
            <v>CORPORATION</v>
          </cell>
          <cell r="C448" t="str">
            <v>Luis Felipe Franceschini - Me</v>
          </cell>
          <cell r="D448" t="str">
            <v>Felmak Eletrodomesticos</v>
          </cell>
          <cell r="E448" t="str">
            <v>05.795.608</v>
          </cell>
          <cell r="F448" t="str">
            <v>05.795.608/0001-73</v>
          </cell>
        </row>
        <row r="449">
          <cell r="A449">
            <v>27593</v>
          </cell>
          <cell r="B449" t="str">
            <v>CORPORATION</v>
          </cell>
          <cell r="C449" t="str">
            <v>Metalurgica Sao Francisco Ltda</v>
          </cell>
          <cell r="D449" t="str">
            <v>Metalurgica Sao Francisco</v>
          </cell>
          <cell r="E449" t="str">
            <v>02.784.064</v>
          </cell>
          <cell r="F449" t="str">
            <v>02.784.064/0001-56</v>
          </cell>
        </row>
        <row r="450">
          <cell r="A450">
            <v>27595</v>
          </cell>
          <cell r="B450" t="str">
            <v>CORPORATION</v>
          </cell>
          <cell r="C450" t="str">
            <v>Marcio Augusto Bohm</v>
          </cell>
          <cell r="D450" t="str">
            <v>A B Distribuidora</v>
          </cell>
          <cell r="E450" t="str">
            <v>14.857.129</v>
          </cell>
          <cell r="F450" t="str">
            <v>14.857.129/0001-25</v>
          </cell>
        </row>
        <row r="451">
          <cell r="A451">
            <v>27598</v>
          </cell>
          <cell r="B451" t="str">
            <v>CORPORATION</v>
          </cell>
          <cell r="C451" t="str">
            <v>Ferramentas Canoas Ltda - Epp</v>
          </cell>
          <cell r="D451" t="str">
            <v>Ferramentas Canoas Ltda - Epp</v>
          </cell>
          <cell r="E451" t="str">
            <v>88.460.985</v>
          </cell>
          <cell r="F451" t="str">
            <v>88.460.985/0001-89</v>
          </cell>
        </row>
        <row r="452">
          <cell r="A452">
            <v>27601</v>
          </cell>
          <cell r="B452" t="str">
            <v>CORPORATION</v>
          </cell>
          <cell r="C452" t="str">
            <v>Multi-Maquinas Comercio De Maquinas Ltda</v>
          </cell>
          <cell r="D452" t="str">
            <v>Mult-Maquinas</v>
          </cell>
          <cell r="E452" t="str">
            <v>10.787.511</v>
          </cell>
          <cell r="F452" t="str">
            <v>10.787.511/0001-59</v>
          </cell>
        </row>
        <row r="453">
          <cell r="A453">
            <v>27604</v>
          </cell>
          <cell r="B453" t="str">
            <v>CORPORATION</v>
          </cell>
          <cell r="C453" t="str">
            <v>Braz &amp; Carvalho Comercio Varejista De Ferragens Ltda - Me</v>
          </cell>
          <cell r="D453" t="str">
            <v>D F</v>
          </cell>
          <cell r="E453" t="str">
            <v>18.147.646</v>
          </cell>
          <cell r="F453" t="str">
            <v>18.147.646/0001-61</v>
          </cell>
        </row>
        <row r="454">
          <cell r="A454">
            <v>27609</v>
          </cell>
          <cell r="B454" t="str">
            <v>CORPORATION</v>
          </cell>
          <cell r="C454" t="str">
            <v>Alex Sandro Baida - Me</v>
          </cell>
          <cell r="D454" t="str">
            <v>Eletro Parana</v>
          </cell>
          <cell r="E454" t="str">
            <v>14.074.175</v>
          </cell>
          <cell r="F454" t="str">
            <v>14.074.175/0001-58</v>
          </cell>
        </row>
        <row r="455">
          <cell r="A455">
            <v>27612</v>
          </cell>
          <cell r="B455" t="str">
            <v>CORPORATION</v>
          </cell>
          <cell r="C455" t="str">
            <v>Ebuilt Comercio Eletronico Ltda - Epp</v>
          </cell>
          <cell r="D455" t="str">
            <v>Ferramix</v>
          </cell>
          <cell r="E455" t="str">
            <v>07.661.027</v>
          </cell>
          <cell r="F455" t="str">
            <v>07.661.027/0001-74</v>
          </cell>
        </row>
        <row r="456">
          <cell r="A456">
            <v>27615</v>
          </cell>
          <cell r="B456" t="str">
            <v>CORPORATION</v>
          </cell>
          <cell r="C456" t="str">
            <v>Cooperativa Dos Plantadores De Cana Do Estado Sao Paulo</v>
          </cell>
          <cell r="D456" t="str">
            <v>Coplacana (Charqueada)</v>
          </cell>
          <cell r="E456" t="str">
            <v>54.366.547</v>
          </cell>
          <cell r="F456" t="str">
            <v>54.366.547/0006-49</v>
          </cell>
          <cell r="G456" t="str">
            <v>COPLACANA</v>
          </cell>
        </row>
        <row r="457">
          <cell r="A457">
            <v>27616</v>
          </cell>
          <cell r="B457" t="str">
            <v>CORPORATION</v>
          </cell>
          <cell r="C457" t="str">
            <v>Vagner Da Costa 13152419783</v>
          </cell>
          <cell r="D457" t="str">
            <v>Vagner Da Costa 13152419783</v>
          </cell>
          <cell r="E457" t="str">
            <v>28.216.751</v>
          </cell>
          <cell r="F457" t="str">
            <v>28.216.751/0001-69</v>
          </cell>
        </row>
        <row r="458">
          <cell r="A458">
            <v>27620</v>
          </cell>
          <cell r="B458" t="str">
            <v>CORPORATION</v>
          </cell>
          <cell r="C458" t="str">
            <v>Solenge Comercial E Tecnica Ltda</v>
          </cell>
          <cell r="D458" t="str">
            <v>Solenge Comercial E Tecnica Ltda</v>
          </cell>
          <cell r="E458" t="str">
            <v>91.599.258</v>
          </cell>
          <cell r="F458" t="str">
            <v>91.599.258/0001-01</v>
          </cell>
        </row>
        <row r="459">
          <cell r="A459">
            <v>27623</v>
          </cell>
          <cell r="B459" t="str">
            <v>CORPORATION</v>
          </cell>
          <cell r="C459" t="str">
            <v>Angel Santos Valdez - Me</v>
          </cell>
          <cell r="D459" t="str">
            <v>Honesty Distribuidora</v>
          </cell>
          <cell r="E459" t="str">
            <v>08.827.246</v>
          </cell>
          <cell r="F459" t="str">
            <v>08.827.246/0001-43</v>
          </cell>
        </row>
        <row r="460">
          <cell r="A460">
            <v>27625</v>
          </cell>
          <cell r="B460" t="str">
            <v>CORPORATION</v>
          </cell>
          <cell r="C460" t="str">
            <v>Viviane Coutinho Da Silva Souza 05305793670</v>
          </cell>
          <cell r="D460" t="str">
            <v>Aabrao Servicos</v>
          </cell>
          <cell r="E460" t="str">
            <v>34.743.652</v>
          </cell>
          <cell r="F460" t="str">
            <v>34.743.652/0001-38</v>
          </cell>
        </row>
        <row r="461">
          <cell r="A461">
            <v>27627</v>
          </cell>
          <cell r="B461" t="str">
            <v>CORPORATION</v>
          </cell>
          <cell r="C461" t="str">
            <v>M &amp; J Comercio Varejista De Ferramentas Ltda</v>
          </cell>
          <cell r="D461" t="str">
            <v>M &amp; J Comercio</v>
          </cell>
          <cell r="E461" t="str">
            <v>09.331.153</v>
          </cell>
          <cell r="F461" t="str">
            <v>09.331.153/0001-96</v>
          </cell>
        </row>
        <row r="462">
          <cell r="A462">
            <v>27634</v>
          </cell>
          <cell r="B462" t="str">
            <v>CORPORATION</v>
          </cell>
          <cell r="C462" t="str">
            <v>Ar De Almeida Comercio E Distribuicao Epp</v>
          </cell>
          <cell r="D462" t="str">
            <v>Casa Das Fechaduras</v>
          </cell>
          <cell r="E462" t="str">
            <v>07.775.825</v>
          </cell>
          <cell r="F462" t="str">
            <v>07.775.825/0001-27</v>
          </cell>
        </row>
        <row r="463">
          <cell r="A463">
            <v>27636</v>
          </cell>
          <cell r="B463" t="str">
            <v>CORPORATION</v>
          </cell>
          <cell r="C463" t="str">
            <v>D. A. Franca Ltda</v>
          </cell>
          <cell r="D463" t="str">
            <v>Tech Industrial</v>
          </cell>
          <cell r="E463" t="str">
            <v>41.956.740</v>
          </cell>
          <cell r="F463" t="str">
            <v>41.956.740/0001-83</v>
          </cell>
        </row>
        <row r="464">
          <cell r="A464">
            <v>27637</v>
          </cell>
          <cell r="B464" t="str">
            <v>CORPORATION</v>
          </cell>
          <cell r="C464" t="str">
            <v>Mazzochin Comercio De Ferramentas Ltda</v>
          </cell>
          <cell r="D464" t="str">
            <v>Mazzochin</v>
          </cell>
          <cell r="E464" t="str">
            <v>08.585.864</v>
          </cell>
          <cell r="F464" t="str">
            <v>08.585.864/0001-24</v>
          </cell>
        </row>
        <row r="465">
          <cell r="A465">
            <v>27638</v>
          </cell>
          <cell r="B465" t="str">
            <v>CORPORATION</v>
          </cell>
          <cell r="C465" t="str">
            <v>Mgc Ferragens E Ferramentas Ltda</v>
          </cell>
          <cell r="D465" t="str">
            <v>Mgc Ferragens E Ferramentas Ltda</v>
          </cell>
          <cell r="E465" t="str">
            <v>37.680.861</v>
          </cell>
          <cell r="F465" t="str">
            <v>37.680.861/0001-78</v>
          </cell>
        </row>
        <row r="466">
          <cell r="A466">
            <v>27642</v>
          </cell>
          <cell r="B466" t="str">
            <v>CORPORATION</v>
          </cell>
          <cell r="C466" t="str">
            <v>Llc Equipamentos E Servicos Ltda</v>
          </cell>
          <cell r="D466" t="str">
            <v>Servposto</v>
          </cell>
          <cell r="E466" t="str">
            <v>05.195.259</v>
          </cell>
          <cell r="F466" t="str">
            <v>05.195.259/0001-59</v>
          </cell>
        </row>
        <row r="467">
          <cell r="A467">
            <v>27643</v>
          </cell>
          <cell r="B467" t="str">
            <v>CORPORATION</v>
          </cell>
          <cell r="C467" t="str">
            <v>Siderio Almirio Schropfer &amp; Cia Ltda</v>
          </cell>
          <cell r="D467" t="str">
            <v>Sifamaq</v>
          </cell>
          <cell r="E467" t="str">
            <v>02.001.435</v>
          </cell>
          <cell r="F467" t="str">
            <v>02.001.435/0001-86</v>
          </cell>
        </row>
        <row r="468">
          <cell r="A468">
            <v>27644</v>
          </cell>
          <cell r="B468" t="str">
            <v>CORPORATION</v>
          </cell>
          <cell r="C468" t="str">
            <v>J.C.S. Belmiro Atacadista Eireli</v>
          </cell>
          <cell r="D468" t="str">
            <v>Casa Da Solda</v>
          </cell>
          <cell r="E468" t="str">
            <v>00.432.185</v>
          </cell>
          <cell r="F468" t="str">
            <v>00.432.185/0001-03</v>
          </cell>
        </row>
        <row r="469">
          <cell r="A469">
            <v>27646</v>
          </cell>
          <cell r="B469" t="str">
            <v>CORPORATION</v>
          </cell>
          <cell r="C469" t="str">
            <v>Doutor Caldeira Equipamentos Termicos Ltda</v>
          </cell>
          <cell r="D469" t="str">
            <v>Rocwell</v>
          </cell>
          <cell r="E469" t="str">
            <v>21.446.404</v>
          </cell>
          <cell r="F469" t="str">
            <v>21.446.404/0001-83</v>
          </cell>
        </row>
        <row r="470">
          <cell r="A470">
            <v>27651</v>
          </cell>
          <cell r="B470" t="str">
            <v>CORPORATION</v>
          </cell>
          <cell r="C470" t="str">
            <v>Util Arte Comercio De Materiais Eletricos E Hidr. Ltda</v>
          </cell>
          <cell r="D470" t="str">
            <v>Util Arte</v>
          </cell>
          <cell r="E470" t="str">
            <v>47.385.539</v>
          </cell>
          <cell r="F470" t="str">
            <v>47.385.539/0002-50</v>
          </cell>
        </row>
        <row r="471">
          <cell r="A471">
            <v>27652</v>
          </cell>
          <cell r="B471" t="str">
            <v>CORPORATION</v>
          </cell>
          <cell r="C471" t="str">
            <v>Comercial Bertolini Corte Ltda - Epp</v>
          </cell>
          <cell r="D471" t="str">
            <v>Casa Agrícola</v>
          </cell>
          <cell r="E471" t="str">
            <v>51.468.395</v>
          </cell>
          <cell r="F471" t="str">
            <v>51.468.395/0001-92</v>
          </cell>
        </row>
        <row r="472">
          <cell r="A472">
            <v>27655</v>
          </cell>
          <cell r="B472" t="str">
            <v>CORPORATION</v>
          </cell>
          <cell r="C472" t="str">
            <v>Lg Mangueiras E Parafusos Ltda - Me</v>
          </cell>
          <cell r="D472" t="str">
            <v>Lg Mangueiras E Parafusos</v>
          </cell>
          <cell r="E472" t="str">
            <v>17.085.884</v>
          </cell>
          <cell r="F472" t="str">
            <v>17.085.884/0001-27</v>
          </cell>
        </row>
        <row r="473">
          <cell r="A473">
            <v>27658</v>
          </cell>
          <cell r="B473" t="str">
            <v>CORPORATION</v>
          </cell>
          <cell r="C473" t="str">
            <v>Oxitap Comércio De Material De Solda Ltda-Epp</v>
          </cell>
          <cell r="D473" t="str">
            <v>Oxitap Comércio De Material De Solda Ltda-Epp</v>
          </cell>
          <cell r="E473" t="str">
            <v>56.167.620</v>
          </cell>
          <cell r="F473" t="str">
            <v>56.167.620/0001-74</v>
          </cell>
        </row>
        <row r="474">
          <cell r="A474">
            <v>27659</v>
          </cell>
          <cell r="B474" t="str">
            <v>CORPORATION</v>
          </cell>
          <cell r="C474" t="str">
            <v>Comercial Republica Foz Ltda</v>
          </cell>
          <cell r="D474" t="str">
            <v>Comercial Republica Foz</v>
          </cell>
          <cell r="E474" t="str">
            <v>18.764.784</v>
          </cell>
          <cell r="F474" t="str">
            <v>18.764.784/0001-90</v>
          </cell>
        </row>
        <row r="475">
          <cell r="A475">
            <v>27664</v>
          </cell>
          <cell r="B475" t="str">
            <v>CORPORATION</v>
          </cell>
          <cell r="C475" t="str">
            <v>3l Ferragens Ltda - Me</v>
          </cell>
          <cell r="D475" t="str">
            <v>Lizfer</v>
          </cell>
          <cell r="E475" t="str">
            <v>16.882.139</v>
          </cell>
          <cell r="F475" t="str">
            <v>16.882.139/0001-46</v>
          </cell>
        </row>
        <row r="476">
          <cell r="A476">
            <v>27668</v>
          </cell>
          <cell r="B476" t="str">
            <v>CORPORATION</v>
          </cell>
          <cell r="C476" t="str">
            <v>Ferragens Tabajara Ltda</v>
          </cell>
          <cell r="D476" t="str">
            <v>Ferragens Tabajara Ltda</v>
          </cell>
          <cell r="E476" t="str">
            <v>17.314.568</v>
          </cell>
          <cell r="F476" t="str">
            <v>17.314.568/0001-80</v>
          </cell>
        </row>
        <row r="477">
          <cell r="A477">
            <v>27669</v>
          </cell>
          <cell r="B477" t="str">
            <v>CORPORATION</v>
          </cell>
          <cell r="C477" t="str">
            <v>Difemax Distribuidora De Ferramentas E Maquinas Ltda - Epp</v>
          </cell>
          <cell r="D477" t="str">
            <v>Difemax Distribuidora De Ferramentas Maquinas</v>
          </cell>
          <cell r="E477" t="str">
            <v>11.450.291</v>
          </cell>
          <cell r="F477" t="str">
            <v>11.450.291/0001-36</v>
          </cell>
        </row>
        <row r="478">
          <cell r="A478">
            <v>27675</v>
          </cell>
          <cell r="B478" t="str">
            <v>CORPORATION</v>
          </cell>
          <cell r="C478" t="str">
            <v>Mercantil Johannsen Comercio De Maquinas E Motores Ltda - Me</v>
          </cell>
          <cell r="D478" t="str">
            <v>Mercantil Johannsen</v>
          </cell>
          <cell r="E478" t="str">
            <v>05.528.654</v>
          </cell>
          <cell r="F478" t="str">
            <v>05.528.654/0001-06</v>
          </cell>
        </row>
        <row r="479">
          <cell r="A479">
            <v>27681</v>
          </cell>
          <cell r="B479" t="str">
            <v>CORPORATION</v>
          </cell>
          <cell r="C479" t="str">
            <v>Marcus Vinicius De Sousa Correa - Me</v>
          </cell>
          <cell r="D479" t="str">
            <v>M V Soldas</v>
          </cell>
          <cell r="E479" t="str">
            <v>10.941.857</v>
          </cell>
          <cell r="F479" t="str">
            <v>10.941.857/0001-60</v>
          </cell>
        </row>
        <row r="480">
          <cell r="A480">
            <v>27684</v>
          </cell>
          <cell r="B480" t="str">
            <v>CORPORATION</v>
          </cell>
          <cell r="C480" t="str">
            <v>Distribuidora Azevedo Ltda. - Me</v>
          </cell>
          <cell r="D480" t="str">
            <v>Azevedo Distribuicao</v>
          </cell>
          <cell r="E480" t="str">
            <v>11.888.458</v>
          </cell>
          <cell r="F480" t="str">
            <v>11.888.458/0001-45</v>
          </cell>
        </row>
        <row r="481">
          <cell r="A481">
            <v>27685</v>
          </cell>
          <cell r="B481" t="str">
            <v>CORPORATION</v>
          </cell>
          <cell r="C481" t="str">
            <v>Rifer Comercio De Ferragens E Ferramentas Ltda.</v>
          </cell>
          <cell r="D481" t="str">
            <v>Rifer</v>
          </cell>
          <cell r="E481" t="str">
            <v>96.618.624</v>
          </cell>
          <cell r="F481" t="str">
            <v>96.618.624/0001-46</v>
          </cell>
        </row>
        <row r="482">
          <cell r="A482">
            <v>27687</v>
          </cell>
          <cell r="B482" t="str">
            <v>CORPORATION</v>
          </cell>
          <cell r="C482" t="str">
            <v>Ferramentas 3 Irmaos Ltda - Me</v>
          </cell>
          <cell r="D482" t="str">
            <v>Ferramentas 3 Irmaos</v>
          </cell>
          <cell r="E482" t="str">
            <v>96.623.186</v>
          </cell>
          <cell r="F482" t="str">
            <v>96.623.186/0001-04</v>
          </cell>
        </row>
        <row r="483">
          <cell r="A483">
            <v>27690</v>
          </cell>
          <cell r="B483" t="str">
            <v>CORPORATION</v>
          </cell>
          <cell r="C483" t="str">
            <v>Agricol Agricola Congonhas Ltda - Epp</v>
          </cell>
          <cell r="D483" t="str">
            <v>Agricol</v>
          </cell>
          <cell r="E483" t="str">
            <v>20.982.385</v>
          </cell>
          <cell r="F483" t="str">
            <v>20.982.385/0001-47</v>
          </cell>
        </row>
        <row r="484">
          <cell r="A484">
            <v>27692</v>
          </cell>
          <cell r="B484" t="str">
            <v>CORPORATION</v>
          </cell>
          <cell r="C484" t="str">
            <v>Ponto Do Serralheiro Ltda</v>
          </cell>
          <cell r="D484" t="str">
            <v>Ponto Do Serralheiro</v>
          </cell>
          <cell r="E484" t="str">
            <v>34.496.420</v>
          </cell>
          <cell r="F484" t="str">
            <v>34.496.420/0001-22</v>
          </cell>
        </row>
        <row r="485">
          <cell r="A485">
            <v>27695</v>
          </cell>
          <cell r="B485" t="str">
            <v>CORPORATION</v>
          </cell>
          <cell r="C485" t="str">
            <v>Pafermaq - Parafusos Ferramentas E Maquinas Eireli</v>
          </cell>
          <cell r="D485" t="str">
            <v>Pafermaq - Parafusos Ferramentas E Maquinas Eireli</v>
          </cell>
          <cell r="E485" t="str">
            <v>19.991.554</v>
          </cell>
          <cell r="F485" t="str">
            <v>19.991.554/0001-26</v>
          </cell>
          <cell r="G485" t="str">
            <v>PAFERMAQ</v>
          </cell>
        </row>
        <row r="486">
          <cell r="A486">
            <v>27698</v>
          </cell>
          <cell r="B486" t="str">
            <v>CORPORATION</v>
          </cell>
          <cell r="C486" t="str">
            <v>Max Ferramentas Ltda - Me</v>
          </cell>
          <cell r="D486" t="str">
            <v>Max Ferramentas Ltda</v>
          </cell>
          <cell r="E486" t="str">
            <v>14.244.294</v>
          </cell>
          <cell r="F486" t="str">
            <v>14.244.294/0001-01</v>
          </cell>
        </row>
        <row r="487">
          <cell r="A487">
            <v>27702</v>
          </cell>
          <cell r="B487" t="str">
            <v>CORPORATION</v>
          </cell>
          <cell r="C487" t="str">
            <v>Pafermaq - Parafusos Ferramentas E Maquinas Eireli</v>
          </cell>
          <cell r="D487" t="str">
            <v>Pafermaq</v>
          </cell>
          <cell r="E487" t="str">
            <v>19.991.554</v>
          </cell>
          <cell r="F487" t="str">
            <v>19.991.554/0002-07</v>
          </cell>
          <cell r="G487" t="str">
            <v>PAFERMAQ</v>
          </cell>
        </row>
        <row r="488">
          <cell r="A488">
            <v>27705</v>
          </cell>
          <cell r="B488" t="str">
            <v>CORPORATION</v>
          </cell>
          <cell r="C488" t="str">
            <v>Planmar Industria E Comercio De Produtos Plasticos Limitada</v>
          </cell>
          <cell r="D488" t="str">
            <v>Planmar</v>
          </cell>
          <cell r="E488" t="str">
            <v>00.553.934</v>
          </cell>
          <cell r="F488" t="str">
            <v>00.553.934/0001-50</v>
          </cell>
        </row>
        <row r="489">
          <cell r="A489">
            <v>27706</v>
          </cell>
          <cell r="B489" t="str">
            <v>CORPORATION</v>
          </cell>
          <cell r="C489" t="str">
            <v>Craviaco Comercial Eireli</v>
          </cell>
          <cell r="D489" t="str">
            <v>Craviaco Comercial Eireli</v>
          </cell>
          <cell r="E489" t="str">
            <v>33.589.553</v>
          </cell>
          <cell r="F489" t="str">
            <v>33.589.553/0001-80</v>
          </cell>
        </row>
        <row r="490">
          <cell r="A490">
            <v>27709</v>
          </cell>
          <cell r="B490" t="str">
            <v>CORPORATION</v>
          </cell>
          <cell r="C490" t="str">
            <v>Jose Benedito Chiste - Me</v>
          </cell>
          <cell r="D490" t="str">
            <v>Casa Chiste</v>
          </cell>
          <cell r="E490" t="str">
            <v>23.019.060</v>
          </cell>
          <cell r="F490" t="str">
            <v>23.019.060/0001-51</v>
          </cell>
        </row>
        <row r="491">
          <cell r="A491">
            <v>27713</v>
          </cell>
          <cell r="B491" t="str">
            <v>CORPORATION</v>
          </cell>
          <cell r="C491" t="str">
            <v>Adriano Cesar Nesi - Me</v>
          </cell>
          <cell r="D491" t="str">
            <v>Nesi Ferragens E Ferramentas</v>
          </cell>
          <cell r="E491" t="str">
            <v>14.738.122</v>
          </cell>
          <cell r="F491" t="str">
            <v>14.738.122/0001-94</v>
          </cell>
        </row>
        <row r="492">
          <cell r="A492">
            <v>27717</v>
          </cell>
          <cell r="B492" t="str">
            <v>CORPORATION</v>
          </cell>
          <cell r="C492" t="str">
            <v>Centre Ville Comercio De Ferragens E Ferramentas Ltda - Me</v>
          </cell>
          <cell r="D492" t="str">
            <v>Centerfer</v>
          </cell>
          <cell r="E492" t="str">
            <v>17.838.184</v>
          </cell>
          <cell r="F492" t="str">
            <v>17.838.184/0001-66</v>
          </cell>
        </row>
        <row r="493">
          <cell r="A493">
            <v>27718</v>
          </cell>
          <cell r="B493" t="str">
            <v>CORPORATION</v>
          </cell>
          <cell r="C493" t="str">
            <v>Rangel De Carvalho 03630792626</v>
          </cell>
          <cell r="D493" t="str">
            <v>Rhp Prestadora De Servicos</v>
          </cell>
          <cell r="E493" t="str">
            <v>14.189.751</v>
          </cell>
          <cell r="F493" t="str">
            <v>14.189.751/0001-02</v>
          </cell>
        </row>
        <row r="494">
          <cell r="A494">
            <v>27720</v>
          </cell>
          <cell r="B494" t="str">
            <v>CORPORATION</v>
          </cell>
          <cell r="C494" t="str">
            <v>Ymperio Das Ferramentas De Caxambu Ltda</v>
          </cell>
          <cell r="D494" t="str">
            <v>Ymperio Ferramentas</v>
          </cell>
          <cell r="E494" t="str">
            <v>34.176.428</v>
          </cell>
          <cell r="F494" t="str">
            <v>34.176.428/0001-01</v>
          </cell>
        </row>
        <row r="495">
          <cell r="A495">
            <v>27725</v>
          </cell>
          <cell r="B495" t="str">
            <v>CORPORATION</v>
          </cell>
          <cell r="C495" t="str">
            <v>Hc Led Rio Ltda</v>
          </cell>
          <cell r="D495" t="str">
            <v>Hc Led Utilidades Do Lar E Bazar</v>
          </cell>
          <cell r="E495" t="str">
            <v>13.001.349</v>
          </cell>
          <cell r="F495" t="str">
            <v>13.001.349/0001-90</v>
          </cell>
        </row>
        <row r="496">
          <cell r="A496">
            <v>27727</v>
          </cell>
          <cell r="B496" t="str">
            <v>CORPORATION</v>
          </cell>
          <cell r="C496" t="str">
            <v>A D M Materiais Para Construção Ltda-Epp</v>
          </cell>
          <cell r="D496" t="str">
            <v>A D M Materiais Para Construção Ltda-Epp</v>
          </cell>
          <cell r="E496" t="str">
            <v>02.359.633</v>
          </cell>
          <cell r="F496" t="str">
            <v>02.359.633/0001-16</v>
          </cell>
        </row>
        <row r="497">
          <cell r="A497">
            <v>27732</v>
          </cell>
          <cell r="B497" t="str">
            <v>CORPORATION</v>
          </cell>
          <cell r="C497" t="str">
            <v>Panmerco Comercial Ltda</v>
          </cell>
          <cell r="D497" t="str">
            <v>Panmerco Comercial</v>
          </cell>
          <cell r="E497" t="str">
            <v>10.692.780</v>
          </cell>
          <cell r="F497" t="str">
            <v>10.692.780/0001-31</v>
          </cell>
        </row>
        <row r="498">
          <cell r="A498">
            <v>27735</v>
          </cell>
          <cell r="B498" t="str">
            <v>CORPORATION</v>
          </cell>
          <cell r="C498" t="str">
            <v>Rebolixas Comercio De Abrasivos Ltda</v>
          </cell>
          <cell r="D498" t="str">
            <v>Rebolixas Comercio De Abrasivos Ltda</v>
          </cell>
          <cell r="E498" t="str">
            <v>26.676.775</v>
          </cell>
          <cell r="F498" t="str">
            <v>26.676.775/0001-75</v>
          </cell>
        </row>
        <row r="499">
          <cell r="A499">
            <v>27737</v>
          </cell>
          <cell r="B499" t="str">
            <v>CORPORATION</v>
          </cell>
          <cell r="C499" t="str">
            <v>Alcam Manutecao Industrial Ltda</v>
          </cell>
          <cell r="D499" t="str">
            <v>Alcam Manutecao Industrial Ltda</v>
          </cell>
          <cell r="E499" t="str">
            <v>37.230.853</v>
          </cell>
          <cell r="F499" t="str">
            <v>37.230.853/0001-20</v>
          </cell>
        </row>
        <row r="500">
          <cell r="A500">
            <v>27738</v>
          </cell>
          <cell r="B500" t="str">
            <v>CORPORATION</v>
          </cell>
          <cell r="C500" t="str">
            <v>Rinapar Parafusos E Ferramentas Ltda - Epp</v>
          </cell>
          <cell r="D500" t="str">
            <v>Rinapar Parafusos E Ferramentas Ltda - Epp</v>
          </cell>
          <cell r="E500" t="str">
            <v>05.152.875</v>
          </cell>
          <cell r="F500" t="str">
            <v>05.152.875/0001-22</v>
          </cell>
        </row>
        <row r="501">
          <cell r="A501">
            <v>27740</v>
          </cell>
          <cell r="B501" t="str">
            <v>CORPORATION</v>
          </cell>
          <cell r="C501" t="str">
            <v>Maura C. B. A. Moretto Sociedade Unipessoal Ltda</v>
          </cell>
          <cell r="D501" t="str">
            <v>Tata Parafusos</v>
          </cell>
          <cell r="E501" t="str">
            <v>37.781.985</v>
          </cell>
          <cell r="F501" t="str">
            <v>37.781.985/0001-40</v>
          </cell>
          <cell r="G501" t="str">
            <v>TATA PARAFUSOS</v>
          </cell>
        </row>
        <row r="502">
          <cell r="A502">
            <v>27741</v>
          </cell>
          <cell r="B502" t="str">
            <v>CORPORATION</v>
          </cell>
          <cell r="C502" t="str">
            <v>Store Mix Utilidades Em Geral Ltda - Me</v>
          </cell>
          <cell r="D502" t="str">
            <v>Store Mix Utilidades Em Geral Ltda - Me</v>
          </cell>
          <cell r="E502" t="str">
            <v>08.655.279</v>
          </cell>
          <cell r="F502" t="str">
            <v>08.655.279/0001-53</v>
          </cell>
        </row>
        <row r="503">
          <cell r="A503">
            <v>27747</v>
          </cell>
          <cell r="B503" t="str">
            <v>CORPORATION</v>
          </cell>
          <cell r="C503" t="str">
            <v>Serra Part`S Distribuidora De Ferramentas Ltda</v>
          </cell>
          <cell r="D503" t="str">
            <v>Serra Part`S</v>
          </cell>
          <cell r="E503" t="str">
            <v>10.173.165</v>
          </cell>
          <cell r="F503" t="str">
            <v>10.173.165/0001-19</v>
          </cell>
        </row>
        <row r="504">
          <cell r="A504">
            <v>27748</v>
          </cell>
          <cell r="B504" t="str">
            <v>CORPORATION</v>
          </cell>
          <cell r="C504" t="str">
            <v>G. H. Silva De Lima Comercio Atacadista</v>
          </cell>
          <cell r="D504" t="str">
            <v>Baratao Distribuidora</v>
          </cell>
          <cell r="E504" t="str">
            <v>36.791.855</v>
          </cell>
          <cell r="F504" t="str">
            <v>36.791.855/0001-25</v>
          </cell>
          <cell r="G504" t="str">
            <v xml:space="preserve">BARATÃO FERRO E AÇO </v>
          </cell>
        </row>
        <row r="505">
          <cell r="A505">
            <v>27759</v>
          </cell>
          <cell r="B505" t="str">
            <v>CORPORATION</v>
          </cell>
          <cell r="C505" t="str">
            <v>Centro Das Ferramentas Ltda</v>
          </cell>
          <cell r="D505" t="str">
            <v>Centro Das Ferramentas Ltda</v>
          </cell>
          <cell r="E505" t="str">
            <v>12.150.242</v>
          </cell>
          <cell r="F505" t="str">
            <v>12.150.242/0001-40</v>
          </cell>
        </row>
        <row r="506">
          <cell r="A506">
            <v>27764</v>
          </cell>
          <cell r="B506" t="str">
            <v>CORPORATION</v>
          </cell>
          <cell r="C506" t="str">
            <v>Irmaos Maio Ltda</v>
          </cell>
          <cell r="D506" t="str">
            <v>Irmaos Maio</v>
          </cell>
          <cell r="E506" t="str">
            <v>02.942.353</v>
          </cell>
          <cell r="F506" t="str">
            <v>02.942.353/0002-17</v>
          </cell>
        </row>
        <row r="507">
          <cell r="A507">
            <v>27767</v>
          </cell>
          <cell r="B507" t="str">
            <v>CORPORATION</v>
          </cell>
          <cell r="C507" t="str">
            <v>Unifort Ltda</v>
          </cell>
          <cell r="D507" t="str">
            <v>Unifort Ltda</v>
          </cell>
          <cell r="E507" t="str">
            <v>41.916.347</v>
          </cell>
          <cell r="F507" t="str">
            <v>41.916.347/0001-66</v>
          </cell>
        </row>
        <row r="508">
          <cell r="A508">
            <v>27774</v>
          </cell>
          <cell r="B508" t="str">
            <v>CORPORATION</v>
          </cell>
          <cell r="C508" t="str">
            <v>Betim Parafusos Ltda</v>
          </cell>
          <cell r="D508" t="str">
            <v>Betim Parafusos Ltda</v>
          </cell>
          <cell r="E508" t="str">
            <v>17.062.209</v>
          </cell>
          <cell r="F508" t="str">
            <v>17.062.209/0001-82</v>
          </cell>
        </row>
        <row r="509">
          <cell r="A509">
            <v>27777</v>
          </cell>
          <cell r="B509" t="str">
            <v>CORPORATION</v>
          </cell>
          <cell r="C509" t="str">
            <v>Fibramar Fabricacao De Artefatos De Plasticos Ltda</v>
          </cell>
          <cell r="D509" t="str">
            <v>Fibramar</v>
          </cell>
          <cell r="E509" t="str">
            <v>40.476.949</v>
          </cell>
          <cell r="F509" t="str">
            <v>40.476.949/0001-87</v>
          </cell>
        </row>
        <row r="510">
          <cell r="A510">
            <v>27778</v>
          </cell>
          <cell r="B510" t="str">
            <v>CORPORATION</v>
          </cell>
          <cell r="C510" t="str">
            <v>Tecnogas Equipamentos De Protecao Ltda - Me</v>
          </cell>
          <cell r="D510" t="str">
            <v>Tecnogas</v>
          </cell>
          <cell r="E510" t="str">
            <v>56.531.312</v>
          </cell>
          <cell r="F510" t="str">
            <v>56.531.312/0001-86</v>
          </cell>
        </row>
        <row r="511">
          <cell r="A511">
            <v>27781</v>
          </cell>
          <cell r="B511" t="str">
            <v>CORPORATION</v>
          </cell>
          <cell r="C511" t="str">
            <v>Padilha-Materiais Para Borracharia Ltda - Me</v>
          </cell>
          <cell r="D511" t="str">
            <v>Distribuidor Padilha</v>
          </cell>
          <cell r="E511" t="str">
            <v>65.326.811</v>
          </cell>
          <cell r="F511" t="str">
            <v>65.326.811/0001-22</v>
          </cell>
        </row>
        <row r="512">
          <cell r="A512">
            <v>27783</v>
          </cell>
          <cell r="B512" t="str">
            <v>CORPORATION</v>
          </cell>
          <cell r="C512" t="str">
            <v>Cr Maquinas E Equipamentos Ltda - Me</v>
          </cell>
          <cell r="D512" t="str">
            <v>Lubriminas</v>
          </cell>
          <cell r="E512" t="str">
            <v>02.291.141</v>
          </cell>
          <cell r="F512" t="str">
            <v>02.291.141/0001-36</v>
          </cell>
        </row>
        <row r="513">
          <cell r="A513">
            <v>27784</v>
          </cell>
          <cell r="B513" t="str">
            <v>CORPORATION</v>
          </cell>
          <cell r="C513" t="str">
            <v>Sena Campos 360 Comercio De Materiais Eletricos Ltda</v>
          </cell>
          <cell r="D513" t="str">
            <v>Sena Campos 360 Comercio De Materiais Eletricos Ltda</v>
          </cell>
          <cell r="E513" t="str">
            <v>07.545.020</v>
          </cell>
          <cell r="F513" t="str">
            <v>07.545.020/0001-97</v>
          </cell>
        </row>
        <row r="514">
          <cell r="A514">
            <v>27786</v>
          </cell>
          <cell r="B514" t="str">
            <v>CORPORATION</v>
          </cell>
          <cell r="C514" t="str">
            <v>Ferramentas Bonamarck Ltda - Me</v>
          </cell>
          <cell r="D514" t="str">
            <v>Ferramentas Bonamarck</v>
          </cell>
          <cell r="E514" t="str">
            <v>07.418.701</v>
          </cell>
          <cell r="F514" t="str">
            <v>07.418.701/0001-94</v>
          </cell>
        </row>
        <row r="515">
          <cell r="A515">
            <v>27790</v>
          </cell>
          <cell r="B515" t="str">
            <v>CORPORATION</v>
          </cell>
          <cell r="C515" t="str">
            <v>Jose Dermo De Pinho</v>
          </cell>
          <cell r="D515" t="str">
            <v>Casa Avenida</v>
          </cell>
          <cell r="E515" t="str">
            <v>17.111.469</v>
          </cell>
          <cell r="F515" t="str">
            <v>17.111.469/0001-09</v>
          </cell>
        </row>
        <row r="516">
          <cell r="A516">
            <v>27791</v>
          </cell>
          <cell r="B516" t="str">
            <v>CORPORATION</v>
          </cell>
          <cell r="C516" t="str">
            <v>Movata Moto Serras E Equipamentos Ltda</v>
          </cell>
          <cell r="D516" t="str">
            <v>Movata</v>
          </cell>
          <cell r="E516" t="str">
            <v>76.272.483</v>
          </cell>
          <cell r="F516" t="str">
            <v>76.272.483/0001-45</v>
          </cell>
          <cell r="G516" t="str">
            <v>MOVATA</v>
          </cell>
        </row>
        <row r="517">
          <cell r="A517">
            <v>27794</v>
          </cell>
          <cell r="B517" t="str">
            <v>CORPORATION</v>
          </cell>
          <cell r="C517" t="str">
            <v>Universo Cores Ltda - Me</v>
          </cell>
          <cell r="D517" t="str">
            <v>Universo Cores</v>
          </cell>
          <cell r="E517" t="str">
            <v>02.853.088</v>
          </cell>
          <cell r="F517" t="str">
            <v>02.853.088/0001-10</v>
          </cell>
        </row>
        <row r="518">
          <cell r="A518">
            <v>27797</v>
          </cell>
          <cell r="B518" t="str">
            <v>CORPORATION</v>
          </cell>
          <cell r="C518" t="str">
            <v>3 Eixos Comercio De Pecas E Ferramentas Ltda - Me</v>
          </cell>
          <cell r="D518" t="str">
            <v>3 Eixos</v>
          </cell>
          <cell r="E518" t="str">
            <v>06.559.735</v>
          </cell>
          <cell r="F518" t="str">
            <v>06.559.735/0001-36</v>
          </cell>
        </row>
        <row r="519">
          <cell r="A519">
            <v>27800</v>
          </cell>
          <cell r="B519" t="str">
            <v>CORPORATION</v>
          </cell>
          <cell r="C519" t="str">
            <v>Distribuidora De Mangueiras Brasil Ltda - Epp</v>
          </cell>
          <cell r="D519" t="str">
            <v>Distribuidora De Mangueiras Brasil Ltda - Epp</v>
          </cell>
          <cell r="E519" t="str">
            <v>25.914.060</v>
          </cell>
          <cell r="F519" t="str">
            <v>25.914.060/0001-40</v>
          </cell>
        </row>
        <row r="520">
          <cell r="A520">
            <v>27805</v>
          </cell>
          <cell r="B520" t="str">
            <v>CORPORATION</v>
          </cell>
          <cell r="C520" t="str">
            <v>A. A. Comercio De Pecas Agricolas Ltda</v>
          </cell>
          <cell r="D520" t="str">
            <v>Nico Peças</v>
          </cell>
          <cell r="E520" t="str">
            <v>03.194.717</v>
          </cell>
          <cell r="F520" t="str">
            <v>03.194.717/0002-90</v>
          </cell>
          <cell r="G520" t="str">
            <v>NICO PEÇAS</v>
          </cell>
        </row>
        <row r="521">
          <cell r="A521">
            <v>27806</v>
          </cell>
          <cell r="B521" t="str">
            <v>CORPORATION</v>
          </cell>
          <cell r="C521" t="str">
            <v>Auto Tintas Ribeiro Ltda - Me</v>
          </cell>
          <cell r="D521" t="str">
            <v>Auto Tintas Ribeiro Ltda - Me</v>
          </cell>
          <cell r="E521" t="str">
            <v>06.305.062</v>
          </cell>
          <cell r="F521" t="str">
            <v>06.305.062/0001-98</v>
          </cell>
        </row>
        <row r="522">
          <cell r="A522">
            <v>27808</v>
          </cell>
          <cell r="B522" t="str">
            <v>CORPORATION</v>
          </cell>
          <cell r="C522" t="str">
            <v>Wm Silva Comercio E Servicos Eireli</v>
          </cell>
          <cell r="D522" t="str">
            <v>Imak - Maquinas E Ferramentas</v>
          </cell>
          <cell r="E522" t="str">
            <v>26.705.763</v>
          </cell>
          <cell r="F522" t="str">
            <v>26.705.763/0001-21</v>
          </cell>
        </row>
        <row r="523">
          <cell r="A523">
            <v>27809</v>
          </cell>
          <cell r="B523" t="str">
            <v>CORPORATION</v>
          </cell>
          <cell r="C523" t="str">
            <v>Real Motores Ltda - Epp</v>
          </cell>
          <cell r="D523" t="str">
            <v>Real Motores Ltda - Epp</v>
          </cell>
          <cell r="E523" t="str">
            <v>41.945.197</v>
          </cell>
          <cell r="F523" t="str">
            <v>41.945.197/0001-19</v>
          </cell>
        </row>
        <row r="524">
          <cell r="A524">
            <v>27811</v>
          </cell>
          <cell r="B524" t="str">
            <v>CORPORATION</v>
          </cell>
          <cell r="C524" t="str">
            <v>Marvit Comercial De Ferramentas Ltda - Me</v>
          </cell>
          <cell r="D524" t="str">
            <v>Marvit</v>
          </cell>
          <cell r="E524" t="str">
            <v>61.479.846</v>
          </cell>
          <cell r="F524" t="str">
            <v>61.479.846/0001-40</v>
          </cell>
        </row>
        <row r="525">
          <cell r="A525">
            <v>27814</v>
          </cell>
          <cell r="B525" t="str">
            <v>CORPORATION</v>
          </cell>
          <cell r="C525" t="str">
            <v>Antonio Gilberto Teixeira Alves Junior - Epp</v>
          </cell>
          <cell r="D525" t="str">
            <v>Antonio Gilberto Teixeira Alves Junior - Epp</v>
          </cell>
          <cell r="E525" t="str">
            <v>64.382.120</v>
          </cell>
          <cell r="F525" t="str">
            <v>64.382.120/0001-83</v>
          </cell>
        </row>
        <row r="526">
          <cell r="A526">
            <v>27816</v>
          </cell>
          <cell r="B526" t="str">
            <v>CORPORATION</v>
          </cell>
          <cell r="C526" t="str">
            <v>Soldafer Ferramentas E-Commerce Ltda</v>
          </cell>
          <cell r="D526" t="str">
            <v>Soldafer Ferramentas</v>
          </cell>
          <cell r="E526" t="str">
            <v>41.794.284</v>
          </cell>
          <cell r="F526" t="str">
            <v>41.794.284/0001-12</v>
          </cell>
          <cell r="G526" t="str">
            <v>SOLDAFER</v>
          </cell>
        </row>
        <row r="527">
          <cell r="A527">
            <v>27817</v>
          </cell>
          <cell r="B527" t="str">
            <v>CORPORATION</v>
          </cell>
          <cell r="C527" t="str">
            <v>Cofesa - Comercio De Ferragens Santo Antonio Ltda.</v>
          </cell>
          <cell r="D527" t="str">
            <v>Cofesa - Comercio De Ferragens Santo Antonio Ltda.</v>
          </cell>
          <cell r="E527" t="str">
            <v>17.144.254</v>
          </cell>
          <cell r="F527" t="str">
            <v>17.144.254/0001-86</v>
          </cell>
        </row>
        <row r="528">
          <cell r="A528">
            <v>27819</v>
          </cell>
          <cell r="B528" t="str">
            <v>CORPORATION</v>
          </cell>
          <cell r="C528" t="str">
            <v>Rr - Comercio De Equipamentos Industriais Ltda.</v>
          </cell>
          <cell r="D528" t="str">
            <v>Rr Maquinas</v>
          </cell>
          <cell r="E528" t="str">
            <v>05.045.200</v>
          </cell>
          <cell r="F528" t="str">
            <v>05.045.200/0001-84</v>
          </cell>
        </row>
        <row r="529">
          <cell r="A529">
            <v>27821</v>
          </cell>
          <cell r="B529" t="str">
            <v>CORPORATION</v>
          </cell>
          <cell r="C529" t="str">
            <v>Top Licita Licitacoes E Comercio De Produtos Em Geral Eireli</v>
          </cell>
          <cell r="D529" t="str">
            <v>Top Licita</v>
          </cell>
          <cell r="E529" t="str">
            <v>22.883.543</v>
          </cell>
          <cell r="F529" t="str">
            <v>22.883.543/0001-37</v>
          </cell>
          <cell r="G529" t="str">
            <v>TOP LICITA</v>
          </cell>
        </row>
        <row r="530">
          <cell r="A530">
            <v>27823</v>
          </cell>
          <cell r="B530" t="str">
            <v>CORPORATION</v>
          </cell>
          <cell r="C530" t="str">
            <v>Jose Pontifice De Oliveira Cpf 059.611.656-04 - Epp</v>
          </cell>
          <cell r="D530" t="str">
            <v>Rei Das Tintas</v>
          </cell>
          <cell r="E530" t="str">
            <v>68.507.144</v>
          </cell>
          <cell r="F530" t="str">
            <v>68.507.144/0001-72</v>
          </cell>
        </row>
        <row r="531">
          <cell r="A531">
            <v>27826</v>
          </cell>
          <cell r="B531" t="str">
            <v>CORPORATION</v>
          </cell>
          <cell r="C531" t="str">
            <v>Alugavaco Alugueis De Maquinas Vale Do Aco Ltda - Epp</v>
          </cell>
          <cell r="D531" t="str">
            <v>Alugavaco</v>
          </cell>
          <cell r="E531" t="str">
            <v>01.524.878</v>
          </cell>
          <cell r="F531" t="str">
            <v>01.524.878/0001-99</v>
          </cell>
        </row>
        <row r="532">
          <cell r="A532">
            <v>27827</v>
          </cell>
          <cell r="B532" t="str">
            <v>CORPORATION</v>
          </cell>
          <cell r="C532" t="str">
            <v>Ultra Maquinas Comercial De Ferramentas Ltda</v>
          </cell>
          <cell r="D532" t="str">
            <v>Ultra Maquinas Comercial De Ferramentas Ltda</v>
          </cell>
          <cell r="E532" t="str">
            <v>00.314.550</v>
          </cell>
          <cell r="F532" t="str">
            <v>00.314.550/0006-90</v>
          </cell>
          <cell r="G532" t="str">
            <v>ULTRA MAQUINAS</v>
          </cell>
        </row>
        <row r="533">
          <cell r="A533">
            <v>27829</v>
          </cell>
          <cell r="B533" t="str">
            <v>CORPORATION</v>
          </cell>
          <cell r="C533" t="str">
            <v>Viferro Ferramentas E Ferragens Ltda</v>
          </cell>
          <cell r="D533" t="str">
            <v>Viferro Ferramentas E Ferragens Ltda</v>
          </cell>
          <cell r="E533" t="str">
            <v>28.415.370</v>
          </cell>
          <cell r="F533" t="str">
            <v>28.415.370/0001-09</v>
          </cell>
        </row>
        <row r="534">
          <cell r="A534">
            <v>27833</v>
          </cell>
          <cell r="B534" t="str">
            <v>CORPORATION</v>
          </cell>
          <cell r="C534" t="str">
            <v>A Brasil Recursos Industriais Eireli</v>
          </cell>
          <cell r="D534" t="str">
            <v>Br Industrial</v>
          </cell>
          <cell r="E534" t="str">
            <v>25.033.375</v>
          </cell>
          <cell r="F534" t="str">
            <v>25.033.375/0001-89</v>
          </cell>
        </row>
        <row r="535">
          <cell r="A535">
            <v>27835</v>
          </cell>
          <cell r="B535" t="str">
            <v>CORPORATION</v>
          </cell>
          <cell r="C535" t="str">
            <v>Action Plane Comercio De Gases Industriais Ltda - Epp</v>
          </cell>
          <cell r="D535" t="str">
            <v>Oxi Sul Gases Industriais</v>
          </cell>
          <cell r="E535" t="str">
            <v>02.157.205</v>
          </cell>
          <cell r="F535" t="str">
            <v>02.157.205/0001-00</v>
          </cell>
        </row>
        <row r="536">
          <cell r="A536">
            <v>27839</v>
          </cell>
          <cell r="B536" t="str">
            <v>CORPORATION</v>
          </cell>
          <cell r="C536" t="str">
            <v>Armazem Sao Geraldo Ltda - Me</v>
          </cell>
          <cell r="D536" t="str">
            <v>Armazem Sao Geraldo</v>
          </cell>
          <cell r="E536" t="str">
            <v>23.338.148</v>
          </cell>
          <cell r="F536" t="str">
            <v>23.338.148/0001-36</v>
          </cell>
        </row>
        <row r="537">
          <cell r="A537">
            <v>27840</v>
          </cell>
          <cell r="B537" t="str">
            <v>CORPORATION</v>
          </cell>
          <cell r="C537" t="str">
            <v>Cat Tron Tecnologia E Metalurgica Ltda</v>
          </cell>
          <cell r="D537" t="str">
            <v>B &amp; G Distribuidora</v>
          </cell>
          <cell r="E537" t="str">
            <v>04.029.445</v>
          </cell>
          <cell r="F537" t="str">
            <v>04.029.445/0001-55</v>
          </cell>
        </row>
        <row r="538">
          <cell r="A538">
            <v>27842</v>
          </cell>
          <cell r="B538" t="str">
            <v>CORPORATION</v>
          </cell>
          <cell r="C538" t="str">
            <v>Acofort Caldeiraria E Metalurgia Ltda - Me</v>
          </cell>
          <cell r="D538" t="str">
            <v>Acofort</v>
          </cell>
          <cell r="E538" t="str">
            <v>04.217.273</v>
          </cell>
          <cell r="F538" t="str">
            <v>04.217.273/0001-43</v>
          </cell>
        </row>
        <row r="539">
          <cell r="A539">
            <v>27845</v>
          </cell>
          <cell r="B539" t="str">
            <v>CORPORATION</v>
          </cell>
          <cell r="C539" t="str">
            <v>Valtec Valvulas Tecnicas Industriais Ltda</v>
          </cell>
          <cell r="D539" t="str">
            <v>Valtec</v>
          </cell>
          <cell r="E539" t="str">
            <v>30.026.710</v>
          </cell>
          <cell r="F539" t="str">
            <v>30.026.710/0001-51</v>
          </cell>
        </row>
        <row r="540">
          <cell r="A540">
            <v>27851</v>
          </cell>
          <cell r="B540" t="str">
            <v>CORPORATION</v>
          </cell>
          <cell r="C540" t="str">
            <v>Vmc Comercio E Servicos Ltda - Epp</v>
          </cell>
          <cell r="D540" t="str">
            <v>Vmc Comercio E Servicos Ltda - Epp</v>
          </cell>
          <cell r="E540" t="str">
            <v>00.922.333</v>
          </cell>
          <cell r="F540" t="str">
            <v>00.922.333/0001-78</v>
          </cell>
        </row>
        <row r="541">
          <cell r="A541">
            <v>27852</v>
          </cell>
          <cell r="B541" t="str">
            <v>CORPORATION</v>
          </cell>
          <cell r="C541" t="str">
            <v>Mps Maquinas Pecas E Servicos Ltda - Me</v>
          </cell>
          <cell r="D541" t="str">
            <v>Maqtec</v>
          </cell>
          <cell r="E541" t="str">
            <v>07.542.542</v>
          </cell>
          <cell r="F541" t="str">
            <v>07.542.542/0001-35</v>
          </cell>
        </row>
        <row r="542">
          <cell r="A542">
            <v>27856</v>
          </cell>
          <cell r="B542" t="str">
            <v>CORPORATION</v>
          </cell>
          <cell r="C542" t="str">
            <v>Papatec Ltda - Me</v>
          </cell>
          <cell r="D542" t="str">
            <v>Papatec Ltda - Me</v>
          </cell>
          <cell r="E542" t="str">
            <v>41.946.823</v>
          </cell>
          <cell r="F542" t="str">
            <v>41.946.823/0001-91</v>
          </cell>
        </row>
        <row r="543">
          <cell r="A543">
            <v>27861</v>
          </cell>
          <cell r="B543" t="str">
            <v>CORPORATION</v>
          </cell>
          <cell r="C543" t="str">
            <v>Hidromepe Engen Manut Hidraul Ind Com Lt</v>
          </cell>
          <cell r="D543" t="str">
            <v>A Casa Dos Macacos</v>
          </cell>
          <cell r="E543" t="str">
            <v>51.946.630</v>
          </cell>
          <cell r="F543" t="str">
            <v>51.946.630/0001-94</v>
          </cell>
        </row>
        <row r="544">
          <cell r="A544">
            <v>27862</v>
          </cell>
          <cell r="B544" t="str">
            <v>CORPORATION</v>
          </cell>
          <cell r="C544" t="str">
            <v>Gustavo Alves Da Silva</v>
          </cell>
          <cell r="D544" t="str">
            <v>Casa Do Criador</v>
          </cell>
          <cell r="E544" t="str">
            <v>11.084.600</v>
          </cell>
          <cell r="F544" t="str">
            <v>11.084.600/0001-00</v>
          </cell>
        </row>
        <row r="545">
          <cell r="A545">
            <v>27864</v>
          </cell>
          <cell r="B545" t="str">
            <v>CORPORATION</v>
          </cell>
          <cell r="C545" t="str">
            <v>Redescape Ltda - Epp</v>
          </cell>
          <cell r="D545" t="str">
            <v>Redescape Ltda - Epp</v>
          </cell>
          <cell r="E545" t="str">
            <v>01.740.043</v>
          </cell>
          <cell r="F545" t="str">
            <v>01.740.043/0001-76</v>
          </cell>
        </row>
        <row r="546">
          <cell r="A546">
            <v>27867</v>
          </cell>
          <cell r="B546" t="str">
            <v>CORPORATION</v>
          </cell>
          <cell r="C546" t="str">
            <v>M J Moreira Auto Peças Me</v>
          </cell>
          <cell r="D546" t="str">
            <v>Agricar Auto Peças</v>
          </cell>
          <cell r="E546" t="str">
            <v>14.515.628</v>
          </cell>
          <cell r="F546" t="str">
            <v>14.515.628/0001-34</v>
          </cell>
        </row>
        <row r="547">
          <cell r="A547">
            <v>27871</v>
          </cell>
          <cell r="B547" t="str">
            <v>CORPORATION</v>
          </cell>
          <cell r="C547" t="str">
            <v>Metais Comercial Ltda</v>
          </cell>
          <cell r="D547" t="str">
            <v>Sa Metais</v>
          </cell>
          <cell r="E547" t="str">
            <v>68.075.613</v>
          </cell>
          <cell r="F547" t="str">
            <v>68.075.613/0001-21</v>
          </cell>
        </row>
        <row r="548">
          <cell r="A548">
            <v>27874</v>
          </cell>
          <cell r="B548" t="str">
            <v>CORPORATION</v>
          </cell>
          <cell r="C548" t="str">
            <v>Comven Comercio De Maquinas E Ferramentas Ltda - Me</v>
          </cell>
          <cell r="D548" t="str">
            <v>Comven Maquinas E Ferramentas</v>
          </cell>
          <cell r="E548" t="str">
            <v>03.957.568</v>
          </cell>
          <cell r="F548" t="str">
            <v>03.957.568/0001-93</v>
          </cell>
        </row>
        <row r="549">
          <cell r="A549">
            <v>27880</v>
          </cell>
          <cell r="B549" t="str">
            <v>CORPORATION</v>
          </cell>
          <cell r="C549" t="str">
            <v>Ulete Mota E Cia Ltda</v>
          </cell>
          <cell r="D549" t="str">
            <v>Ulete Mota E Cia Ltda</v>
          </cell>
          <cell r="E549" t="str">
            <v>24.231.276</v>
          </cell>
          <cell r="F549" t="str">
            <v>24.231.276/0001-49</v>
          </cell>
        </row>
        <row r="550">
          <cell r="A550">
            <v>27886</v>
          </cell>
          <cell r="B550" t="str">
            <v>CORPORATION</v>
          </cell>
          <cell r="C550" t="str">
            <v>Suediva Dos Santos Cordeiro 29064077800</v>
          </cell>
          <cell r="D550" t="str">
            <v>Lopes Parafusos</v>
          </cell>
          <cell r="E550" t="str">
            <v>19.820.081</v>
          </cell>
          <cell r="F550" t="str">
            <v>19.820.081/0001-02</v>
          </cell>
        </row>
        <row r="551">
          <cell r="A551">
            <v>27890</v>
          </cell>
          <cell r="B551" t="str">
            <v>CORPORATION</v>
          </cell>
          <cell r="C551" t="str">
            <v>J E Comercio De Ferragens Ltda - Me</v>
          </cell>
          <cell r="D551" t="str">
            <v>J E Comercio De Ferragens Ltda - Me</v>
          </cell>
          <cell r="E551" t="str">
            <v>25.481.128</v>
          </cell>
          <cell r="F551" t="str">
            <v>25.481.128/0001-45</v>
          </cell>
        </row>
        <row r="552">
          <cell r="A552">
            <v>27893</v>
          </cell>
          <cell r="B552" t="str">
            <v>CORPORATION</v>
          </cell>
          <cell r="C552" t="str">
            <v>Mercantil Maquinas E Equipamentos Ltda</v>
          </cell>
          <cell r="D552" t="str">
            <v>Mercantil Maquinas</v>
          </cell>
          <cell r="E552" t="str">
            <v>25.604.794</v>
          </cell>
          <cell r="F552" t="str">
            <v>25.604.794/0001-23</v>
          </cell>
        </row>
        <row r="553">
          <cell r="A553">
            <v>27896</v>
          </cell>
          <cell r="B553" t="str">
            <v>CORPORATION</v>
          </cell>
          <cell r="C553" t="str">
            <v>Episol Protecao E Equipamentos Industriais Eireli - Epp</v>
          </cell>
          <cell r="D553" t="str">
            <v>Episol</v>
          </cell>
          <cell r="E553" t="str">
            <v>15.724.159</v>
          </cell>
          <cell r="F553" t="str">
            <v>15.724.159/0002-07</v>
          </cell>
        </row>
        <row r="554">
          <cell r="A554">
            <v>27899</v>
          </cell>
          <cell r="B554" t="str">
            <v>CORPORATION</v>
          </cell>
          <cell r="C554" t="str">
            <v>Valdemir Dos Santos Ferragens Ltda</v>
          </cell>
          <cell r="D554" t="str">
            <v>Cmfer-Ferragens</v>
          </cell>
          <cell r="E554" t="str">
            <v>29.312.615</v>
          </cell>
          <cell r="F554" t="str">
            <v>29.312.615/0001-35</v>
          </cell>
          <cell r="G554" t="str">
            <v>CMFER</v>
          </cell>
        </row>
        <row r="555">
          <cell r="A555">
            <v>27900</v>
          </cell>
          <cell r="B555" t="str">
            <v>CORPORATION</v>
          </cell>
          <cell r="C555" t="str">
            <v>Air Gases Comercio De Gas Ltda - Epp</v>
          </cell>
          <cell r="D555" t="str">
            <v>Air Gases</v>
          </cell>
          <cell r="E555" t="str">
            <v>32.231.367</v>
          </cell>
          <cell r="F555" t="str">
            <v>32.231.367/0001-02</v>
          </cell>
        </row>
        <row r="556">
          <cell r="A556">
            <v>27901</v>
          </cell>
          <cell r="B556" t="str">
            <v>CORPORATION</v>
          </cell>
          <cell r="C556" t="str">
            <v>Tecg Manutencao De Maquinas Industriais, Treinamentos Em Automacao Industrial E Soldagem</v>
          </cell>
          <cell r="D556" t="str">
            <v>Tecg Treinamento E Servicos Industriais</v>
          </cell>
          <cell r="E556" t="str">
            <v>10.385.428</v>
          </cell>
          <cell r="F556" t="str">
            <v>10.385.428/0001-53</v>
          </cell>
        </row>
        <row r="557">
          <cell r="A557">
            <v>27902</v>
          </cell>
          <cell r="B557" t="str">
            <v>CORPORATION</v>
          </cell>
          <cell r="C557" t="str">
            <v>Divinopolis Ferramentas Eletricas Ltda - Me</v>
          </cell>
          <cell r="D557" t="str">
            <v>Divinopolis Ferramentas Eletricas Ltda - Me</v>
          </cell>
          <cell r="E557" t="str">
            <v>05.560.175</v>
          </cell>
          <cell r="F557" t="str">
            <v>05.560.175/0001-77</v>
          </cell>
        </row>
        <row r="558">
          <cell r="A558">
            <v>27903</v>
          </cell>
          <cell r="B558" t="str">
            <v>CORPORATION</v>
          </cell>
          <cell r="C558" t="str">
            <v>P.F Meotti Licitacoes Ltda</v>
          </cell>
          <cell r="D558" t="str">
            <v>Nautica</v>
          </cell>
          <cell r="E558" t="str">
            <v>34.133.591</v>
          </cell>
          <cell r="F558" t="str">
            <v>34.133.591/0001-97</v>
          </cell>
        </row>
        <row r="559">
          <cell r="A559">
            <v>27904</v>
          </cell>
          <cell r="B559" t="str">
            <v>CORPORATION</v>
          </cell>
          <cell r="C559" t="str">
            <v>Cristiane Dos Santos Bernardes Dias Ltda</v>
          </cell>
          <cell r="D559" t="str">
            <v>Irrig Mais</v>
          </cell>
          <cell r="E559" t="str">
            <v>28.532.258</v>
          </cell>
          <cell r="F559" t="str">
            <v>28.532.258/0001-58</v>
          </cell>
        </row>
        <row r="560">
          <cell r="A560">
            <v>27905</v>
          </cell>
          <cell r="B560" t="str">
            <v>CORPORATION</v>
          </cell>
          <cell r="C560" t="str">
            <v>Red Parts - Comercio De Equipamentos De Segurana E Ferramentas Ltda - Epp</v>
          </cell>
          <cell r="D560" t="str">
            <v>Red Parts</v>
          </cell>
          <cell r="E560" t="str">
            <v>56.405.665</v>
          </cell>
          <cell r="F560" t="str">
            <v>56.405.665/0001-30</v>
          </cell>
        </row>
        <row r="561">
          <cell r="A561">
            <v>27908</v>
          </cell>
          <cell r="B561" t="str">
            <v>CORPORATION</v>
          </cell>
          <cell r="C561" t="str">
            <v>S &amp; A Mielke E Cia Ltda</v>
          </cell>
          <cell r="D561" t="str">
            <v>Artesul Artefatos De Concreto</v>
          </cell>
          <cell r="E561" t="str">
            <v>04.366.741</v>
          </cell>
          <cell r="F561" t="str">
            <v>04.366.741/0001-41</v>
          </cell>
        </row>
        <row r="562">
          <cell r="A562">
            <v>27911</v>
          </cell>
          <cell r="B562" t="str">
            <v>CORPORATION</v>
          </cell>
          <cell r="C562" t="str">
            <v>Terezinha Mariucha Cruz - Me</v>
          </cell>
          <cell r="D562" t="str">
            <v>Casa Das Ferramentas</v>
          </cell>
          <cell r="E562" t="str">
            <v>10.473.547</v>
          </cell>
          <cell r="F562" t="str">
            <v>10.473.547/0001-68</v>
          </cell>
        </row>
        <row r="563">
          <cell r="A563">
            <v>27913</v>
          </cell>
          <cell r="B563" t="str">
            <v>CORPORATION</v>
          </cell>
          <cell r="C563" t="str">
            <v>Delta Parafusos E Ferramentas Ltda</v>
          </cell>
          <cell r="D563" t="str">
            <v>Delta Parafusos E Ferramentas Ltda</v>
          </cell>
          <cell r="E563" t="str">
            <v>08.668.530</v>
          </cell>
          <cell r="F563" t="str">
            <v>08.668.530/0001-14</v>
          </cell>
        </row>
        <row r="564">
          <cell r="A564">
            <v>27914</v>
          </cell>
          <cell r="B564" t="str">
            <v>CORPORATION</v>
          </cell>
          <cell r="C564" t="str">
            <v>Altevir Seidel Me</v>
          </cell>
          <cell r="D564" t="str">
            <v>Agrotratorseidel</v>
          </cell>
          <cell r="E564" t="str">
            <v>11.963.596</v>
          </cell>
          <cell r="F564" t="str">
            <v>11.963.596/0001-41</v>
          </cell>
        </row>
        <row r="565">
          <cell r="A565">
            <v>27916</v>
          </cell>
          <cell r="B565" t="str">
            <v>CORPORATION</v>
          </cell>
          <cell r="C565" t="str">
            <v>Petroseg Comércio De Soldas E Materiais De Segurança Ltda. - Epp</v>
          </cell>
          <cell r="D565" t="str">
            <v>Petroseg</v>
          </cell>
          <cell r="E565" t="str">
            <v>03.148.933</v>
          </cell>
          <cell r="F565" t="str">
            <v>03.148.933/0001-19</v>
          </cell>
        </row>
        <row r="566">
          <cell r="A566">
            <v>27917</v>
          </cell>
          <cell r="B566" t="str">
            <v>CORPORATION</v>
          </cell>
          <cell r="C566" t="str">
            <v>Pwt Distribuidora De Ferramentas Ltda</v>
          </cell>
          <cell r="D566" t="str">
            <v>Pwt Distribuidora De Ferramentas Ltda</v>
          </cell>
          <cell r="E566" t="str">
            <v>08.400.213</v>
          </cell>
          <cell r="F566" t="str">
            <v>08.400.213/0001-12</v>
          </cell>
        </row>
        <row r="567">
          <cell r="A567">
            <v>27919</v>
          </cell>
          <cell r="B567" t="str">
            <v>CORPORATION</v>
          </cell>
          <cell r="C567" t="str">
            <v>Yamamoto &amp; Barreto Ltda - Me</v>
          </cell>
          <cell r="D567" t="str">
            <v>A Rebimbela</v>
          </cell>
          <cell r="E567" t="str">
            <v>04.351.487</v>
          </cell>
          <cell r="F567" t="str">
            <v>04.351.487/0001-08</v>
          </cell>
        </row>
        <row r="568">
          <cell r="A568">
            <v>27922</v>
          </cell>
          <cell r="B568" t="str">
            <v>CORPORATION</v>
          </cell>
          <cell r="C568" t="str">
            <v>Potent Distribuicao E Representacao Ltda - Epp</v>
          </cell>
          <cell r="D568" t="str">
            <v>Potent</v>
          </cell>
          <cell r="E568" t="str">
            <v>03.939.863</v>
          </cell>
          <cell r="F568" t="str">
            <v>03.939.863/0001-17</v>
          </cell>
        </row>
        <row r="569">
          <cell r="A569">
            <v>27924</v>
          </cell>
          <cell r="B569" t="str">
            <v>CORPORATION</v>
          </cell>
          <cell r="C569" t="str">
            <v>Solucoes Comercio De Parafusos E Ferramentas Ltda</v>
          </cell>
          <cell r="D569" t="str">
            <v>Solucoes Parafusos E Ferramentas</v>
          </cell>
          <cell r="E569" t="str">
            <v>13.958.254</v>
          </cell>
          <cell r="F569" t="str">
            <v>13.958.254/0001-69</v>
          </cell>
        </row>
        <row r="570">
          <cell r="A570">
            <v>27926</v>
          </cell>
          <cell r="B570" t="str">
            <v>CORPORATION</v>
          </cell>
          <cell r="C570" t="str">
            <v>Prodotti Distribuidora Ltda - Me</v>
          </cell>
          <cell r="D570" t="str">
            <v>Prodotti</v>
          </cell>
          <cell r="E570" t="str">
            <v>04.237.176</v>
          </cell>
          <cell r="F570" t="str">
            <v>04.237.176/0001-12</v>
          </cell>
        </row>
        <row r="571">
          <cell r="A571">
            <v>27929</v>
          </cell>
          <cell r="B571" t="str">
            <v>CORPORATION</v>
          </cell>
          <cell r="C571" t="str">
            <v>Estrutec Comercio De Ferragens E Industria Ltda - Me</v>
          </cell>
          <cell r="D571" t="str">
            <v>Estrutec Comercio E Industria</v>
          </cell>
          <cell r="E571" t="str">
            <v>08.487.107</v>
          </cell>
          <cell r="F571" t="str">
            <v>08.487.107/0001-18</v>
          </cell>
        </row>
        <row r="572">
          <cell r="A572">
            <v>27932</v>
          </cell>
          <cell r="B572" t="str">
            <v>CORPORATION</v>
          </cell>
          <cell r="C572" t="str">
            <v>Irmaos Perobelli Comercio De Ferragens E Ferramentas Ltda - Epp</v>
          </cell>
          <cell r="D572" t="str">
            <v>Irmaos Perobelli Comercio De Ferragens E Ferramentas Ltda - Epp</v>
          </cell>
          <cell r="E572" t="str">
            <v>64.242.506</v>
          </cell>
          <cell r="F572" t="str">
            <v>64.242.506/0001-90</v>
          </cell>
        </row>
        <row r="573">
          <cell r="A573">
            <v>27934</v>
          </cell>
          <cell r="B573" t="str">
            <v>CORPORATION</v>
          </cell>
          <cell r="C573" t="str">
            <v>A. C. Santos Da Silva Ltda</v>
          </cell>
          <cell r="D573" t="str">
            <v>Center Star</v>
          </cell>
          <cell r="E573" t="str">
            <v>17.364.553</v>
          </cell>
          <cell r="F573" t="str">
            <v>17.364.553/0001-26</v>
          </cell>
        </row>
        <row r="574">
          <cell r="A574">
            <v>27935</v>
          </cell>
          <cell r="B574" t="str">
            <v>CORPORATION</v>
          </cell>
          <cell r="C574" t="str">
            <v>Anfra Pecas Automotivas Ltda. - Me</v>
          </cell>
          <cell r="D574" t="str">
            <v>Anfra Pecas Automotivas</v>
          </cell>
          <cell r="E574" t="str">
            <v>11.085.426</v>
          </cell>
          <cell r="F574" t="str">
            <v>11.085.426/0001-01</v>
          </cell>
        </row>
        <row r="575">
          <cell r="A575">
            <v>27940</v>
          </cell>
          <cell r="B575" t="str">
            <v>CORPORATION</v>
          </cell>
          <cell r="C575" t="str">
            <v>Br100 Brasil Ferramentas Ltda</v>
          </cell>
          <cell r="D575" t="str">
            <v>Br100 (Cmfer)</v>
          </cell>
          <cell r="E575" t="str">
            <v>05.779.016</v>
          </cell>
          <cell r="F575" t="str">
            <v>05.779.016/0001-68</v>
          </cell>
          <cell r="G575" t="str">
            <v>CMFER</v>
          </cell>
        </row>
        <row r="576">
          <cell r="A576">
            <v>27944</v>
          </cell>
          <cell r="B576" t="str">
            <v>CORPORATION</v>
          </cell>
          <cell r="C576" t="str">
            <v>Suprisoldas Ltda - Me</v>
          </cell>
          <cell r="D576" t="str">
            <v>Suprisoldas</v>
          </cell>
          <cell r="E576" t="str">
            <v>10.972.584</v>
          </cell>
          <cell r="F576" t="str">
            <v>10.972.584/0001-10</v>
          </cell>
        </row>
        <row r="577">
          <cell r="A577">
            <v>27948</v>
          </cell>
          <cell r="B577" t="str">
            <v>CORPORATION</v>
          </cell>
          <cell r="C577" t="str">
            <v>Junifer Ferragens E Ferramentas Ltda</v>
          </cell>
          <cell r="D577" t="str">
            <v>Junifer Ferragens E Ferramentas</v>
          </cell>
          <cell r="E577" t="str">
            <v>03.046.416</v>
          </cell>
          <cell r="F577" t="str">
            <v>03.046.416/0001-39</v>
          </cell>
        </row>
        <row r="578">
          <cell r="A578">
            <v>27949</v>
          </cell>
          <cell r="B578" t="str">
            <v>CORPORATION</v>
          </cell>
          <cell r="C578" t="str">
            <v>J.D. Zinetti Comercio De Eletrodomesticos E Eletronicos Eireli</v>
          </cell>
          <cell r="D578" t="str">
            <v>J.D. Zinetti Comercio De Eletrodomesticos E Eletronicos Eireli</v>
          </cell>
          <cell r="E578" t="str">
            <v>13.699.850</v>
          </cell>
          <cell r="F578" t="str">
            <v>13.699.850/0001-71</v>
          </cell>
          <cell r="G578" t="str">
            <v>PESCADOR</v>
          </cell>
        </row>
        <row r="579">
          <cell r="A579">
            <v>27951</v>
          </cell>
          <cell r="B579" t="str">
            <v>CORPORATION</v>
          </cell>
          <cell r="C579" t="str">
            <v>Minas Seguranca Borrachas E Conexoes Ltda - Me</v>
          </cell>
          <cell r="D579" t="str">
            <v>Minas Seguranca Borrachas E Conexoes Ltda - Me</v>
          </cell>
          <cell r="E579" t="str">
            <v>03.484.593</v>
          </cell>
          <cell r="F579" t="str">
            <v>03.484.593/0001-05</v>
          </cell>
        </row>
        <row r="580">
          <cell r="A580">
            <v>27954</v>
          </cell>
          <cell r="B580" t="str">
            <v>CORPORATION</v>
          </cell>
          <cell r="C580" t="str">
            <v>Adf Ferramentas E Equipamentos Ltda</v>
          </cell>
          <cell r="D580" t="str">
            <v>Adf Ferramentas E Equipamentos Ltda</v>
          </cell>
          <cell r="E580" t="str">
            <v>08.798.197</v>
          </cell>
          <cell r="F580" t="str">
            <v>08.798.197/0001-68</v>
          </cell>
        </row>
        <row r="581">
          <cell r="A581">
            <v>27958</v>
          </cell>
          <cell r="B581" t="str">
            <v>CORPORATION</v>
          </cell>
          <cell r="C581" t="str">
            <v>Fermatil Comercio De Maquinas E Ferramentas Ltda - Epp</v>
          </cell>
          <cell r="D581" t="str">
            <v>Fermatil Comercio De Maquinas E Ferramentas Ltda - Epp</v>
          </cell>
          <cell r="E581" t="str">
            <v>25.504.044</v>
          </cell>
          <cell r="F581" t="str">
            <v>25.504.044/0001-80</v>
          </cell>
        </row>
        <row r="582">
          <cell r="A582">
            <v>27959</v>
          </cell>
          <cell r="B582" t="str">
            <v>CORPORATION</v>
          </cell>
          <cell r="C582" t="str">
            <v>Britaco Distribuidora De Acos Ltda</v>
          </cell>
          <cell r="D582" t="str">
            <v>Britaco</v>
          </cell>
          <cell r="E582" t="str">
            <v>00.067.747</v>
          </cell>
          <cell r="F582" t="str">
            <v>00.067.747/0001-67</v>
          </cell>
        </row>
        <row r="583">
          <cell r="A583">
            <v>27960</v>
          </cell>
          <cell r="B583" t="str">
            <v>CORPORATION</v>
          </cell>
          <cell r="C583" t="str">
            <v>Eletromag Ltda - Epp</v>
          </cell>
          <cell r="D583" t="str">
            <v>Eletromag Ltda - Epp</v>
          </cell>
          <cell r="E583" t="str">
            <v>01.896.061</v>
          </cell>
          <cell r="F583" t="str">
            <v>01.896.061/0001-41</v>
          </cell>
        </row>
        <row r="584">
          <cell r="A584">
            <v>27961</v>
          </cell>
          <cell r="B584" t="str">
            <v>CORPORATION</v>
          </cell>
          <cell r="C584" t="str">
            <v>Lafonte Materiais De Construcao Ltda</v>
          </cell>
          <cell r="D584" t="str">
            <v>Lafonte Materiais De Construcao</v>
          </cell>
          <cell r="E584" t="str">
            <v>28.930.907</v>
          </cell>
          <cell r="F584" t="str">
            <v>28.930.907/0001-79</v>
          </cell>
        </row>
        <row r="585">
          <cell r="A585">
            <v>27963</v>
          </cell>
          <cell r="B585" t="str">
            <v>CORPORATION</v>
          </cell>
          <cell r="C585" t="str">
            <v>Mega Maquinas E Equipamentos Ltda - Me</v>
          </cell>
          <cell r="D585" t="str">
            <v>Mega Maquinas</v>
          </cell>
          <cell r="E585" t="str">
            <v>12.559.573</v>
          </cell>
          <cell r="F585" t="str">
            <v>12.559.573/0001-39</v>
          </cell>
        </row>
        <row r="586">
          <cell r="A586">
            <v>27964</v>
          </cell>
          <cell r="B586" t="str">
            <v>CORPORATION</v>
          </cell>
          <cell r="C586" t="str">
            <v>Andre Anderson De Carvalho 21840473843</v>
          </cell>
          <cell r="D586" t="str">
            <v>Ferramentudo</v>
          </cell>
          <cell r="E586" t="str">
            <v>41.729.209</v>
          </cell>
          <cell r="F586" t="str">
            <v>41.729.209/0001-78</v>
          </cell>
        </row>
        <row r="587">
          <cell r="A587">
            <v>27966</v>
          </cell>
          <cell r="B587" t="str">
            <v>CORPORATION</v>
          </cell>
          <cell r="C587" t="str">
            <v>Ferramac Ferramentas E Equipamentos De Seguranca Ltda</v>
          </cell>
          <cell r="D587" t="str">
            <v>Ferramac Ferramentas E Equipamentos De Seguranca</v>
          </cell>
          <cell r="E587" t="str">
            <v>11.685.924</v>
          </cell>
          <cell r="F587" t="str">
            <v>11.685.924/0001-95</v>
          </cell>
          <cell r="G587" t="str">
            <v>FERRAMAC</v>
          </cell>
        </row>
        <row r="588">
          <cell r="A588">
            <v>27969</v>
          </cell>
          <cell r="B588" t="str">
            <v>CORPORATION</v>
          </cell>
          <cell r="C588" t="str">
            <v>Nova Comercial Parafusos E Ferramentas Ltda - Me</v>
          </cell>
          <cell r="D588" t="str">
            <v>Arco De Pua (Nova)</v>
          </cell>
          <cell r="E588" t="str">
            <v>06.268.313</v>
          </cell>
          <cell r="F588" t="str">
            <v>06.268.313/0001-01</v>
          </cell>
          <cell r="G588" t="str">
            <v>ARCO DE PUA</v>
          </cell>
        </row>
        <row r="589">
          <cell r="A589">
            <v>27977</v>
          </cell>
          <cell r="B589" t="str">
            <v>CORPORATION</v>
          </cell>
          <cell r="C589" t="str">
            <v>Michelle Caroline De Sousa Morais - Me</v>
          </cell>
          <cell r="D589" t="str">
            <v>Eletric Bolt Comercio De Ferramentas</v>
          </cell>
          <cell r="E589" t="str">
            <v>18.973.739</v>
          </cell>
          <cell r="F589" t="str">
            <v>18.973.739/0001-45</v>
          </cell>
        </row>
        <row r="590">
          <cell r="A590">
            <v>27980</v>
          </cell>
          <cell r="B590" t="str">
            <v>CORPORATION</v>
          </cell>
          <cell r="C590" t="str">
            <v>Generauto Ltda - Me</v>
          </cell>
          <cell r="D590" t="str">
            <v>Generauto Ltda - Me</v>
          </cell>
          <cell r="E590" t="str">
            <v>25.529.645</v>
          </cell>
          <cell r="F590" t="str">
            <v>25.529.645/0001-47</v>
          </cell>
        </row>
        <row r="591">
          <cell r="A591">
            <v>27984</v>
          </cell>
          <cell r="B591" t="str">
            <v>CORPORATION</v>
          </cell>
          <cell r="C591" t="str">
            <v>Dacofer Distribuidora De Aco E Ferro Ltda - Epp</v>
          </cell>
          <cell r="D591" t="str">
            <v>Dacofer Distribuidora De Aco E Ferro Ltda - Epp</v>
          </cell>
          <cell r="E591" t="str">
            <v>25.510.959</v>
          </cell>
          <cell r="F591" t="str">
            <v>25.510.959/0001-06</v>
          </cell>
        </row>
        <row r="592">
          <cell r="A592">
            <v>27987</v>
          </cell>
          <cell r="B592" t="str">
            <v>CORPORATION</v>
          </cell>
          <cell r="C592" t="str">
            <v>Oxicoper Ltda</v>
          </cell>
          <cell r="D592" t="str">
            <v>Oxicoper Ltda</v>
          </cell>
          <cell r="E592" t="str">
            <v>25.863.721</v>
          </cell>
          <cell r="F592" t="str">
            <v>25.863.721/0001-56</v>
          </cell>
        </row>
        <row r="593">
          <cell r="A593">
            <v>27988</v>
          </cell>
          <cell r="B593" t="str">
            <v>CORPORATION</v>
          </cell>
          <cell r="C593" t="str">
            <v>P Isabel De Sousa Vasconcelos Ltda</v>
          </cell>
          <cell r="D593" t="str">
            <v>P Isabel De Sousa Vasconcelos Filial Acailandia</v>
          </cell>
          <cell r="E593" t="str">
            <v>07.865.230</v>
          </cell>
          <cell r="F593" t="str">
            <v>07.865.230/0002-43</v>
          </cell>
          <cell r="G593" t="str">
            <v>COMAFEL</v>
          </cell>
        </row>
        <row r="594">
          <cell r="A594">
            <v>27989</v>
          </cell>
          <cell r="B594" t="str">
            <v>CORPORATION</v>
          </cell>
          <cell r="C594" t="str">
            <v>Conquista Automotiva Ltda - Me</v>
          </cell>
          <cell r="D594" t="str">
            <v>Conquista Automotiva</v>
          </cell>
          <cell r="E594" t="str">
            <v>05.055.038</v>
          </cell>
          <cell r="F594" t="str">
            <v>05.055.038/0001-85</v>
          </cell>
        </row>
        <row r="595">
          <cell r="A595">
            <v>27990</v>
          </cell>
          <cell r="B595" t="str">
            <v>CORPORATION</v>
          </cell>
          <cell r="C595" t="str">
            <v>L A Soares Comercio De Tintas Ltda</v>
          </cell>
          <cell r="D595" t="str">
            <v>L A Soares Comercio De Tintas Ltda</v>
          </cell>
          <cell r="E595" t="str">
            <v>31.870.700</v>
          </cell>
          <cell r="F595" t="str">
            <v>31.870.700/0001-60</v>
          </cell>
        </row>
        <row r="596">
          <cell r="A596">
            <v>27991</v>
          </cell>
          <cell r="B596" t="str">
            <v>CORPORATION</v>
          </cell>
          <cell r="C596" t="str">
            <v>Feitosa Ferragens E Ferramentas Ltda</v>
          </cell>
          <cell r="D596" t="str">
            <v>Casa Da Solda</v>
          </cell>
          <cell r="E596" t="str">
            <v>18.179.191</v>
          </cell>
          <cell r="F596" t="str">
            <v>18.179.191/0001-66</v>
          </cell>
        </row>
        <row r="597">
          <cell r="A597">
            <v>27992</v>
          </cell>
          <cell r="B597" t="str">
            <v>CORPORATION</v>
          </cell>
          <cell r="C597" t="str">
            <v>Guarumig Comercio E Servicos De Maquinas De Solda - Eireli</v>
          </cell>
          <cell r="D597" t="str">
            <v>Guarumig Assistencia Tecnica</v>
          </cell>
          <cell r="E597" t="str">
            <v>06.156.428</v>
          </cell>
          <cell r="F597" t="str">
            <v>06.156.428/0001-04</v>
          </cell>
        </row>
        <row r="598">
          <cell r="A598">
            <v>27994</v>
          </cell>
          <cell r="B598" t="str">
            <v>CORPORATION</v>
          </cell>
          <cell r="C598" t="str">
            <v>Grossi &amp; Oliveira Comercial Ltda - Me</v>
          </cell>
          <cell r="D598" t="str">
            <v>Tornoaco Pecas E Servicos</v>
          </cell>
          <cell r="E598" t="str">
            <v>03.501.092</v>
          </cell>
          <cell r="F598" t="str">
            <v>03.501.092/0001-81</v>
          </cell>
        </row>
        <row r="599">
          <cell r="A599">
            <v>27995</v>
          </cell>
          <cell r="B599" t="str">
            <v>CORPORATION</v>
          </cell>
          <cell r="C599" t="str">
            <v>Cofermag Comercio De Ferragens Ltda</v>
          </cell>
          <cell r="D599" t="str">
            <v>Cofermag</v>
          </cell>
          <cell r="E599" t="str">
            <v>04.400.802</v>
          </cell>
          <cell r="F599" t="str">
            <v>04.400.802/0001-40</v>
          </cell>
        </row>
        <row r="600">
          <cell r="A600">
            <v>27996</v>
          </cell>
          <cell r="B600" t="str">
            <v>CORPORATION</v>
          </cell>
          <cell r="C600" t="str">
            <v>Mercofer Comercio, Importacao E Exportacao De Ferragens Ltda - Epp</v>
          </cell>
          <cell r="D600" t="str">
            <v>Casa Brasil</v>
          </cell>
          <cell r="E600" t="str">
            <v>08.896.240</v>
          </cell>
          <cell r="F600" t="str">
            <v>08.896.240/0001-28</v>
          </cell>
        </row>
        <row r="601">
          <cell r="A601">
            <v>27997</v>
          </cell>
          <cell r="B601" t="str">
            <v>CORPORATION</v>
          </cell>
          <cell r="C601" t="str">
            <v>Nobre Ferragens Ltda</v>
          </cell>
          <cell r="D601" t="str">
            <v>Nobre Fechaduras E Ferragens</v>
          </cell>
          <cell r="E601" t="str">
            <v>06.200.643</v>
          </cell>
          <cell r="F601" t="str">
            <v>06.200.643/0001-65</v>
          </cell>
          <cell r="G601" t="str">
            <v>NOBRE FECHADURA</v>
          </cell>
        </row>
        <row r="602">
          <cell r="A602">
            <v>27999</v>
          </cell>
          <cell r="B602" t="str">
            <v>CORPORATION</v>
          </cell>
          <cell r="C602" t="str">
            <v>Vila Nova Tintas Ltda - Me</v>
          </cell>
          <cell r="D602" t="str">
            <v>Vila Nova Tintas Ltda - Me</v>
          </cell>
          <cell r="E602" t="str">
            <v>04.394.833</v>
          </cell>
          <cell r="F602" t="str">
            <v>04.394.833/0001-35</v>
          </cell>
        </row>
        <row r="603">
          <cell r="A603">
            <v>28000</v>
          </cell>
          <cell r="B603" t="str">
            <v>CORPORATION</v>
          </cell>
          <cell r="C603" t="str">
            <v>Dias Brandao E Silva Fechaduras Ltda</v>
          </cell>
          <cell r="D603" t="str">
            <v>Nobre Fechaduras</v>
          </cell>
          <cell r="E603" t="str">
            <v>38.084.619</v>
          </cell>
          <cell r="F603" t="str">
            <v>38.084.619/0001-02</v>
          </cell>
          <cell r="G603" t="str">
            <v>NOBRE FECHADURA</v>
          </cell>
        </row>
        <row r="604">
          <cell r="A604">
            <v>28002</v>
          </cell>
          <cell r="B604" t="str">
            <v>CORPORATION</v>
          </cell>
          <cell r="C604" t="str">
            <v>S &amp; P Ferramentas Ltda - Epp</v>
          </cell>
          <cell r="D604" t="str">
            <v>Scherer Ferramentas</v>
          </cell>
          <cell r="E604" t="str">
            <v>07.312.656</v>
          </cell>
          <cell r="F604" t="str">
            <v>07.312.656/0001-99</v>
          </cell>
        </row>
        <row r="605">
          <cell r="A605">
            <v>28005</v>
          </cell>
          <cell r="B605" t="str">
            <v>CORPORATION</v>
          </cell>
          <cell r="C605" t="str">
            <v>Pazini Distribuidora De Maquinas E Ferramentas Ltda - Me</v>
          </cell>
          <cell r="D605" t="str">
            <v>Pazini Maquinas E Ferramentas</v>
          </cell>
          <cell r="E605" t="str">
            <v>04.813.081</v>
          </cell>
          <cell r="F605" t="str">
            <v>04.813.081/0001-08</v>
          </cell>
        </row>
        <row r="606">
          <cell r="A606">
            <v>28006</v>
          </cell>
          <cell r="B606" t="str">
            <v>CORPORATION</v>
          </cell>
          <cell r="C606" t="str">
            <v>M E R Delgado Coutinho</v>
          </cell>
          <cell r="D606" t="str">
            <v>Esio Motor</v>
          </cell>
          <cell r="E606" t="str">
            <v>07.103.111</v>
          </cell>
          <cell r="F606" t="str">
            <v>07.103.111/0001-72</v>
          </cell>
        </row>
        <row r="607">
          <cell r="A607">
            <v>28008</v>
          </cell>
          <cell r="B607" t="str">
            <v>CORPORATION</v>
          </cell>
          <cell r="C607" t="str">
            <v>Garra Comercio E Servicos Ltda - Epp</v>
          </cell>
          <cell r="D607" t="str">
            <v>Garra Comercio E Servicos Ltda - Epp</v>
          </cell>
          <cell r="E607" t="str">
            <v>17.910.485</v>
          </cell>
          <cell r="F607" t="str">
            <v>17.910.485/0001-53</v>
          </cell>
        </row>
        <row r="608">
          <cell r="A608">
            <v>28012</v>
          </cell>
          <cell r="B608" t="str">
            <v>CORPORATION</v>
          </cell>
          <cell r="C608" t="str">
            <v>Importt Importacao, Distribuicao E Varejo Ltda</v>
          </cell>
          <cell r="D608" t="str">
            <v>Brester/Basforte</v>
          </cell>
          <cell r="E608" t="str">
            <v>41.358.696</v>
          </cell>
          <cell r="F608" t="str">
            <v>41.358.696/0001-00</v>
          </cell>
        </row>
        <row r="609">
          <cell r="A609">
            <v>28014</v>
          </cell>
          <cell r="B609" t="str">
            <v>CORPORATION</v>
          </cell>
          <cell r="C609" t="str">
            <v>Campina Grande Comercio De Maquinas Pecas E Equipamentos Ltda-Me</v>
          </cell>
          <cell r="D609" t="str">
            <v>Campina Grande Comercio De Maquinas Pecas E Equipamentos Ltda-Me</v>
          </cell>
          <cell r="E609" t="str">
            <v>05.539.411</v>
          </cell>
          <cell r="F609" t="str">
            <v>05.539.411/0001-73</v>
          </cell>
        </row>
        <row r="610">
          <cell r="A610">
            <v>28016</v>
          </cell>
          <cell r="B610" t="str">
            <v>CORPORATION</v>
          </cell>
          <cell r="C610" t="str">
            <v>Camilo Mariano De Carvalho Ferreira</v>
          </cell>
          <cell r="D610" t="str">
            <v>Paulistana Moveis Planejados E Ferramentas</v>
          </cell>
          <cell r="E610" t="str">
            <v>33.011.480</v>
          </cell>
          <cell r="F610" t="str">
            <v>33.011.480/0001-45</v>
          </cell>
        </row>
        <row r="611">
          <cell r="A611">
            <v>28017</v>
          </cell>
          <cell r="B611" t="str">
            <v>CORPORATION</v>
          </cell>
          <cell r="C611" t="str">
            <v>Taurus Locacoes De Maquinas E Equipamentos Ltda - Epp</v>
          </cell>
          <cell r="D611" t="str">
            <v>Taurus Locacoes De Maquinas E Equipamentos Ltda - Epp</v>
          </cell>
          <cell r="E611" t="str">
            <v>68.523.273</v>
          </cell>
          <cell r="F611" t="str">
            <v>68.523.273/0001-54</v>
          </cell>
        </row>
        <row r="612">
          <cell r="A612">
            <v>28020</v>
          </cell>
          <cell r="B612" t="str">
            <v>CORPORATION</v>
          </cell>
          <cell r="C612" t="str">
            <v>Maquina Forte Ferramentas E Epis Eireli - Epp</v>
          </cell>
          <cell r="D612" t="str">
            <v>Maquinaforte</v>
          </cell>
          <cell r="E612" t="str">
            <v>14.784.206</v>
          </cell>
          <cell r="F612" t="str">
            <v>14.784.206/0001-64</v>
          </cell>
        </row>
        <row r="613">
          <cell r="A613">
            <v>28023</v>
          </cell>
          <cell r="B613" t="str">
            <v>CORPORATION</v>
          </cell>
          <cell r="C613" t="str">
            <v>Ipabrac Ltda</v>
          </cell>
          <cell r="D613" t="str">
            <v>Ipabrac</v>
          </cell>
          <cell r="E613" t="str">
            <v>25.631.151</v>
          </cell>
          <cell r="F613" t="str">
            <v>25.631.151/0001-79</v>
          </cell>
        </row>
        <row r="614">
          <cell r="A614">
            <v>28026</v>
          </cell>
          <cell r="B614" t="str">
            <v>CORPORATION</v>
          </cell>
          <cell r="C614" t="str">
            <v>Adriane Ivankio Schettert - Me</v>
          </cell>
          <cell r="D614" t="str">
            <v>Mandimaq Comercio De Maquinas</v>
          </cell>
          <cell r="E614" t="str">
            <v>13.876.086</v>
          </cell>
          <cell r="F614" t="str">
            <v>13.876.086/0001-62</v>
          </cell>
        </row>
        <row r="615">
          <cell r="A615">
            <v>28029</v>
          </cell>
          <cell r="B615" t="str">
            <v>CORPORATION</v>
          </cell>
          <cell r="C615" t="str">
            <v>Copare - Comercio De Parafusos Erechim Ltda.</v>
          </cell>
          <cell r="D615" t="str">
            <v>Copare</v>
          </cell>
          <cell r="E615" t="str">
            <v>87.359.568</v>
          </cell>
          <cell r="F615" t="str">
            <v>87.359.568/0001-81</v>
          </cell>
        </row>
        <row r="616">
          <cell r="A616">
            <v>28031</v>
          </cell>
          <cell r="B616" t="str">
            <v>CORPORATION</v>
          </cell>
          <cell r="C616" t="str">
            <v>Joao Eustaquio Do Couto - Me</v>
          </cell>
          <cell r="D616" t="str">
            <v>Joao Eustaquio Do Couto - Me</v>
          </cell>
          <cell r="E616" t="str">
            <v>03.132.043</v>
          </cell>
          <cell r="F616" t="str">
            <v>03.132.043/0001-19</v>
          </cell>
        </row>
        <row r="617">
          <cell r="A617">
            <v>28034</v>
          </cell>
          <cell r="B617" t="str">
            <v>CORPORATION</v>
          </cell>
          <cell r="C617" t="str">
            <v>Ass Manz Comercio De Produtos Eletricos Ltda - Me</v>
          </cell>
          <cell r="D617" t="str">
            <v>Ass Manz</v>
          </cell>
          <cell r="E617" t="str">
            <v>50.146.083</v>
          </cell>
          <cell r="F617" t="str">
            <v>50.146.083/0001-08</v>
          </cell>
        </row>
        <row r="618">
          <cell r="A618">
            <v>28037</v>
          </cell>
          <cell r="B618" t="str">
            <v>CORPORATION</v>
          </cell>
          <cell r="C618" t="str">
            <v>Jet Maquinas E Assistencia Tecnica Ltda - Epp</v>
          </cell>
          <cell r="D618" t="str">
            <v>Jet Maquinas</v>
          </cell>
          <cell r="E618" t="str">
            <v>00.890.438</v>
          </cell>
          <cell r="F618" t="str">
            <v>00.890.438/0001-92</v>
          </cell>
        </row>
        <row r="619">
          <cell r="A619">
            <v>28038</v>
          </cell>
          <cell r="B619" t="str">
            <v>CORPORATION</v>
          </cell>
          <cell r="C619" t="str">
            <v>Comercial Machadinho Ltda</v>
          </cell>
          <cell r="D619" t="str">
            <v>Ferragista Tend Tudo</v>
          </cell>
          <cell r="E619" t="str">
            <v>00.968.883</v>
          </cell>
          <cell r="F619" t="str">
            <v>00.968.883/0001-28</v>
          </cell>
        </row>
        <row r="620">
          <cell r="A620">
            <v>28039</v>
          </cell>
          <cell r="B620" t="str">
            <v>CORPORATION</v>
          </cell>
          <cell r="C620" t="str">
            <v>Erk Rolamentos Ltda</v>
          </cell>
          <cell r="D620" t="str">
            <v>Erk Rolamentos</v>
          </cell>
          <cell r="E620" t="str">
            <v>09.464.386</v>
          </cell>
          <cell r="F620" t="str">
            <v>09.464.386/0001-67</v>
          </cell>
        </row>
        <row r="621">
          <cell r="A621">
            <v>28040</v>
          </cell>
          <cell r="B621" t="str">
            <v>CORPORATION</v>
          </cell>
          <cell r="C621" t="str">
            <v>J A Kuhn - Me</v>
          </cell>
          <cell r="D621" t="str">
            <v>J A Soldas</v>
          </cell>
          <cell r="E621" t="str">
            <v>03.807.270</v>
          </cell>
          <cell r="F621" t="str">
            <v>03.807.270/0001-05</v>
          </cell>
        </row>
        <row r="622">
          <cell r="A622">
            <v>28043</v>
          </cell>
          <cell r="B622" t="str">
            <v>CORPORATION</v>
          </cell>
          <cell r="C622" t="str">
            <v>Shop Das Soldas Comercio De Gases Industriais E Equipamentos Ltda - Epp</v>
          </cell>
          <cell r="D622" t="str">
            <v>Shop Das Soldas</v>
          </cell>
          <cell r="E622" t="str">
            <v>04.498.084</v>
          </cell>
          <cell r="F622" t="str">
            <v>04.498.084/0001-96</v>
          </cell>
        </row>
        <row r="623">
          <cell r="A623">
            <v>28045</v>
          </cell>
          <cell r="B623" t="str">
            <v>CORPORATION</v>
          </cell>
          <cell r="C623" t="str">
            <v>Parfer Distribuidora De Parafusos, Maquinas E Ferramentas Ltda</v>
          </cell>
          <cell r="D623" t="str">
            <v>Parfer Distribuidora / Guina</v>
          </cell>
          <cell r="E623" t="str">
            <v>24.674.332</v>
          </cell>
          <cell r="F623" t="str">
            <v>24.674.332/0001-10</v>
          </cell>
          <cell r="G623" t="str">
            <v>GUINA/ PARFER</v>
          </cell>
        </row>
        <row r="624">
          <cell r="A624">
            <v>28046</v>
          </cell>
          <cell r="B624" t="str">
            <v>CORPORATION</v>
          </cell>
          <cell r="C624" t="str">
            <v>Andrade Comercial De Ferramentas E Maquinas - Eireli - Me</v>
          </cell>
          <cell r="D624" t="str">
            <v>Gopina</v>
          </cell>
          <cell r="E624" t="str">
            <v>18.812.753</v>
          </cell>
          <cell r="F624" t="str">
            <v>18.812.753/0001-67</v>
          </cell>
        </row>
        <row r="625">
          <cell r="A625">
            <v>28048</v>
          </cell>
          <cell r="B625" t="str">
            <v>CORPORATION</v>
          </cell>
          <cell r="C625" t="str">
            <v>Fernao Dias Maquinas E Ferramentas Ltda - Epp</v>
          </cell>
          <cell r="D625" t="str">
            <v>Fernao Dias</v>
          </cell>
          <cell r="E625" t="str">
            <v>51.288.991</v>
          </cell>
          <cell r="F625" t="str">
            <v>51.288.991/0001-90</v>
          </cell>
        </row>
        <row r="626">
          <cell r="A626">
            <v>28051</v>
          </cell>
          <cell r="B626" t="str">
            <v>CORPORATION</v>
          </cell>
          <cell r="C626" t="str">
            <v>Paraguacu Comercio De Ferragens Ltda</v>
          </cell>
          <cell r="D626" t="str">
            <v>Comercio De Ferragem Sao Paulo</v>
          </cell>
          <cell r="E626" t="str">
            <v>18.800.400</v>
          </cell>
          <cell r="F626" t="str">
            <v>18.800.400/0001-47</v>
          </cell>
        </row>
        <row r="627">
          <cell r="A627">
            <v>28052</v>
          </cell>
          <cell r="B627" t="str">
            <v>CORPORATION</v>
          </cell>
          <cell r="C627" t="str">
            <v>Neide Carolline Da Silva - Me</v>
          </cell>
          <cell r="D627" t="str">
            <v>Neide Caroline</v>
          </cell>
          <cell r="E627" t="str">
            <v>11.789.303</v>
          </cell>
          <cell r="F627" t="str">
            <v>11.789.303/0001-51</v>
          </cell>
        </row>
        <row r="628">
          <cell r="A628">
            <v>28062</v>
          </cell>
          <cell r="B628" t="str">
            <v>CORPORATION</v>
          </cell>
          <cell r="C628" t="str">
            <v>M D De M Barbosa Ltda</v>
          </cell>
          <cell r="D628" t="str">
            <v>Chega Tudo Construcoes</v>
          </cell>
          <cell r="E628" t="str">
            <v>29.766.388</v>
          </cell>
          <cell r="F628" t="str">
            <v>29.766.388/0001-18</v>
          </cell>
        </row>
        <row r="629">
          <cell r="A629">
            <v>28063</v>
          </cell>
          <cell r="B629" t="str">
            <v>CORPORATION</v>
          </cell>
          <cell r="C629" t="str">
            <v>Acomat Ferramentas E Maquinas Ltda</v>
          </cell>
          <cell r="D629" t="str">
            <v>Acomat Ferramentas E Maquinas Ltda</v>
          </cell>
          <cell r="E629" t="str">
            <v>82.659.657</v>
          </cell>
          <cell r="F629" t="str">
            <v>82.659.657/0001-20</v>
          </cell>
        </row>
        <row r="630">
          <cell r="A630">
            <v>28065</v>
          </cell>
          <cell r="B630" t="str">
            <v>CORPORATION</v>
          </cell>
          <cell r="C630" t="str">
            <v>Tintas &amp; Cia Distribuidor De Tintas E Ferramentas Ltda - Epp</v>
          </cell>
          <cell r="D630" t="str">
            <v>Tintas &amp; Cia</v>
          </cell>
          <cell r="E630" t="str">
            <v>06.098.526</v>
          </cell>
          <cell r="F630" t="str">
            <v>06.098.526/0001-32</v>
          </cell>
        </row>
        <row r="631">
          <cell r="A631">
            <v>28071</v>
          </cell>
          <cell r="B631" t="str">
            <v>CORPORATION</v>
          </cell>
          <cell r="C631" t="str">
            <v>Eletro Mecanica Edelco Ltda - Epp</v>
          </cell>
          <cell r="D631" t="str">
            <v>Eletro Mecanica Edelco Ltda - Epp</v>
          </cell>
          <cell r="E631" t="str">
            <v>00.189.780</v>
          </cell>
          <cell r="F631" t="str">
            <v>00.189.780/0001-60</v>
          </cell>
        </row>
        <row r="632">
          <cell r="A632">
            <v>28072</v>
          </cell>
          <cell r="B632" t="str">
            <v>CORPORATION</v>
          </cell>
          <cell r="C632" t="str">
            <v>Casa Da Maquina Limeira Ltda</v>
          </cell>
          <cell r="D632" t="str">
            <v>Casa Da Maquina Limeira Ltda</v>
          </cell>
          <cell r="E632" t="str">
            <v>11.490.761</v>
          </cell>
          <cell r="F632" t="str">
            <v>11.490.761/0001-95</v>
          </cell>
        </row>
        <row r="633">
          <cell r="A633">
            <v>28074</v>
          </cell>
          <cell r="B633" t="str">
            <v>CORPORATION</v>
          </cell>
          <cell r="C633" t="str">
            <v>Lcw Comercial Ltda - Me</v>
          </cell>
          <cell r="D633" t="str">
            <v>Lcw Comercial Ltda - Me</v>
          </cell>
          <cell r="E633" t="str">
            <v>10.013.826</v>
          </cell>
          <cell r="F633" t="str">
            <v>10.013.826/0001-49</v>
          </cell>
        </row>
        <row r="634">
          <cell r="A634">
            <v>28079</v>
          </cell>
          <cell r="B634" t="str">
            <v>CORPORATION</v>
          </cell>
          <cell r="C634" t="str">
            <v>Sperandio Comercio De Pecas E Tintas Ltda - Epp</v>
          </cell>
          <cell r="D634" t="str">
            <v>Sperandio Comercio De Pecas E Tintas Ltda - Epp</v>
          </cell>
          <cell r="E634" t="str">
            <v>85.300.085</v>
          </cell>
          <cell r="F634" t="str">
            <v>85.300.085/0001-86</v>
          </cell>
        </row>
        <row r="635">
          <cell r="A635">
            <v>28081</v>
          </cell>
          <cell r="B635" t="str">
            <v>CORPORATION</v>
          </cell>
          <cell r="C635" t="str">
            <v>Paulo Antonio Maciel Schneider - Me</v>
          </cell>
          <cell r="D635" t="str">
            <v>Chapeco Maquinas E Ferramentas</v>
          </cell>
          <cell r="E635" t="str">
            <v>19.141.964</v>
          </cell>
          <cell r="F635" t="str">
            <v>19.141.964/0001-88</v>
          </cell>
        </row>
        <row r="636">
          <cell r="A636">
            <v>28085</v>
          </cell>
          <cell r="B636" t="str">
            <v>CORPORATION</v>
          </cell>
          <cell r="C636" t="str">
            <v>Borracha Auto Pecas Eireli</v>
          </cell>
          <cell r="D636" t="str">
            <v>Borracha Auto Pecas</v>
          </cell>
          <cell r="E636" t="str">
            <v>07.407.157</v>
          </cell>
          <cell r="F636" t="str">
            <v>07.407.157/0001-85</v>
          </cell>
        </row>
        <row r="637">
          <cell r="A637">
            <v>28087</v>
          </cell>
          <cell r="B637" t="str">
            <v>CORPORATION</v>
          </cell>
          <cell r="C637" t="str">
            <v>Ferramentas Dambroz Ltda</v>
          </cell>
          <cell r="D637" t="str">
            <v>Ferramentas Dambroz</v>
          </cell>
          <cell r="E637" t="str">
            <v>06.165.819</v>
          </cell>
          <cell r="F637" t="str">
            <v>06.165.819/0001-95</v>
          </cell>
        </row>
        <row r="638">
          <cell r="A638">
            <v>28093</v>
          </cell>
          <cell r="B638" t="str">
            <v>CORPORATION</v>
          </cell>
          <cell r="C638" t="str">
            <v>Acoplamil Comercio De Ferramentas E Equipamentos Industriais Ltda</v>
          </cell>
          <cell r="D638" t="str">
            <v>Acoplamil Equipamentos</v>
          </cell>
          <cell r="E638" t="str">
            <v>39.509.122</v>
          </cell>
          <cell r="F638" t="str">
            <v>39.509.122/0001-43</v>
          </cell>
        </row>
        <row r="639">
          <cell r="A639">
            <v>28094</v>
          </cell>
          <cell r="B639" t="str">
            <v>CORPORATION</v>
          </cell>
          <cell r="C639" t="str">
            <v>Real Birigui Comercio De Maquinas E Ferramentas Ltda - Epp</v>
          </cell>
          <cell r="D639" t="str">
            <v>Real Maquinas</v>
          </cell>
          <cell r="E639" t="str">
            <v>04.234.082</v>
          </cell>
          <cell r="F639" t="str">
            <v>04.234.082/0001-90</v>
          </cell>
        </row>
        <row r="640">
          <cell r="A640">
            <v>28096</v>
          </cell>
          <cell r="B640" t="str">
            <v>CORPORATION</v>
          </cell>
          <cell r="C640" t="str">
            <v>Samatex - Solucoes Em Ferramentas Ltda</v>
          </cell>
          <cell r="D640" t="str">
            <v>Samatex</v>
          </cell>
          <cell r="E640" t="str">
            <v>36.136.451</v>
          </cell>
          <cell r="F640" t="str">
            <v>36.136.451/0001-06</v>
          </cell>
        </row>
        <row r="641">
          <cell r="A641">
            <v>28097</v>
          </cell>
          <cell r="B641" t="str">
            <v>CORPORATION</v>
          </cell>
          <cell r="C641" t="str">
            <v>K.F. Construcoes E Comercio Ltda</v>
          </cell>
          <cell r="D641" t="str">
            <v>Grande Circular Materiais De Construcoes</v>
          </cell>
          <cell r="E641" t="str">
            <v>02.137.093</v>
          </cell>
          <cell r="F641" t="str">
            <v>02.137.093/0001-26</v>
          </cell>
        </row>
        <row r="642">
          <cell r="A642">
            <v>28099</v>
          </cell>
          <cell r="B642" t="str">
            <v>CORPORATION</v>
          </cell>
          <cell r="C642" t="str">
            <v>Precoma Transportes E Locacoes De Equipamentos Eireli -Me</v>
          </cell>
          <cell r="D642" t="str">
            <v>Precoma</v>
          </cell>
          <cell r="E642" t="str">
            <v>17.431.755</v>
          </cell>
          <cell r="F642" t="str">
            <v>17.431.755/0001-43</v>
          </cell>
        </row>
        <row r="643">
          <cell r="A643">
            <v>28102</v>
          </cell>
          <cell r="B643" t="str">
            <v>CORPORATION</v>
          </cell>
          <cell r="C643" t="str">
            <v>Inoxtron Industria E Comercio De Maquinas E Metais Ltda - Me</v>
          </cell>
          <cell r="D643" t="str">
            <v>Inoxtron Industria E Comercio De Maquinas E Metais</v>
          </cell>
          <cell r="E643" t="str">
            <v>03.394.327</v>
          </cell>
          <cell r="F643" t="str">
            <v>03.394.327/0001-83</v>
          </cell>
        </row>
        <row r="644">
          <cell r="A644">
            <v>28104</v>
          </cell>
          <cell r="B644" t="str">
            <v>CORPORATION</v>
          </cell>
          <cell r="C644" t="str">
            <v>Antonio Roberto Terezan Eireli</v>
          </cell>
          <cell r="D644" t="str">
            <v>Construzan Ferro E Aco</v>
          </cell>
          <cell r="E644" t="str">
            <v>33.821.536</v>
          </cell>
          <cell r="F644" t="str">
            <v>33.821.536/0001-27</v>
          </cell>
        </row>
        <row r="645">
          <cell r="A645">
            <v>28105</v>
          </cell>
          <cell r="B645" t="str">
            <v>CORPORATION</v>
          </cell>
          <cell r="C645" t="str">
            <v>Araguaia Maquinas Ltda</v>
          </cell>
          <cell r="D645" t="str">
            <v>Araguaia Maquinas</v>
          </cell>
          <cell r="E645" t="str">
            <v>10.655.510</v>
          </cell>
          <cell r="F645" t="str">
            <v>10.655.510/0001-50</v>
          </cell>
        </row>
        <row r="646">
          <cell r="A646">
            <v>28113</v>
          </cell>
          <cell r="B646" t="str">
            <v>CORPORATION</v>
          </cell>
          <cell r="C646" t="str">
            <v>Loranfer Comercio De Ferro E Aco Ltda</v>
          </cell>
          <cell r="D646" t="str">
            <v>Loranfer Comercio De Ferro E Aco Ltda</v>
          </cell>
          <cell r="E646" t="str">
            <v>06.012.874</v>
          </cell>
          <cell r="F646" t="str">
            <v>06.012.874/0001-45</v>
          </cell>
        </row>
        <row r="647">
          <cell r="A647">
            <v>28115</v>
          </cell>
          <cell r="B647" t="str">
            <v>CORPORATION</v>
          </cell>
          <cell r="C647" t="str">
            <v>Compressores Brasil Maquinas E Equipamentos Ltda - Me</v>
          </cell>
          <cell r="D647" t="str">
            <v>Compressores Brasil</v>
          </cell>
          <cell r="E647" t="str">
            <v>07.803.971</v>
          </cell>
          <cell r="F647" t="str">
            <v>07.803.971/0001-19</v>
          </cell>
        </row>
        <row r="648">
          <cell r="A648">
            <v>28116</v>
          </cell>
          <cell r="B648" t="str">
            <v>CORPORATION</v>
          </cell>
          <cell r="C648" t="str">
            <v>Casa Da Solda Milioli Ltda - Me</v>
          </cell>
          <cell r="D648" t="str">
            <v>Casomil</v>
          </cell>
          <cell r="E648" t="str">
            <v>76.840.321</v>
          </cell>
          <cell r="F648" t="str">
            <v>76.840.321/0001-66</v>
          </cell>
        </row>
        <row r="649">
          <cell r="A649">
            <v>28121</v>
          </cell>
          <cell r="B649" t="str">
            <v>CORPORATION</v>
          </cell>
          <cell r="C649" t="str">
            <v>Juliana X T Barbosa</v>
          </cell>
          <cell r="D649" t="str">
            <v>Pimenta</v>
          </cell>
          <cell r="E649" t="str">
            <v>35.161.999</v>
          </cell>
          <cell r="F649" t="str">
            <v>35.161.999/0001-35</v>
          </cell>
          <cell r="G649" t="str">
            <v>PIMENTA</v>
          </cell>
        </row>
        <row r="650">
          <cell r="A650">
            <v>28123</v>
          </cell>
          <cell r="B650" t="str">
            <v>CORPORATION</v>
          </cell>
          <cell r="C650" t="str">
            <v>Marcelo Da Silva Santos 22830681851</v>
          </cell>
          <cell r="D650" t="str">
            <v>Porto Ferramentas</v>
          </cell>
          <cell r="E650" t="str">
            <v>34.003.266</v>
          </cell>
          <cell r="F650" t="str">
            <v>34.003.266/0001-00</v>
          </cell>
        </row>
        <row r="651">
          <cell r="A651">
            <v>28124</v>
          </cell>
          <cell r="B651" t="str">
            <v>CORPORATION</v>
          </cell>
          <cell r="C651" t="str">
            <v>Fermazon Distribuidora De Ferramentas E Equipamentos Ltda - Me</v>
          </cell>
          <cell r="D651" t="str">
            <v>Fermazon De Goias</v>
          </cell>
          <cell r="E651" t="str">
            <v>74.200.437</v>
          </cell>
          <cell r="F651" t="str">
            <v>74.200.437/0001-05</v>
          </cell>
          <cell r="G651" t="str">
            <v>FERMAZON</v>
          </cell>
        </row>
        <row r="652">
          <cell r="A652">
            <v>28125</v>
          </cell>
          <cell r="B652" t="str">
            <v>CORPORATION</v>
          </cell>
          <cell r="C652" t="str">
            <v>Soldamig Manutencao De Equipamentos Para Solda E Corte Ltda</v>
          </cell>
          <cell r="D652" t="str">
            <v>Soldamig</v>
          </cell>
          <cell r="E652" t="str">
            <v>09.534.415</v>
          </cell>
          <cell r="F652" t="str">
            <v>09.534.415/0001-10</v>
          </cell>
        </row>
        <row r="653">
          <cell r="A653">
            <v>28126</v>
          </cell>
          <cell r="B653" t="str">
            <v>CORPORATION</v>
          </cell>
          <cell r="C653" t="str">
            <v>Agripecas Morrinhos Ltda</v>
          </cell>
          <cell r="D653" t="str">
            <v>Agripecas</v>
          </cell>
          <cell r="E653" t="str">
            <v>05.653.771</v>
          </cell>
          <cell r="F653" t="str">
            <v>05.653.771/0001-00</v>
          </cell>
          <cell r="G653" t="str">
            <v>AGRIPECAS</v>
          </cell>
        </row>
        <row r="654">
          <cell r="A654">
            <v>28127</v>
          </cell>
          <cell r="B654" t="str">
            <v>CORPORATION</v>
          </cell>
          <cell r="C654" t="str">
            <v>Soluflex - Solucao Em Flexiveis Ltda - Me</v>
          </cell>
          <cell r="D654" t="str">
            <v>Soluflex</v>
          </cell>
          <cell r="E654" t="str">
            <v>09.333.355</v>
          </cell>
          <cell r="F654" t="str">
            <v>09.333.355/0001-77</v>
          </cell>
        </row>
        <row r="655">
          <cell r="A655">
            <v>28128</v>
          </cell>
          <cell r="B655" t="str">
            <v>CORPORATION</v>
          </cell>
          <cell r="C655" t="str">
            <v>Diferton Distribuidora Eireli</v>
          </cell>
          <cell r="D655" t="str">
            <v>Diferton Distribuidora Eireli</v>
          </cell>
          <cell r="E655" t="str">
            <v>24.725.816</v>
          </cell>
          <cell r="F655" t="str">
            <v>24.725.816/0001-40</v>
          </cell>
        </row>
        <row r="656">
          <cell r="A656">
            <v>28129</v>
          </cell>
          <cell r="B656" t="str">
            <v>CORPORATION</v>
          </cell>
          <cell r="C656" t="str">
            <v>Oxiseg - Equipamentos De Seguranca E Soldagem Ltda</v>
          </cell>
          <cell r="D656" t="str">
            <v>Oxiseg - Equipamentos De Seguranca E Soldagem</v>
          </cell>
          <cell r="E656" t="str">
            <v>04.812.648</v>
          </cell>
          <cell r="F656" t="str">
            <v>04.812.648/0001-13</v>
          </cell>
        </row>
        <row r="657">
          <cell r="A657">
            <v>28130</v>
          </cell>
          <cell r="B657" t="str">
            <v>CORPORATION</v>
          </cell>
          <cell r="C657" t="str">
            <v>Tonin Soldas Ltda</v>
          </cell>
          <cell r="D657" t="str">
            <v>Tonin Soldas</v>
          </cell>
          <cell r="E657" t="str">
            <v>05.886.247</v>
          </cell>
          <cell r="F657" t="str">
            <v>05.886.247/0001-70</v>
          </cell>
        </row>
        <row r="658">
          <cell r="A658">
            <v>28138</v>
          </cell>
          <cell r="B658" t="str">
            <v>CORPORATION</v>
          </cell>
          <cell r="C658" t="str">
            <v>Irmaos Teruya Comercio De Ferragens E Ferramentas Ltda</v>
          </cell>
          <cell r="D658" t="str">
            <v>Varejao De Ferragens E Ferramentas Teruya</v>
          </cell>
          <cell r="E658" t="str">
            <v>53.978.649</v>
          </cell>
          <cell r="F658" t="str">
            <v>53.978.649/0001-48</v>
          </cell>
          <cell r="G658" t="str">
            <v>TERUYA</v>
          </cell>
        </row>
        <row r="659">
          <cell r="A659">
            <v>28140</v>
          </cell>
          <cell r="B659" t="str">
            <v>CORPORATION</v>
          </cell>
          <cell r="C659" t="str">
            <v>Fitassul Comercio Distribuicao E Material De Seguranca Ltda</v>
          </cell>
          <cell r="D659" t="str">
            <v>Fitassul Comercio Distribuicao E Material De Seguranca Ltda</v>
          </cell>
          <cell r="E659" t="str">
            <v>71.340.830</v>
          </cell>
          <cell r="F659" t="str">
            <v>71.340.830/0001-06</v>
          </cell>
        </row>
        <row r="660">
          <cell r="A660">
            <v>28143</v>
          </cell>
          <cell r="B660" t="str">
            <v>CORPORATION</v>
          </cell>
          <cell r="C660" t="str">
            <v>R Chagas E Cia Ltda</v>
          </cell>
          <cell r="D660" t="str">
            <v>R.Chagas</v>
          </cell>
          <cell r="E660" t="str">
            <v>07.202.427</v>
          </cell>
          <cell r="F660" t="str">
            <v>07.202.427/0002-00</v>
          </cell>
        </row>
        <row r="661">
          <cell r="A661">
            <v>28147</v>
          </cell>
          <cell r="B661" t="str">
            <v>CORPORATION</v>
          </cell>
          <cell r="C661" t="str">
            <v>Prisma Comercio E Manutencao De Equipamentos Eletricos Ltda - Me</v>
          </cell>
          <cell r="D661" t="str">
            <v>Prisma Manutencao Industrial E Comercio De Ferramentas</v>
          </cell>
          <cell r="E661" t="str">
            <v>13.221.844</v>
          </cell>
          <cell r="F661" t="str">
            <v>13.221.844/0001-04</v>
          </cell>
        </row>
        <row r="662">
          <cell r="A662">
            <v>28149</v>
          </cell>
          <cell r="B662" t="str">
            <v>CORPORATION</v>
          </cell>
          <cell r="C662" t="str">
            <v>Cleanes De Souza Silva Ltda</v>
          </cell>
          <cell r="D662" t="str">
            <v>Cleanes Boutk</v>
          </cell>
          <cell r="E662" t="str">
            <v>36.295.672</v>
          </cell>
          <cell r="F662" t="str">
            <v>36.295.672/0001-19</v>
          </cell>
        </row>
        <row r="663">
          <cell r="A663">
            <v>28150</v>
          </cell>
          <cell r="B663" t="str">
            <v>CORPORATION</v>
          </cell>
          <cell r="C663" t="str">
            <v>Stock Parts Produtos Automotivos Ltda - Me</v>
          </cell>
          <cell r="D663" t="str">
            <v>Stock Parts</v>
          </cell>
          <cell r="E663" t="str">
            <v>13.293.421</v>
          </cell>
          <cell r="F663" t="str">
            <v>13.293.421/0001-08</v>
          </cell>
        </row>
        <row r="664">
          <cell r="A664">
            <v>28151</v>
          </cell>
          <cell r="B664" t="str">
            <v>CORPORATION</v>
          </cell>
          <cell r="C664" t="str">
            <v>Egf Comercio De Ferragens E Ferramentas Ltda</v>
          </cell>
          <cell r="D664" t="str">
            <v>Lucas Metal Abrasivos, Ferragens E Ferramentas</v>
          </cell>
          <cell r="E664" t="str">
            <v>21.242.701</v>
          </cell>
          <cell r="F664" t="str">
            <v>21.242.701/0001-07</v>
          </cell>
        </row>
        <row r="665">
          <cell r="A665">
            <v>28152</v>
          </cell>
          <cell r="B665" t="str">
            <v>CORPORATION</v>
          </cell>
          <cell r="C665" t="str">
            <v>Blufusos Ltda - Epp</v>
          </cell>
          <cell r="D665" t="str">
            <v>Blufusos</v>
          </cell>
          <cell r="E665" t="str">
            <v>07.208.418</v>
          </cell>
          <cell r="F665" t="str">
            <v>07.208.418/0001-38</v>
          </cell>
        </row>
        <row r="666">
          <cell r="A666">
            <v>28153</v>
          </cell>
          <cell r="B666" t="str">
            <v>CORPORATION</v>
          </cell>
          <cell r="C666" t="str">
            <v>Mianofix Ltda</v>
          </cell>
          <cell r="D666" t="str">
            <v>Mianofix</v>
          </cell>
          <cell r="E666" t="str">
            <v>47.072.843</v>
          </cell>
          <cell r="F666" t="str">
            <v>47.072.843/0001-67</v>
          </cell>
        </row>
        <row r="667">
          <cell r="A667">
            <v>28154</v>
          </cell>
          <cell r="B667" t="str">
            <v>CORPORATION</v>
          </cell>
          <cell r="C667" t="str">
            <v>J A Guedes Eireli Me</v>
          </cell>
          <cell r="D667" t="str">
            <v>J A Guedes Eireli Me</v>
          </cell>
          <cell r="E667" t="str">
            <v>30.316.860</v>
          </cell>
          <cell r="F667" t="str">
            <v>30.316.860/0001-08</v>
          </cell>
        </row>
        <row r="668">
          <cell r="A668">
            <v>28155</v>
          </cell>
          <cell r="B668" t="str">
            <v>CORPORATION</v>
          </cell>
          <cell r="C668" t="str">
            <v>Bluparts Distribuidora De Pecas Ltda - Epp</v>
          </cell>
          <cell r="D668" t="str">
            <v>Bluparts Distribuidora De Pecas Ltda - Epp</v>
          </cell>
          <cell r="E668" t="str">
            <v>03.830.377</v>
          </cell>
          <cell r="F668" t="str">
            <v>03.830.377/0001-66</v>
          </cell>
        </row>
        <row r="669">
          <cell r="A669">
            <v>28158</v>
          </cell>
          <cell r="B669" t="str">
            <v>CORPORATION</v>
          </cell>
          <cell r="C669" t="str">
            <v>Portinox Maquinas E Ferramentas Ltda - Me</v>
          </cell>
          <cell r="D669" t="str">
            <v>Casa Do Inox</v>
          </cell>
          <cell r="E669" t="str">
            <v>03.300.636</v>
          </cell>
          <cell r="F669" t="str">
            <v>03.300.636/0001-47</v>
          </cell>
        </row>
        <row r="670">
          <cell r="A670">
            <v>28159</v>
          </cell>
          <cell r="B670" t="str">
            <v>CORPORATION</v>
          </cell>
          <cell r="C670" t="str">
            <v>Serv Auto Comercio De Ferramentas E Parafusos Ltda</v>
          </cell>
          <cell r="D670" t="str">
            <v>Serv Auto</v>
          </cell>
          <cell r="E670" t="str">
            <v>03.391.437</v>
          </cell>
          <cell r="F670" t="str">
            <v>03.391.437/0001-91</v>
          </cell>
        </row>
        <row r="671">
          <cell r="A671">
            <v>28160</v>
          </cell>
          <cell r="B671" t="str">
            <v>CORPORATION</v>
          </cell>
          <cell r="C671" t="str">
            <v>Welldelson Soares Pinto Ltda</v>
          </cell>
          <cell r="D671" t="str">
            <v>Master Ferragista Parafusos</v>
          </cell>
          <cell r="E671" t="str">
            <v>44.308.274</v>
          </cell>
          <cell r="F671" t="str">
            <v>44.308.274/0001-18</v>
          </cell>
        </row>
        <row r="672">
          <cell r="A672">
            <v>28161</v>
          </cell>
          <cell r="B672" t="str">
            <v>CORPORATION</v>
          </cell>
          <cell r="C672" t="str">
            <v>Jean Carlos Oenning</v>
          </cell>
          <cell r="D672" t="str">
            <v>Brafer Comercial E Solucoes Industriais</v>
          </cell>
          <cell r="E672" t="str">
            <v>12.058.950</v>
          </cell>
          <cell r="F672" t="str">
            <v>12.058.950/0001-56</v>
          </cell>
        </row>
        <row r="673">
          <cell r="A673">
            <v>28164</v>
          </cell>
          <cell r="B673" t="str">
            <v>CORPORATION</v>
          </cell>
          <cell r="C673" t="str">
            <v>Meller E Cia Ltda</v>
          </cell>
          <cell r="D673" t="str">
            <v>Meller</v>
          </cell>
          <cell r="E673" t="str">
            <v>83.650.226</v>
          </cell>
          <cell r="F673" t="str">
            <v>83.650.226/0001-65</v>
          </cell>
        </row>
        <row r="674">
          <cell r="A674">
            <v>28167</v>
          </cell>
          <cell r="B674" t="str">
            <v>CORPORATION</v>
          </cell>
          <cell r="C674" t="str">
            <v>Oxigenio Anapolis Ltda - Epp</v>
          </cell>
          <cell r="D674" t="str">
            <v>Fercol Oxigenio</v>
          </cell>
          <cell r="E674" t="str">
            <v>04.807.611</v>
          </cell>
          <cell r="F674" t="str">
            <v>04.807.611/0001-05</v>
          </cell>
        </row>
        <row r="675">
          <cell r="A675">
            <v>28172</v>
          </cell>
          <cell r="B675" t="str">
            <v>CORPORATION</v>
          </cell>
          <cell r="C675" t="str">
            <v>Rei Das Mangueiras Maquinas E Equipamentos Ltda - Me</v>
          </cell>
          <cell r="D675" t="str">
            <v>Rei Das Mangueiras</v>
          </cell>
          <cell r="E675" t="str">
            <v>07.210.957</v>
          </cell>
          <cell r="F675" t="str">
            <v>07.210.957/0001-01</v>
          </cell>
        </row>
        <row r="676">
          <cell r="A676">
            <v>28173</v>
          </cell>
          <cell r="B676" t="str">
            <v>CORPORATION</v>
          </cell>
          <cell r="C676" t="str">
            <v>Gabriel Gaspar Da Silva Sobrinho Servicos De Manutencao Eletrica E Refrigeracao</v>
          </cell>
          <cell r="D676" t="str">
            <v>Casa Mestra</v>
          </cell>
          <cell r="E676" t="str">
            <v>27.761.004</v>
          </cell>
          <cell r="F676" t="str">
            <v>27.761.004/0001-49</v>
          </cell>
        </row>
        <row r="677">
          <cell r="A677">
            <v>28175</v>
          </cell>
          <cell r="B677" t="str">
            <v>CORPORATION</v>
          </cell>
          <cell r="C677" t="str">
            <v>Pc Silva Mundial Ferramentas Ltda</v>
          </cell>
          <cell r="D677" t="str">
            <v>Mundial Parafusos</v>
          </cell>
          <cell r="E677" t="str">
            <v>10.849.904</v>
          </cell>
          <cell r="F677" t="str">
            <v>10.849.904/0001-40</v>
          </cell>
        </row>
        <row r="678">
          <cell r="A678">
            <v>28178</v>
          </cell>
          <cell r="B678" t="str">
            <v>CORPORATION</v>
          </cell>
          <cell r="C678" t="str">
            <v>Alupress Comercial Ltda - Epp</v>
          </cell>
          <cell r="D678" t="str">
            <v>Alupress</v>
          </cell>
          <cell r="E678" t="str">
            <v>64.801.335</v>
          </cell>
          <cell r="F678" t="str">
            <v>64.801.335/0001-91</v>
          </cell>
        </row>
        <row r="679">
          <cell r="A679">
            <v>28181</v>
          </cell>
          <cell r="B679" t="str">
            <v>CORPORATION</v>
          </cell>
          <cell r="C679" t="str">
            <v>Inacio Walendowsky Industria E Comercio Ltda. - Epp</v>
          </cell>
          <cell r="D679" t="str">
            <v>Inacio Walendowsky Industria E Comercio Ltda. - Epp</v>
          </cell>
          <cell r="E679" t="str">
            <v>83.444.968</v>
          </cell>
          <cell r="F679" t="str">
            <v>83.444.968/0001-34</v>
          </cell>
        </row>
        <row r="680">
          <cell r="A680">
            <v>28184</v>
          </cell>
          <cell r="B680" t="str">
            <v>CORPORATION</v>
          </cell>
          <cell r="C680" t="str">
            <v>Eletro Fine Comercial Ltda - Epp</v>
          </cell>
          <cell r="D680" t="str">
            <v>Eletro Fine</v>
          </cell>
          <cell r="E680" t="str">
            <v>49.422.645</v>
          </cell>
          <cell r="F680" t="str">
            <v>49.422.645/0001-01</v>
          </cell>
        </row>
        <row r="681">
          <cell r="A681">
            <v>28187</v>
          </cell>
          <cell r="B681" t="str">
            <v>CORPORATION</v>
          </cell>
          <cell r="C681" t="str">
            <v>Casa Dos Parafusos Cacador Ltda - Epp</v>
          </cell>
          <cell r="D681" t="str">
            <v>Casa Dos Parafusos Cacador</v>
          </cell>
          <cell r="E681" t="str">
            <v>05.549.380</v>
          </cell>
          <cell r="F681" t="str">
            <v>05.549.380/0001-31</v>
          </cell>
        </row>
        <row r="682">
          <cell r="A682">
            <v>28190</v>
          </cell>
          <cell r="B682" t="str">
            <v>CORPORATION</v>
          </cell>
          <cell r="C682" t="str">
            <v>Comercial Chamber Ltda - Epp</v>
          </cell>
          <cell r="D682" t="str">
            <v>Comercial Chamber Ltda - Epp</v>
          </cell>
          <cell r="E682" t="str">
            <v>95.842.605</v>
          </cell>
          <cell r="F682" t="str">
            <v>95.842.605/0001-36</v>
          </cell>
        </row>
        <row r="683">
          <cell r="A683">
            <v>28193</v>
          </cell>
          <cell r="B683" t="str">
            <v>CORPORATION</v>
          </cell>
          <cell r="C683" t="str">
            <v>Andrax Comércio E Serviços Ltda-Epp</v>
          </cell>
          <cell r="D683" t="str">
            <v>Andrax</v>
          </cell>
          <cell r="E683" t="str">
            <v>04.716.758</v>
          </cell>
          <cell r="F683" t="str">
            <v>04.716.758/0001-81</v>
          </cell>
        </row>
        <row r="684">
          <cell r="A684">
            <v>28197</v>
          </cell>
          <cell r="B684" t="str">
            <v>CORPORATION</v>
          </cell>
          <cell r="C684" t="str">
            <v>Lorente &amp; Rodrigues Eletrica,Ferramentas Ltda</v>
          </cell>
          <cell r="D684" t="str">
            <v>L &amp; R Ferramentas E Eletrica</v>
          </cell>
          <cell r="E684" t="str">
            <v>40.375.542</v>
          </cell>
          <cell r="F684" t="str">
            <v>40.375.542/0001-63</v>
          </cell>
        </row>
        <row r="685">
          <cell r="A685">
            <v>28198</v>
          </cell>
          <cell r="B685" t="str">
            <v>CORPORATION</v>
          </cell>
          <cell r="C685" t="str">
            <v>Zaffa Maquinas E Ferramentas Ltda Epp</v>
          </cell>
          <cell r="D685" t="str">
            <v>Zaffa Maquinas E Ferramentas Ltda Epp</v>
          </cell>
          <cell r="E685" t="str">
            <v>00.200.069</v>
          </cell>
          <cell r="F685" t="str">
            <v>00.200.069/0001-69</v>
          </cell>
        </row>
        <row r="686">
          <cell r="A686">
            <v>28201</v>
          </cell>
          <cell r="B686" t="str">
            <v>CORPORATION</v>
          </cell>
          <cell r="C686" t="str">
            <v>Eqtec Ltda - Epp</v>
          </cell>
          <cell r="D686" t="str">
            <v>Eqtec Equipamentos E Solucoes Industriais</v>
          </cell>
          <cell r="E686" t="str">
            <v>10.327.193</v>
          </cell>
          <cell r="F686" t="str">
            <v>10.327.193/0001-43</v>
          </cell>
        </row>
        <row r="687">
          <cell r="A687">
            <v>28204</v>
          </cell>
          <cell r="B687" t="str">
            <v>CORPORATION</v>
          </cell>
          <cell r="C687" t="str">
            <v>Adriana Rodrigues Valverde Ferragens - Me</v>
          </cell>
          <cell r="D687" t="str">
            <v>Nova Alternativa Soldas</v>
          </cell>
          <cell r="E687" t="str">
            <v>14.192.771</v>
          </cell>
          <cell r="F687" t="str">
            <v>14.192.771/0001-32</v>
          </cell>
        </row>
        <row r="688">
          <cell r="A688">
            <v>28206</v>
          </cell>
          <cell r="B688" t="str">
            <v>CORPORATION</v>
          </cell>
          <cell r="C688" t="str">
            <v>Abaete Maquinas E Motores Eireli</v>
          </cell>
          <cell r="D688" t="str">
            <v>3d Maquinas E Motores</v>
          </cell>
          <cell r="E688" t="str">
            <v>41.699.731</v>
          </cell>
          <cell r="F688" t="str">
            <v>41.699.731/0001-54</v>
          </cell>
        </row>
        <row r="689">
          <cell r="A689">
            <v>28207</v>
          </cell>
          <cell r="B689" t="str">
            <v>CORPORATION</v>
          </cell>
          <cell r="C689" t="str">
            <v>Andre Felipe Peretti Maia - Me</v>
          </cell>
          <cell r="D689" t="str">
            <v>Hidraumatik</v>
          </cell>
          <cell r="E689" t="str">
            <v>12.450.002</v>
          </cell>
          <cell r="F689" t="str">
            <v>12.450.002/0001-61</v>
          </cell>
        </row>
        <row r="690">
          <cell r="A690">
            <v>28210</v>
          </cell>
          <cell r="B690" t="str">
            <v>CORPORATION</v>
          </cell>
          <cell r="C690" t="str">
            <v>Cofermaq Ltda - Epp</v>
          </cell>
          <cell r="D690" t="str">
            <v>Cofermaq Comercio De Ferragens E Maquinas</v>
          </cell>
          <cell r="E690" t="str">
            <v>07.779.098</v>
          </cell>
          <cell r="F690" t="str">
            <v>07.779.098/0001-76</v>
          </cell>
        </row>
        <row r="691">
          <cell r="A691">
            <v>28212</v>
          </cell>
          <cell r="B691" t="str">
            <v>CORPORATION</v>
          </cell>
          <cell r="C691" t="str">
            <v>Alvaro Fernando Trevisani Cardoso 08085958651</v>
          </cell>
          <cell r="D691" t="str">
            <v>Trevis Maquinas E Ferramentas</v>
          </cell>
          <cell r="E691" t="str">
            <v>40.771.345</v>
          </cell>
          <cell r="F691" t="str">
            <v>40.771.345/0001-63</v>
          </cell>
        </row>
        <row r="692">
          <cell r="A692">
            <v>28213</v>
          </cell>
          <cell r="B692" t="str">
            <v>CORPORATION</v>
          </cell>
          <cell r="C692" t="str">
            <v>Temprafer Niteroiense Comercio, Servicos E Locacao De Maquinas Ltda - Me</v>
          </cell>
          <cell r="D692" t="str">
            <v>Temprafer</v>
          </cell>
          <cell r="E692" t="str">
            <v>09.387.922</v>
          </cell>
          <cell r="F692" t="str">
            <v>09.387.922/0001-78</v>
          </cell>
        </row>
        <row r="693">
          <cell r="A693">
            <v>28214</v>
          </cell>
          <cell r="B693" t="str">
            <v>CORPORATION</v>
          </cell>
          <cell r="C693" t="str">
            <v>Matias Solucoes Industriais E Ferramentas Ltda</v>
          </cell>
          <cell r="D693" t="str">
            <v>Matias Solucoes Industriais</v>
          </cell>
          <cell r="E693" t="str">
            <v>36.788.668</v>
          </cell>
          <cell r="F693" t="str">
            <v>36.788.668/0001-92</v>
          </cell>
        </row>
        <row r="694">
          <cell r="A694">
            <v>28215</v>
          </cell>
          <cell r="B694" t="str">
            <v>CORPORATION</v>
          </cell>
          <cell r="C694" t="str">
            <v>G L Oliveira Eireli</v>
          </cell>
          <cell r="D694" t="str">
            <v>Ferraco</v>
          </cell>
          <cell r="E694" t="str">
            <v>10.480.369</v>
          </cell>
          <cell r="F694" t="str">
            <v>10.480.369/0001-00</v>
          </cell>
        </row>
        <row r="695">
          <cell r="A695">
            <v>28219</v>
          </cell>
          <cell r="B695" t="str">
            <v>CORPORATION</v>
          </cell>
          <cell r="C695" t="str">
            <v>Soldabras Soldas E Abrasivos Ltda</v>
          </cell>
          <cell r="D695" t="str">
            <v>Soldabras</v>
          </cell>
          <cell r="E695" t="str">
            <v>29.843.539</v>
          </cell>
          <cell r="F695" t="str">
            <v>29.843.539/0001-94</v>
          </cell>
        </row>
        <row r="696">
          <cell r="A696">
            <v>28220</v>
          </cell>
          <cell r="B696" t="str">
            <v>CORPORATION</v>
          </cell>
          <cell r="C696" t="str">
            <v>Portal Maquinas E Servicos Ltda</v>
          </cell>
          <cell r="D696" t="str">
            <v>Portal Maquinas E Servicos Ltda</v>
          </cell>
          <cell r="E696" t="str">
            <v>26.256.059</v>
          </cell>
          <cell r="F696" t="str">
            <v>26.256.059/0001-39</v>
          </cell>
          <cell r="G696" t="str">
            <v>PORTAL FERRAGENS</v>
          </cell>
        </row>
        <row r="697">
          <cell r="A697">
            <v>28222</v>
          </cell>
          <cell r="B697" t="str">
            <v>CORPORATION</v>
          </cell>
          <cell r="C697" t="str">
            <v>Tersolda Comercio De Soldas Gases E Protecao Ltda - Me</v>
          </cell>
          <cell r="D697" t="str">
            <v>Tersolda Comercio De Soldas Gases E Protecao Ltda - Me</v>
          </cell>
          <cell r="E697" t="str">
            <v>57.622.920</v>
          </cell>
          <cell r="F697" t="str">
            <v>57.622.920/0001-69</v>
          </cell>
        </row>
        <row r="698">
          <cell r="A698">
            <v>28224</v>
          </cell>
          <cell r="B698" t="str">
            <v>CORPORATION</v>
          </cell>
          <cell r="C698" t="str">
            <v>Oxivale Comercio De Maquinas E Ferramentas Ltda - Epp</v>
          </cell>
          <cell r="D698" t="str">
            <v>Casa Da Solda De Blumenau</v>
          </cell>
          <cell r="E698" t="str">
            <v>08.373.531</v>
          </cell>
          <cell r="F698" t="str">
            <v>08.373.531/0001-31</v>
          </cell>
        </row>
        <row r="699">
          <cell r="A699">
            <v>28225</v>
          </cell>
          <cell r="B699" t="str">
            <v>CORPORATION</v>
          </cell>
          <cell r="C699" t="str">
            <v>Top Mig Manutencao E Comercio Ltda</v>
          </cell>
          <cell r="D699" t="str">
            <v>Top Mig Manutencao E Comercio Ltda</v>
          </cell>
          <cell r="E699" t="str">
            <v>41.740.795</v>
          </cell>
          <cell r="F699" t="str">
            <v>41.740.795/0001-51</v>
          </cell>
        </row>
        <row r="700">
          <cell r="A700">
            <v>28228</v>
          </cell>
          <cell r="B700" t="str">
            <v>CORPORATION</v>
          </cell>
          <cell r="C700" t="str">
            <v>Kt Ferragens Ltda</v>
          </cell>
          <cell r="D700" t="str">
            <v>Fermaq</v>
          </cell>
          <cell r="E700" t="str">
            <v>18.242.273</v>
          </cell>
          <cell r="F700" t="str">
            <v>18.242.273/0001-08</v>
          </cell>
          <cell r="G700" t="str">
            <v>FERMAQ</v>
          </cell>
        </row>
        <row r="701">
          <cell r="A701">
            <v>28229</v>
          </cell>
          <cell r="B701" t="str">
            <v>CORPORATION</v>
          </cell>
          <cell r="C701" t="str">
            <v>Febrazo Suprimentos Industriais Eireli</v>
          </cell>
          <cell r="D701" t="str">
            <v>Febrazo</v>
          </cell>
          <cell r="E701" t="str">
            <v>18.830.154</v>
          </cell>
          <cell r="F701" t="str">
            <v>18.830.154/0001-76</v>
          </cell>
          <cell r="G701" t="str">
            <v>FEBRAZO</v>
          </cell>
        </row>
        <row r="702">
          <cell r="A702">
            <v>28231</v>
          </cell>
          <cell r="B702" t="str">
            <v>CORPORATION</v>
          </cell>
          <cell r="C702" t="str">
            <v>Soldapar Rio Preto Comercio De Ferramentas Ltda</v>
          </cell>
          <cell r="D702" t="str">
            <v>Soldapar</v>
          </cell>
          <cell r="E702" t="str">
            <v>64.978.505</v>
          </cell>
          <cell r="F702" t="str">
            <v>64.978.505/0001-08</v>
          </cell>
        </row>
        <row r="703">
          <cell r="A703">
            <v>28234</v>
          </cell>
          <cell r="B703" t="str">
            <v>CORPORATION</v>
          </cell>
          <cell r="C703" t="str">
            <v>Protendi Comercio De Epi Eireli</v>
          </cell>
          <cell r="D703" t="str">
            <v>Protendi Epi</v>
          </cell>
          <cell r="E703" t="str">
            <v>09.392.396</v>
          </cell>
          <cell r="F703" t="str">
            <v>09.392.396/0001-34</v>
          </cell>
        </row>
        <row r="704">
          <cell r="A704">
            <v>28236</v>
          </cell>
          <cell r="B704" t="str">
            <v>CORPORATION</v>
          </cell>
          <cell r="C704" t="str">
            <v>Maqdima Ferramentas E Equipamentos Ltda</v>
          </cell>
          <cell r="D704" t="str">
            <v>Maqdima Ferramentas E Equipamentos Ltda</v>
          </cell>
          <cell r="E704" t="str">
            <v>81.373.441</v>
          </cell>
          <cell r="F704" t="str">
            <v>81.373.441/0001-30</v>
          </cell>
        </row>
        <row r="705">
          <cell r="A705">
            <v>28240</v>
          </cell>
          <cell r="B705" t="str">
            <v>CORPORATION</v>
          </cell>
          <cell r="C705" t="str">
            <v>Geneci Baseggio - Me</v>
          </cell>
          <cell r="D705" t="str">
            <v>Parafix Ferramentas</v>
          </cell>
          <cell r="E705" t="str">
            <v>12.291.434</v>
          </cell>
          <cell r="F705" t="str">
            <v>12.291.434/0001-77</v>
          </cell>
        </row>
        <row r="706">
          <cell r="A706">
            <v>28242</v>
          </cell>
          <cell r="B706" t="str">
            <v>CORPORATION</v>
          </cell>
          <cell r="C706" t="str">
            <v>A. Silva Ferragens Ltda</v>
          </cell>
          <cell r="D706" t="str">
            <v>Delupo Ferragens</v>
          </cell>
          <cell r="E706" t="str">
            <v>02.492.310</v>
          </cell>
          <cell r="F706" t="str">
            <v>02.492.310/0002-87</v>
          </cell>
        </row>
        <row r="707">
          <cell r="A707">
            <v>28243</v>
          </cell>
          <cell r="B707" t="str">
            <v>CORPORATION</v>
          </cell>
          <cell r="C707" t="str">
            <v>Dutec Ferramentas Eletricas Ltda</v>
          </cell>
          <cell r="D707" t="str">
            <v>Dutec Ferramentas Eletricas Ltda</v>
          </cell>
          <cell r="E707" t="str">
            <v>59.197.426</v>
          </cell>
          <cell r="F707" t="str">
            <v>59.197.426/0001-20</v>
          </cell>
        </row>
        <row r="708">
          <cell r="A708">
            <v>28245</v>
          </cell>
          <cell r="B708" t="str">
            <v>CORPORATION</v>
          </cell>
          <cell r="C708" t="str">
            <v>Distribuidora Orion Ltda</v>
          </cell>
          <cell r="D708" t="str">
            <v>Distribuidora Orion</v>
          </cell>
          <cell r="E708" t="str">
            <v>23.264.021</v>
          </cell>
          <cell r="F708" t="str">
            <v>23.264.021/0001-10</v>
          </cell>
        </row>
        <row r="709">
          <cell r="A709">
            <v>28248</v>
          </cell>
          <cell r="B709" t="str">
            <v>CORPORATION</v>
          </cell>
          <cell r="C709" t="str">
            <v>Casolda Casa Da Solda Criciuma Ltda - Me</v>
          </cell>
          <cell r="D709" t="str">
            <v>Casolda Casa Da Solda Criciuma Ltda - Me</v>
          </cell>
          <cell r="E709" t="str">
            <v>83.435.669</v>
          </cell>
          <cell r="F709" t="str">
            <v>83.435.669/0001-33</v>
          </cell>
        </row>
        <row r="710">
          <cell r="A710">
            <v>28251</v>
          </cell>
          <cell r="B710" t="str">
            <v>CORPORATION</v>
          </cell>
          <cell r="C710" t="str">
            <v>Uniao Comercio De Ferragens Ltda</v>
          </cell>
          <cell r="D710" t="str">
            <v>Uniao</v>
          </cell>
          <cell r="E710" t="str">
            <v>31.119.399</v>
          </cell>
          <cell r="F710" t="str">
            <v>31.119.399/0001-58</v>
          </cell>
        </row>
        <row r="711">
          <cell r="A711">
            <v>28254</v>
          </cell>
          <cell r="B711" t="str">
            <v>CORPORATION</v>
          </cell>
          <cell r="C711" t="str">
            <v>Darella Maquinas E Equipamentos Ltda - Epp</v>
          </cell>
          <cell r="D711" t="str">
            <v>Darella Maquinas E Equipamentos Ltda - Epp</v>
          </cell>
          <cell r="E711" t="str">
            <v>81.841.876</v>
          </cell>
          <cell r="F711" t="str">
            <v>81.841.876/0001-62</v>
          </cell>
        </row>
        <row r="712">
          <cell r="A712">
            <v>28256</v>
          </cell>
          <cell r="B712" t="str">
            <v>CORPORATION</v>
          </cell>
          <cell r="C712" t="str">
            <v>Airton Dias Mendes</v>
          </cell>
          <cell r="D712" t="str">
            <v>Agropecuaria Capivari</v>
          </cell>
          <cell r="E712" t="str">
            <v>82.708.348</v>
          </cell>
          <cell r="F712" t="str">
            <v>82.708.348/0001-00</v>
          </cell>
        </row>
        <row r="713">
          <cell r="A713">
            <v>28257</v>
          </cell>
          <cell r="B713" t="str">
            <v>CORPORATION</v>
          </cell>
          <cell r="C713" t="str">
            <v>Etelvina Santana Marques - Me</v>
          </cell>
          <cell r="D713" t="str">
            <v>J F P Distribuidora</v>
          </cell>
          <cell r="E713" t="str">
            <v>09.632.304</v>
          </cell>
          <cell r="F713" t="str">
            <v>09.632.304/0001-46</v>
          </cell>
        </row>
        <row r="714">
          <cell r="A714">
            <v>28260</v>
          </cell>
          <cell r="B714" t="str">
            <v>CORPORATION</v>
          </cell>
          <cell r="C714" t="str">
            <v>Sial Comercio De Ferragens Ltda - Me</v>
          </cell>
          <cell r="D714" t="str">
            <v>Sial Comercio De Ferragens Ltda - Me</v>
          </cell>
          <cell r="E714" t="str">
            <v>85.279.669</v>
          </cell>
          <cell r="F714" t="str">
            <v>85.279.669/0001-17</v>
          </cell>
        </row>
        <row r="715">
          <cell r="A715">
            <v>28263</v>
          </cell>
          <cell r="B715" t="str">
            <v>CORPORATION</v>
          </cell>
          <cell r="C715" t="str">
            <v>Tecmaquinas-Comercio E Servicos Ltda - Me</v>
          </cell>
          <cell r="D715" t="str">
            <v>Tecmaquinas</v>
          </cell>
          <cell r="E715" t="str">
            <v>01.199.326</v>
          </cell>
          <cell r="F715" t="str">
            <v>01.199.326/0001-52</v>
          </cell>
        </row>
        <row r="716">
          <cell r="A716">
            <v>28266</v>
          </cell>
          <cell r="B716" t="str">
            <v>CORPORATION</v>
          </cell>
          <cell r="C716" t="str">
            <v>Gilson Arruda De Almeida</v>
          </cell>
          <cell r="D716" t="str">
            <v>Dagil Comercio De Ferragens E Ferramentas</v>
          </cell>
          <cell r="E716" t="str">
            <v>20.221.548</v>
          </cell>
          <cell r="F716" t="str">
            <v>20.221.548/0001-79</v>
          </cell>
        </row>
        <row r="717">
          <cell r="A717">
            <v>28267</v>
          </cell>
          <cell r="B717" t="str">
            <v>CORPORATION</v>
          </cell>
          <cell r="C717" t="str">
            <v>Pagfer Comercio De Ferramentas E Abrasivos Ltda - Me</v>
          </cell>
          <cell r="D717" t="str">
            <v>Pagfer Comercio De Ferramentas E Abrasivos Ltda - Me</v>
          </cell>
          <cell r="E717" t="str">
            <v>97.522.246</v>
          </cell>
          <cell r="F717" t="str">
            <v>97.522.246/0001-65</v>
          </cell>
        </row>
        <row r="718">
          <cell r="A718">
            <v>28270</v>
          </cell>
          <cell r="B718" t="str">
            <v>CORPORATION</v>
          </cell>
          <cell r="C718" t="str">
            <v>Conformaq Distribuidora Ltda.</v>
          </cell>
          <cell r="D718" t="str">
            <v>Conformaq</v>
          </cell>
          <cell r="E718" t="str">
            <v>10.663.510</v>
          </cell>
          <cell r="F718" t="str">
            <v>10.663.510/0001-00</v>
          </cell>
        </row>
        <row r="719">
          <cell r="A719">
            <v>28272</v>
          </cell>
          <cell r="B719" t="str">
            <v>CORPORATION</v>
          </cell>
          <cell r="C719" t="str">
            <v>Soldasul Comercio De Ferramentas Ltda - Epp</v>
          </cell>
          <cell r="D719" t="str">
            <v>Soldasul</v>
          </cell>
          <cell r="E719" t="str">
            <v>80.696.529</v>
          </cell>
          <cell r="F719" t="str">
            <v>80.696.529/0001-20</v>
          </cell>
        </row>
        <row r="720">
          <cell r="A720">
            <v>28275</v>
          </cell>
          <cell r="B720" t="str">
            <v>CORPORATION</v>
          </cell>
          <cell r="C720" t="str">
            <v>Casa Dos Equipamentos Ltda - Me</v>
          </cell>
          <cell r="D720" t="str">
            <v>Casa Dos Equipamentos Ltda - Me</v>
          </cell>
          <cell r="E720" t="str">
            <v>05.428.276</v>
          </cell>
          <cell r="F720" t="str">
            <v>05.428.276/0001-99</v>
          </cell>
        </row>
        <row r="721">
          <cell r="A721">
            <v>28278</v>
          </cell>
          <cell r="B721" t="str">
            <v>CORPORATION</v>
          </cell>
          <cell r="C721" t="str">
            <v>Vgf Comercio Tintas E Complementos Automotivos Ltda - Me</v>
          </cell>
          <cell r="D721" t="str">
            <v>Chapeco Tintas</v>
          </cell>
          <cell r="E721" t="str">
            <v>12.274.192</v>
          </cell>
          <cell r="F721" t="str">
            <v>12.274.192/0001-03</v>
          </cell>
        </row>
        <row r="722">
          <cell r="A722">
            <v>28281</v>
          </cell>
          <cell r="B722" t="str">
            <v>CORPORATION</v>
          </cell>
          <cell r="C722" t="str">
            <v>Central Do Compressor Ltda - Me</v>
          </cell>
          <cell r="D722" t="str">
            <v>Central Do Compressor</v>
          </cell>
          <cell r="E722" t="str">
            <v>05.213.768</v>
          </cell>
          <cell r="F722" t="str">
            <v>05.213.768/0001-67</v>
          </cell>
        </row>
        <row r="723">
          <cell r="A723">
            <v>28282</v>
          </cell>
          <cell r="B723" t="str">
            <v>CORPORATION</v>
          </cell>
          <cell r="C723" t="str">
            <v>Casa De Ferragens Ishikawa Ltda</v>
          </cell>
          <cell r="D723" t="str">
            <v>Casa De Ferragens Ishikawa Ltda</v>
          </cell>
          <cell r="E723" t="str">
            <v>45.233.608</v>
          </cell>
          <cell r="F723" t="str">
            <v>45.233.608/0001-02</v>
          </cell>
          <cell r="G723" t="str">
            <v>ISHIKAWA</v>
          </cell>
        </row>
        <row r="724">
          <cell r="A724">
            <v>28284</v>
          </cell>
          <cell r="B724" t="str">
            <v>CORPORATION</v>
          </cell>
          <cell r="C724" t="str">
            <v>Gd Pecas Automotivas Ltda - Me</v>
          </cell>
          <cell r="D724" t="str">
            <v>Gdparts Pecas E Ferramentas Automotivas</v>
          </cell>
          <cell r="E724" t="str">
            <v>13.205.719</v>
          </cell>
          <cell r="F724" t="str">
            <v>13.205.719/0001-00</v>
          </cell>
        </row>
        <row r="725">
          <cell r="A725">
            <v>28287</v>
          </cell>
          <cell r="B725" t="str">
            <v>CORPORATION</v>
          </cell>
          <cell r="C725" t="str">
            <v>Bussfer Comercio De Ferragens Ltda - Epp</v>
          </cell>
          <cell r="D725" t="str">
            <v>Bussfer</v>
          </cell>
          <cell r="E725" t="str">
            <v>08.263.338</v>
          </cell>
          <cell r="F725" t="str">
            <v>08.263.338/0001-48</v>
          </cell>
        </row>
        <row r="726">
          <cell r="A726">
            <v>28290</v>
          </cell>
          <cell r="B726" t="str">
            <v>CORPORATION</v>
          </cell>
          <cell r="C726" t="str">
            <v>Braganfer Industria E Comercio De Ferro E Aco Ltda</v>
          </cell>
          <cell r="D726" t="str">
            <v>Braganfer Industria E Comercio De Ferro E Aco Ltda</v>
          </cell>
          <cell r="E726" t="str">
            <v>59.154.237</v>
          </cell>
          <cell r="F726" t="str">
            <v>59.154.237/0001-70</v>
          </cell>
          <cell r="G726" t="str">
            <v>AÇO GRANJO/ BRANGAFER</v>
          </cell>
        </row>
        <row r="727">
          <cell r="A727">
            <v>28293</v>
          </cell>
          <cell r="B727" t="str">
            <v>CORPORATION</v>
          </cell>
          <cell r="C727" t="str">
            <v>Implementos Agricolas Oliveira Ltda</v>
          </cell>
          <cell r="D727" t="str">
            <v>Implementos Agricolas Oliveira</v>
          </cell>
          <cell r="E727" t="str">
            <v>04.004.410</v>
          </cell>
          <cell r="F727" t="str">
            <v>04.004.410/0005-95</v>
          </cell>
          <cell r="G727" t="str">
            <v>IMPLEMENTOS AGRIC OLIVEIRA</v>
          </cell>
        </row>
        <row r="728">
          <cell r="A728">
            <v>28295</v>
          </cell>
          <cell r="B728" t="str">
            <v>CORPORATION</v>
          </cell>
          <cell r="C728" t="str">
            <v>Iberia A. S. C. De Santana</v>
          </cell>
          <cell r="D728" t="str">
            <v>Fertek Ferramentas</v>
          </cell>
          <cell r="E728" t="str">
            <v>15.065.029</v>
          </cell>
          <cell r="F728" t="str">
            <v>15.065.029/0001-29</v>
          </cell>
        </row>
        <row r="729">
          <cell r="A729">
            <v>28297</v>
          </cell>
          <cell r="B729" t="str">
            <v>CORPORATION</v>
          </cell>
          <cell r="C729" t="str">
            <v>Coelho Comercio De Pecas E Ferragens Ltda - Me</v>
          </cell>
          <cell r="D729" t="str">
            <v>Coelho Comercio De Pecas</v>
          </cell>
          <cell r="E729" t="str">
            <v>03.661.064</v>
          </cell>
          <cell r="F729" t="str">
            <v>03.661.064/0001-21</v>
          </cell>
        </row>
        <row r="730">
          <cell r="A730">
            <v>28300</v>
          </cell>
          <cell r="B730" t="str">
            <v>CORPORATION</v>
          </cell>
          <cell r="C730" t="str">
            <v>Parafusolandia Ferragens E Ferramentas Ltda</v>
          </cell>
          <cell r="D730" t="str">
            <v>Parafusolandia</v>
          </cell>
          <cell r="E730" t="str">
            <v>37.375.805</v>
          </cell>
          <cell r="F730" t="str">
            <v>37.375.805/0001-20</v>
          </cell>
        </row>
        <row r="731">
          <cell r="A731">
            <v>28301</v>
          </cell>
          <cell r="B731" t="str">
            <v>CORPORATION</v>
          </cell>
          <cell r="C731" t="str">
            <v>Vieira Comercio De Ferragens Ltda</v>
          </cell>
          <cell r="D731" t="str">
            <v>Palmafer Engenharia</v>
          </cell>
          <cell r="E731" t="str">
            <v>09.622.057</v>
          </cell>
          <cell r="F731" t="str">
            <v>09.622.057/0001-05</v>
          </cell>
        </row>
        <row r="732">
          <cell r="A732">
            <v>28303</v>
          </cell>
          <cell r="B732" t="str">
            <v>CORPORATION</v>
          </cell>
          <cell r="C732" t="str">
            <v>Ferpenha Comercio De Pecas E Tintas Automotivas Ltda - Me</v>
          </cell>
          <cell r="D732" t="str">
            <v>Duwe Auto Tintas</v>
          </cell>
          <cell r="E732" t="str">
            <v>08.967.738</v>
          </cell>
          <cell r="F732" t="str">
            <v>08.967.738/0001-34</v>
          </cell>
        </row>
        <row r="733">
          <cell r="A733">
            <v>28305</v>
          </cell>
          <cell r="B733" t="str">
            <v>CORPORATION</v>
          </cell>
          <cell r="C733" t="str">
            <v>Blu Soldas Maquinas E Ferramentas Ltda</v>
          </cell>
          <cell r="D733" t="str">
            <v>Blu Soldas Maquinas E Ferramentas Ltda</v>
          </cell>
          <cell r="E733" t="str">
            <v>85.100.519</v>
          </cell>
          <cell r="F733" t="str">
            <v>85.100.519/0001-02</v>
          </cell>
        </row>
        <row r="734">
          <cell r="A734">
            <v>28309</v>
          </cell>
          <cell r="B734" t="str">
            <v>CORPORATION</v>
          </cell>
          <cell r="C734" t="str">
            <v>Reflo Comercio De Ferros Ltda - Epp</v>
          </cell>
          <cell r="D734" t="str">
            <v>Reflo Comercio De Ferros Ltda - Epp</v>
          </cell>
          <cell r="E734" t="str">
            <v>83.496.810</v>
          </cell>
          <cell r="F734" t="str">
            <v>83.496.810/0001-08</v>
          </cell>
        </row>
        <row r="735">
          <cell r="A735">
            <v>28312</v>
          </cell>
          <cell r="B735" t="str">
            <v>CORPORATION</v>
          </cell>
          <cell r="C735" t="str">
            <v>Fematel Comercio De Ferragens Ltda</v>
          </cell>
          <cell r="D735" t="str">
            <v>Fematel Comercio De Ferragens Ltda</v>
          </cell>
          <cell r="E735" t="str">
            <v>02.988.564</v>
          </cell>
          <cell r="F735" t="str">
            <v>02.988.564/0001-00</v>
          </cell>
          <cell r="G735" t="str">
            <v>FEMATEL</v>
          </cell>
        </row>
        <row r="736">
          <cell r="A736">
            <v>28315</v>
          </cell>
          <cell r="B736" t="str">
            <v>CORPORATION</v>
          </cell>
          <cell r="C736" t="str">
            <v>B.Sim Comercio De Maquinas Ltda Me</v>
          </cell>
          <cell r="D736" t="str">
            <v>S.I.M. Comercio Maquinas Agricolas</v>
          </cell>
          <cell r="E736" t="str">
            <v>09.524.044</v>
          </cell>
          <cell r="F736" t="str">
            <v>09.524.044/0001-95</v>
          </cell>
        </row>
        <row r="737">
          <cell r="A737">
            <v>28318</v>
          </cell>
          <cell r="B737" t="str">
            <v>CORPORATION</v>
          </cell>
          <cell r="C737" t="str">
            <v>Auto Pecas Ipanema Ltda - Me</v>
          </cell>
          <cell r="D737" t="str">
            <v>A Casa Do Borracheiro</v>
          </cell>
          <cell r="E737" t="str">
            <v>81.013.716</v>
          </cell>
          <cell r="F737" t="str">
            <v>81.013.716/0001-25</v>
          </cell>
        </row>
        <row r="738">
          <cell r="A738">
            <v>28321</v>
          </cell>
          <cell r="B738" t="str">
            <v>CORPORATION</v>
          </cell>
          <cell r="C738" t="str">
            <v>Samta Maquinas E Ferramentas Ltda</v>
          </cell>
          <cell r="D738" t="str">
            <v>Samta Maquinas E Ferramentas Ltda</v>
          </cell>
          <cell r="E738" t="str">
            <v>07.527.462</v>
          </cell>
          <cell r="F738" t="str">
            <v>07.527.462/0001-00</v>
          </cell>
        </row>
        <row r="739">
          <cell r="A739">
            <v>28324</v>
          </cell>
          <cell r="B739" t="str">
            <v>CORPORATION</v>
          </cell>
          <cell r="C739" t="str">
            <v>Jpl Comercio E Equipamentos Ltda</v>
          </cell>
          <cell r="D739" t="str">
            <v>Jpl Comercio E Equipamentos Ltda</v>
          </cell>
          <cell r="E739" t="str">
            <v>17.190.293</v>
          </cell>
          <cell r="F739" t="str">
            <v>17.190.293/0001-10</v>
          </cell>
        </row>
        <row r="740">
          <cell r="A740">
            <v>28325</v>
          </cell>
          <cell r="B740" t="str">
            <v>CORPORATION</v>
          </cell>
          <cell r="C740" t="str">
            <v>Dudu Ferragens Ltda - Epp</v>
          </cell>
          <cell r="D740" t="str">
            <v>Dudu Ferragens Ltda - Epp</v>
          </cell>
          <cell r="E740" t="str">
            <v>00.632.255</v>
          </cell>
          <cell r="F740" t="str">
            <v>00.632.255/0001-77</v>
          </cell>
        </row>
        <row r="741">
          <cell r="A741">
            <v>28327</v>
          </cell>
          <cell r="B741" t="str">
            <v>CORPORATION</v>
          </cell>
          <cell r="C741" t="str">
            <v>Mepar Mercado De Parafusos Ltda</v>
          </cell>
          <cell r="D741" t="str">
            <v>Mepar Mercado De Parafusos Ltda</v>
          </cell>
          <cell r="E741" t="str">
            <v>79.245.296</v>
          </cell>
          <cell r="F741" t="str">
            <v>79.245.296/0001-60</v>
          </cell>
        </row>
        <row r="742">
          <cell r="A742">
            <v>28330</v>
          </cell>
          <cell r="B742" t="str">
            <v>CORPORATION</v>
          </cell>
          <cell r="C742" t="str">
            <v>David Frigeri E Filhos Ltda</v>
          </cell>
          <cell r="D742" t="str">
            <v>David Frigeri E Filhos Ltda</v>
          </cell>
          <cell r="E742" t="str">
            <v>83.304.279</v>
          </cell>
          <cell r="F742" t="str">
            <v>83.304.279/0001-24</v>
          </cell>
        </row>
        <row r="743">
          <cell r="A743">
            <v>28332</v>
          </cell>
          <cell r="B743" t="str">
            <v>CORPORATION</v>
          </cell>
          <cell r="C743" t="str">
            <v>Eletro Barra Trade Service Ltda</v>
          </cell>
          <cell r="D743" t="str">
            <v>Elmec-Sjb</v>
          </cell>
          <cell r="E743" t="str">
            <v>16.615.745</v>
          </cell>
          <cell r="F743" t="str">
            <v>16.615.745/0001-03</v>
          </cell>
        </row>
        <row r="744">
          <cell r="A744">
            <v>28333</v>
          </cell>
          <cell r="B744" t="str">
            <v>CORPORATION</v>
          </cell>
          <cell r="C744" t="str">
            <v>Havan Lojas De Departamentos Ltda</v>
          </cell>
          <cell r="D744" t="str">
            <v>Havan Lojas De Departamentos Ltda</v>
          </cell>
          <cell r="E744" t="str">
            <v>79.379.491</v>
          </cell>
          <cell r="F744" t="str">
            <v>79.379.491/0001-83</v>
          </cell>
        </row>
        <row r="745">
          <cell r="A745">
            <v>28335</v>
          </cell>
          <cell r="B745" t="str">
            <v>CORPORATION</v>
          </cell>
          <cell r="C745" t="str">
            <v>Casa Das Mangueiras Ltda</v>
          </cell>
          <cell r="D745" t="str">
            <v>Casa Das Mangueiras</v>
          </cell>
          <cell r="E745" t="str">
            <v>39.743.267</v>
          </cell>
          <cell r="F745" t="str">
            <v>39.743.267/0001-04</v>
          </cell>
          <cell r="G745" t="str">
            <v>CASA DAS MANGUEIRA</v>
          </cell>
        </row>
        <row r="746">
          <cell r="A746">
            <v>28338</v>
          </cell>
          <cell r="B746" t="str">
            <v>CORPORATION</v>
          </cell>
          <cell r="C746" t="str">
            <v>Frederico De Castro Mourao 01366995619</v>
          </cell>
          <cell r="D746" t="str">
            <v>Shop Worker</v>
          </cell>
          <cell r="E746" t="str">
            <v>17.216.792</v>
          </cell>
          <cell r="F746" t="str">
            <v>17.216.792/0001-39</v>
          </cell>
        </row>
        <row r="747">
          <cell r="A747">
            <v>28339</v>
          </cell>
          <cell r="B747" t="str">
            <v>CORPORATION</v>
          </cell>
          <cell r="C747" t="str">
            <v>Julio Cesar Tartaglia 49394509615</v>
          </cell>
          <cell r="D747" t="str">
            <v>Ferragens Rio Branco</v>
          </cell>
          <cell r="E747" t="str">
            <v>29.569.138</v>
          </cell>
          <cell r="F747" t="str">
            <v>29.569.138/0001-98</v>
          </cell>
        </row>
        <row r="748">
          <cell r="A748">
            <v>28340</v>
          </cell>
          <cell r="B748" t="str">
            <v>CORPORATION</v>
          </cell>
          <cell r="C748" t="str">
            <v>Tatiana Vons Hadlich 07050331988</v>
          </cell>
          <cell r="D748" t="str">
            <v>H Tech Solucoes Eletronicas</v>
          </cell>
          <cell r="E748" t="str">
            <v>48.044.078</v>
          </cell>
          <cell r="F748" t="str">
            <v>48.044.078/0001-34</v>
          </cell>
          <cell r="G748" t="str">
            <v>HTECH</v>
          </cell>
        </row>
        <row r="749">
          <cell r="A749">
            <v>28345</v>
          </cell>
          <cell r="B749" t="str">
            <v>CORPORATION</v>
          </cell>
          <cell r="C749" t="str">
            <v>Eutox Ferramentas E Materiais Para Solda E Corte Ltda</v>
          </cell>
          <cell r="D749" t="str">
            <v>Eutox</v>
          </cell>
          <cell r="E749" t="str">
            <v>05.430.642</v>
          </cell>
          <cell r="F749" t="str">
            <v>05.430.642/0001-44</v>
          </cell>
          <cell r="G749" t="str">
            <v>EUTOX</v>
          </cell>
        </row>
        <row r="750">
          <cell r="A750">
            <v>28347</v>
          </cell>
          <cell r="B750" t="str">
            <v>CORPORATION</v>
          </cell>
          <cell r="C750" t="str">
            <v>Laurentino &amp; Silva Com, Loc., Transp De Gases, Maq, Ferr E Fer Ltda.Me</v>
          </cell>
          <cell r="D750" t="str">
            <v>Oxigmed Gases E Equipamentos</v>
          </cell>
          <cell r="E750" t="str">
            <v>11.114.076</v>
          </cell>
          <cell r="F750" t="str">
            <v>11.114.076/0001-64</v>
          </cell>
        </row>
        <row r="751">
          <cell r="A751">
            <v>28349</v>
          </cell>
          <cell r="B751" t="str">
            <v>CORPORATION</v>
          </cell>
          <cell r="C751" t="str">
            <v>Eutox Gases E Solda Ltda</v>
          </cell>
          <cell r="D751" t="str">
            <v>Eutox Gases E Solda</v>
          </cell>
          <cell r="E751" t="str">
            <v>69.323.244</v>
          </cell>
          <cell r="F751" t="str">
            <v>69.323.244/0001-01</v>
          </cell>
          <cell r="G751" t="str">
            <v>EUTOX</v>
          </cell>
        </row>
        <row r="752">
          <cell r="A752">
            <v>28350</v>
          </cell>
          <cell r="B752" t="str">
            <v>CORPORATION</v>
          </cell>
          <cell r="C752" t="str">
            <v>Brasil Sul Ferramentas Comercio E Distribuicao Ltda - Me</v>
          </cell>
          <cell r="D752" t="str">
            <v>Brasil Tools</v>
          </cell>
          <cell r="E752" t="str">
            <v>11.836.286</v>
          </cell>
          <cell r="F752" t="str">
            <v>11.836.286/0001-66</v>
          </cell>
        </row>
        <row r="753">
          <cell r="A753">
            <v>28355</v>
          </cell>
          <cell r="B753" t="str">
            <v>CORPORATION</v>
          </cell>
          <cell r="C753" t="str">
            <v>Altama Ferragens Ltda - Me</v>
          </cell>
          <cell r="D753" t="str">
            <v>Altama</v>
          </cell>
          <cell r="E753" t="str">
            <v>72.356.017</v>
          </cell>
          <cell r="F753" t="str">
            <v>72.356.017/0001-97</v>
          </cell>
        </row>
        <row r="754">
          <cell r="A754">
            <v>28359</v>
          </cell>
          <cell r="B754" t="str">
            <v>CORPORATION</v>
          </cell>
          <cell r="C754" t="str">
            <v>Agroback - Agropecuaria Back Ltda - Me</v>
          </cell>
          <cell r="D754" t="str">
            <v>Agroback - Agropecuaria Back Ltda - Me</v>
          </cell>
          <cell r="E754" t="str">
            <v>79.943.049</v>
          </cell>
          <cell r="F754" t="str">
            <v>79.943.049/0001-38</v>
          </cell>
        </row>
        <row r="755">
          <cell r="A755">
            <v>28362</v>
          </cell>
          <cell r="B755" t="str">
            <v>CORPORATION</v>
          </cell>
          <cell r="C755" t="str">
            <v>Joao Batista Julioni 61145564968</v>
          </cell>
          <cell r="D755" t="str">
            <v>Joao Batista Julioni 61145564968</v>
          </cell>
          <cell r="E755" t="str">
            <v>12.904.758</v>
          </cell>
          <cell r="F755" t="str">
            <v>12.904.758/0001-33</v>
          </cell>
        </row>
        <row r="756">
          <cell r="A756">
            <v>28365</v>
          </cell>
          <cell r="B756" t="str">
            <v>CORPORATION</v>
          </cell>
          <cell r="C756" t="str">
            <v>Freddy Eduardo Franke - Me</v>
          </cell>
          <cell r="D756" t="str">
            <v>Freddy Eduardo Franke - Me</v>
          </cell>
          <cell r="E756" t="str">
            <v>03.469.801</v>
          </cell>
          <cell r="F756" t="str">
            <v>03.469.801/0001-99</v>
          </cell>
        </row>
        <row r="757">
          <cell r="A757">
            <v>28368</v>
          </cell>
          <cell r="B757" t="str">
            <v>CORPORATION</v>
          </cell>
          <cell r="C757" t="str">
            <v>Suelen Pereira Nunes - Me</v>
          </cell>
          <cell r="D757" t="str">
            <v>Suelen Pereira Nunes - Me</v>
          </cell>
          <cell r="E757" t="str">
            <v>19.862.264</v>
          </cell>
          <cell r="F757" t="str">
            <v>19.862.264/0001-82</v>
          </cell>
        </row>
        <row r="758">
          <cell r="A758">
            <v>28376</v>
          </cell>
          <cell r="B758" t="str">
            <v>CORPORATION</v>
          </cell>
          <cell r="C758" t="str">
            <v>Estoril Parafusos E Pecas Ltda</v>
          </cell>
          <cell r="D758" t="str">
            <v>Estoril</v>
          </cell>
          <cell r="E758" t="str">
            <v>30.635.759</v>
          </cell>
          <cell r="F758" t="str">
            <v>30.635.759/0002-92</v>
          </cell>
        </row>
        <row r="759">
          <cell r="A759">
            <v>28378</v>
          </cell>
          <cell r="B759" t="str">
            <v>CORPORATION</v>
          </cell>
          <cell r="C759" t="str">
            <v>Minha Casa Ferragens Ltda</v>
          </cell>
          <cell r="D759" t="str">
            <v>Fiel Parafusos E Ferramentas</v>
          </cell>
          <cell r="E759" t="str">
            <v>28.342.822</v>
          </cell>
          <cell r="F759" t="str">
            <v>28.342.822/0001-70</v>
          </cell>
        </row>
        <row r="760">
          <cell r="A760">
            <v>28381</v>
          </cell>
          <cell r="B760" t="str">
            <v>CORPORATION</v>
          </cell>
          <cell r="C760" t="str">
            <v>Mc Conserto &amp; Comercio De Maquinas De Solda Ltda - Me</v>
          </cell>
          <cell r="D760" t="str">
            <v>Maquitec</v>
          </cell>
          <cell r="E760" t="str">
            <v>12.934.627</v>
          </cell>
          <cell r="F760" t="str">
            <v>12.934.627/0001-07</v>
          </cell>
        </row>
        <row r="761">
          <cell r="A761">
            <v>28383</v>
          </cell>
          <cell r="B761" t="str">
            <v>CORPORATION</v>
          </cell>
          <cell r="C761" t="str">
            <v>J. C. G. Consertos De Motores E Ferramentas Eletricas Ltda - Me</v>
          </cell>
          <cell r="D761" t="str">
            <v>J. C. G. Consertos De Motores E Ferramentas Eletricas Ltda - Me</v>
          </cell>
          <cell r="E761" t="str">
            <v>09.395.511</v>
          </cell>
          <cell r="F761" t="str">
            <v>09.395.511/0001-24</v>
          </cell>
        </row>
        <row r="762">
          <cell r="A762">
            <v>28385</v>
          </cell>
          <cell r="B762" t="str">
            <v>CORPORATION</v>
          </cell>
          <cell r="C762" t="str">
            <v>Kel-Maq Maquinas E Ferramentas Ltda</v>
          </cell>
          <cell r="D762" t="str">
            <v>Kel-Maq</v>
          </cell>
          <cell r="E762" t="str">
            <v>11.703.417</v>
          </cell>
          <cell r="F762" t="str">
            <v>11.703.417/0001-37</v>
          </cell>
        </row>
        <row r="763">
          <cell r="A763">
            <v>28386</v>
          </cell>
          <cell r="B763" t="str">
            <v>CORPORATION</v>
          </cell>
          <cell r="C763" t="str">
            <v>Dipafer Distribuidora De Parafusos E Ferragens Ltda - Epp</v>
          </cell>
          <cell r="D763" t="str">
            <v>Dipafer Distribuidora De Parafusos E Ferragens Ltda - Epp</v>
          </cell>
          <cell r="E763" t="str">
            <v>85.177.293</v>
          </cell>
          <cell r="F763" t="str">
            <v>85.177.293/0001-30</v>
          </cell>
        </row>
        <row r="764">
          <cell r="A764">
            <v>28387</v>
          </cell>
          <cell r="B764" t="str">
            <v>CORPORATION</v>
          </cell>
          <cell r="C764" t="str">
            <v>Ferromil Comercial De Ferragens Ltda</v>
          </cell>
          <cell r="D764" t="str">
            <v>Ferro E Aco</v>
          </cell>
          <cell r="E764" t="str">
            <v>13.467.965</v>
          </cell>
          <cell r="F764" t="str">
            <v>13.467.965/0001-30</v>
          </cell>
          <cell r="G764" t="str">
            <v>FERROMIL</v>
          </cell>
        </row>
        <row r="765">
          <cell r="A765">
            <v>28390</v>
          </cell>
          <cell r="B765" t="str">
            <v>CORPORATION</v>
          </cell>
          <cell r="C765" t="str">
            <v>Lajesoldas Comercio De Maquinas E Ferramentas Eireli - Epp</v>
          </cell>
          <cell r="D765" t="str">
            <v>Lajesoldas</v>
          </cell>
          <cell r="E765" t="str">
            <v>02.615.104</v>
          </cell>
          <cell r="F765" t="str">
            <v>02.615.104/0001-36</v>
          </cell>
        </row>
        <row r="766">
          <cell r="A766">
            <v>28393</v>
          </cell>
          <cell r="B766" t="str">
            <v>CORPORATION</v>
          </cell>
          <cell r="C766" t="str">
            <v>Comércio De Ferragens Zickuhr Ltda</v>
          </cell>
          <cell r="D766" t="str">
            <v>Comércio De Ferragens Zickuhr</v>
          </cell>
          <cell r="E766" t="str">
            <v>03.314.971</v>
          </cell>
          <cell r="F766" t="str">
            <v>03.314.971/0001-02</v>
          </cell>
        </row>
        <row r="767">
          <cell r="A767">
            <v>28395</v>
          </cell>
          <cell r="B767" t="str">
            <v>CORPORATION</v>
          </cell>
          <cell r="C767" t="str">
            <v>Maksantos Ferramentas Eireli</v>
          </cell>
          <cell r="D767" t="str">
            <v>Maksantos Ferramentas Eireli</v>
          </cell>
          <cell r="E767" t="str">
            <v>34.461.524</v>
          </cell>
          <cell r="F767" t="str">
            <v>34.461.524/0001-00</v>
          </cell>
          <cell r="G767" t="str">
            <v>MAKSANTOS</v>
          </cell>
        </row>
        <row r="768">
          <cell r="A768">
            <v>28396</v>
          </cell>
          <cell r="B768" t="str">
            <v>CORPORATION</v>
          </cell>
          <cell r="C768" t="str">
            <v>Super Maquinas Locacao De Equipamentos Para Solda Ltda - Me</v>
          </cell>
          <cell r="D768" t="str">
            <v>Super Maquinas</v>
          </cell>
          <cell r="E768" t="str">
            <v>08.052.195</v>
          </cell>
          <cell r="F768" t="str">
            <v>08.052.195/0001-25</v>
          </cell>
        </row>
        <row r="769">
          <cell r="A769">
            <v>28399</v>
          </cell>
          <cell r="B769" t="str">
            <v>CORPORATION</v>
          </cell>
          <cell r="C769" t="str">
            <v>Ferragens Ascari Ltda - Me</v>
          </cell>
          <cell r="D769" t="str">
            <v>Ferragens Ascari Ltda</v>
          </cell>
          <cell r="E769" t="str">
            <v>13.240.799</v>
          </cell>
          <cell r="F769" t="str">
            <v>13.240.799/0001-35</v>
          </cell>
        </row>
        <row r="770">
          <cell r="A770">
            <v>28402</v>
          </cell>
          <cell r="B770" t="str">
            <v>CORPORATION</v>
          </cell>
          <cell r="C770" t="str">
            <v>Darold Comercio De Ferramentas Ltda - Me</v>
          </cell>
          <cell r="D770" t="str">
            <v>Dafer Ferramentas</v>
          </cell>
          <cell r="E770" t="str">
            <v>80.755.853</v>
          </cell>
          <cell r="F770" t="str">
            <v>80.755.853/0001-72</v>
          </cell>
        </row>
        <row r="771">
          <cell r="A771">
            <v>28404</v>
          </cell>
          <cell r="B771" t="str">
            <v>CORPORATION</v>
          </cell>
          <cell r="C771" t="str">
            <v>Alexsandra Gomes Da Silva 86740482187</v>
          </cell>
          <cell r="D771" t="str">
            <v>Ferragista Opção</v>
          </cell>
          <cell r="E771" t="str">
            <v>39.687.046</v>
          </cell>
          <cell r="F771" t="str">
            <v>39.687.046/0001-66</v>
          </cell>
          <cell r="G771" t="str">
            <v>FERRAGISTA OPÇÃO</v>
          </cell>
        </row>
        <row r="772">
          <cell r="A772">
            <v>28405</v>
          </cell>
          <cell r="B772" t="str">
            <v>CORPORATION</v>
          </cell>
          <cell r="C772" t="str">
            <v>Forte Parafusos E Ferramentas Ltda - Me</v>
          </cell>
          <cell r="D772" t="str">
            <v>Forte Parafusos, Ferramentas E Utilidades</v>
          </cell>
          <cell r="E772" t="str">
            <v>11.350.036</v>
          </cell>
          <cell r="F772" t="str">
            <v>11.350.036/0001-11</v>
          </cell>
        </row>
        <row r="773">
          <cell r="A773">
            <v>28408</v>
          </cell>
          <cell r="B773" t="str">
            <v>CORPORATION</v>
          </cell>
          <cell r="C773" t="str">
            <v>Carleto Sociedade Representacoes Ltda</v>
          </cell>
          <cell r="D773" t="str">
            <v>Carleto</v>
          </cell>
          <cell r="E773" t="str">
            <v>17.359.365</v>
          </cell>
          <cell r="F773" t="str">
            <v>17.359.365/0001-00</v>
          </cell>
        </row>
        <row r="774">
          <cell r="A774">
            <v>28410</v>
          </cell>
          <cell r="B774" t="str">
            <v>CORPORATION</v>
          </cell>
          <cell r="C774" t="str">
            <v>Cooperativa Dos Plantadores De Cana Do Oeste Do Estado De Sao Paulo</v>
          </cell>
          <cell r="D774" t="str">
            <v>Copercana</v>
          </cell>
          <cell r="E774" t="str">
            <v>71.320.915</v>
          </cell>
          <cell r="F774" t="str">
            <v>71.320.915/0010-13</v>
          </cell>
          <cell r="G774" t="str">
            <v>COPERCANA</v>
          </cell>
        </row>
        <row r="775">
          <cell r="A775">
            <v>28413</v>
          </cell>
          <cell r="B775" t="str">
            <v>CORPORATION</v>
          </cell>
          <cell r="C775" t="str">
            <v>J.P. Central Maquinas Eletricas Ltda</v>
          </cell>
          <cell r="D775" t="str">
            <v>Central Maquinas</v>
          </cell>
          <cell r="E775" t="str">
            <v>04.228.350</v>
          </cell>
          <cell r="F775" t="str">
            <v>04.228.350/0001-60</v>
          </cell>
        </row>
        <row r="776">
          <cell r="A776">
            <v>28414</v>
          </cell>
          <cell r="B776" t="str">
            <v>CORPORATION</v>
          </cell>
          <cell r="C776" t="str">
            <v>Comercial Dma Auto Pecas Ltda</v>
          </cell>
          <cell r="D776" t="str">
            <v>Comercial Dma Auto Pecas (Terramar)</v>
          </cell>
          <cell r="E776" t="str">
            <v>13.499.923</v>
          </cell>
          <cell r="F776" t="str">
            <v>13.499.923/0001-81</v>
          </cell>
          <cell r="G776" t="str">
            <v>TERRAMAR</v>
          </cell>
        </row>
        <row r="777">
          <cell r="A777">
            <v>28416</v>
          </cell>
          <cell r="B777" t="str">
            <v>CORPORATION</v>
          </cell>
          <cell r="C777" t="str">
            <v>Serpat Distribuidora Ltda. - Me</v>
          </cell>
          <cell r="D777" t="str">
            <v>Serpat</v>
          </cell>
          <cell r="E777" t="str">
            <v>11.630.976</v>
          </cell>
          <cell r="F777" t="str">
            <v>11.630.976/0001-64</v>
          </cell>
        </row>
        <row r="778">
          <cell r="A778">
            <v>28418</v>
          </cell>
          <cell r="B778" t="str">
            <v>CORPORATION</v>
          </cell>
          <cell r="C778" t="str">
            <v>Barros E Santos Comercio De Mercadorias Ltda Epp</v>
          </cell>
          <cell r="D778" t="str">
            <v>Barros E Vilar</v>
          </cell>
          <cell r="E778" t="str">
            <v>02.766.821</v>
          </cell>
          <cell r="F778" t="str">
            <v>02.766.821/0001-69</v>
          </cell>
        </row>
        <row r="779">
          <cell r="A779">
            <v>28421</v>
          </cell>
          <cell r="B779" t="str">
            <v>CORPORATION</v>
          </cell>
          <cell r="C779" t="str">
            <v>Madefer Ferragens E Mdf Ltda Me</v>
          </cell>
          <cell r="D779" t="str">
            <v>Madefer</v>
          </cell>
          <cell r="E779" t="str">
            <v>01.926.006</v>
          </cell>
          <cell r="F779" t="str">
            <v>01.926.006/0001-57</v>
          </cell>
        </row>
        <row r="780">
          <cell r="A780">
            <v>28426</v>
          </cell>
          <cell r="B780" t="str">
            <v>CORPORATION</v>
          </cell>
          <cell r="C780" t="str">
            <v>Dismafer Distribuidora De Maquinas E Ferramentas Ltda</v>
          </cell>
          <cell r="D780" t="str">
            <v>Dismafer Distribuidora De Maquinas E Ferramentas Ltda</v>
          </cell>
          <cell r="E780" t="str">
            <v>04.112.126</v>
          </cell>
          <cell r="F780" t="str">
            <v>04.112.126/0001-09</v>
          </cell>
        </row>
        <row r="781">
          <cell r="A781">
            <v>28429</v>
          </cell>
          <cell r="B781" t="str">
            <v>CORPORATION</v>
          </cell>
          <cell r="C781" t="str">
            <v>Cormixcor Tintas Eireli - Me</v>
          </cell>
          <cell r="D781" t="str">
            <v>Cormixcor Tintas</v>
          </cell>
          <cell r="E781" t="str">
            <v>14.012.505</v>
          </cell>
          <cell r="F781" t="str">
            <v>14.012.505/0001-80</v>
          </cell>
        </row>
        <row r="782">
          <cell r="A782">
            <v>28431</v>
          </cell>
          <cell r="B782" t="str">
            <v>CORPORATION</v>
          </cell>
          <cell r="C782" t="str">
            <v>Ecin Comercial Aluminio E Ferro De Petropolis Ltda</v>
          </cell>
          <cell r="D782" t="str">
            <v>Ecin</v>
          </cell>
          <cell r="E782" t="str">
            <v>02.394.787</v>
          </cell>
          <cell r="F782" t="str">
            <v>02.394.787/0001-49</v>
          </cell>
          <cell r="G782" t="str">
            <v>DAFEL</v>
          </cell>
        </row>
        <row r="783">
          <cell r="A783">
            <v>28433</v>
          </cell>
          <cell r="B783" t="str">
            <v>CORPORATION</v>
          </cell>
          <cell r="C783" t="str">
            <v>Brusfer Comercio De Ferragens Ltda</v>
          </cell>
          <cell r="D783" t="str">
            <v>Brusfer Comercio De Ferragens Ltda</v>
          </cell>
          <cell r="E783" t="str">
            <v>00.442.819</v>
          </cell>
          <cell r="F783" t="str">
            <v>00.442.819/0001-09</v>
          </cell>
        </row>
        <row r="784">
          <cell r="A784">
            <v>28436</v>
          </cell>
          <cell r="B784" t="str">
            <v>CORPORATION</v>
          </cell>
          <cell r="C784" t="str">
            <v>Peg &amp; Pag Paraty Materiais De Construcao Ltda Epp</v>
          </cell>
          <cell r="D784" t="str">
            <v>Peg &amp; Pag Paraty</v>
          </cell>
          <cell r="E784" t="str">
            <v>14.184.756</v>
          </cell>
          <cell r="F784" t="str">
            <v>14.184.756/0001-42</v>
          </cell>
        </row>
        <row r="785">
          <cell r="A785">
            <v>28439</v>
          </cell>
          <cell r="B785" t="str">
            <v>CORPORATION</v>
          </cell>
          <cell r="C785" t="str">
            <v>Tubos E Aco Catarinense Ltda - Me</v>
          </cell>
          <cell r="D785" t="str">
            <v>Tubos E Aco Catarinense Ltda - Me</v>
          </cell>
          <cell r="E785" t="str">
            <v>11.021.514</v>
          </cell>
          <cell r="F785" t="str">
            <v>11.021.514/0001-40</v>
          </cell>
        </row>
        <row r="786">
          <cell r="A786">
            <v>28442</v>
          </cell>
          <cell r="B786" t="str">
            <v>CORPORATION</v>
          </cell>
          <cell r="C786" t="str">
            <v>Bonato Materiais De Construção Ltda</v>
          </cell>
          <cell r="D786" t="str">
            <v>Bonato</v>
          </cell>
          <cell r="E786" t="str">
            <v>07.102.402</v>
          </cell>
          <cell r="F786" t="str">
            <v>07.102.402/0001-46</v>
          </cell>
        </row>
        <row r="787">
          <cell r="A787">
            <v>28445</v>
          </cell>
          <cell r="B787" t="str">
            <v>CORPORATION</v>
          </cell>
          <cell r="C787" t="str">
            <v>Coper Com De Parafusos Pereira Ltda - Me</v>
          </cell>
          <cell r="D787" t="str">
            <v>Coper Com De Parafusos Pereira Ltda - Me</v>
          </cell>
          <cell r="E787" t="str">
            <v>82.971.904</v>
          </cell>
          <cell r="F787" t="str">
            <v>82.971.904/0001-29</v>
          </cell>
        </row>
        <row r="788">
          <cell r="A788">
            <v>28446</v>
          </cell>
          <cell r="B788" t="str">
            <v>CORPORATION</v>
          </cell>
          <cell r="C788" t="str">
            <v>M O Moura Da Silva</v>
          </cell>
          <cell r="D788" t="str">
            <v>Ferragem Amazonas (Fabimack)</v>
          </cell>
          <cell r="E788" t="str">
            <v>45.668.436</v>
          </cell>
          <cell r="F788" t="str">
            <v>45.668.436/0001-91</v>
          </cell>
          <cell r="G788" t="str">
            <v>FABIMACK</v>
          </cell>
        </row>
        <row r="789">
          <cell r="A789">
            <v>28448</v>
          </cell>
          <cell r="B789" t="str">
            <v>CORPORATION</v>
          </cell>
          <cell r="C789" t="str">
            <v>Simafer Distribuidora De Maquinas E Ferramentas Ltda</v>
          </cell>
          <cell r="D789" t="str">
            <v>Simafer</v>
          </cell>
          <cell r="E789" t="str">
            <v>02.778.275</v>
          </cell>
          <cell r="F789" t="str">
            <v>02.778.275/0001-86</v>
          </cell>
        </row>
        <row r="790">
          <cell r="A790">
            <v>28450</v>
          </cell>
          <cell r="B790" t="str">
            <v>CORPORATION</v>
          </cell>
          <cell r="C790" t="str">
            <v>Roani Comercio De Maquinas Ltda - Epp</v>
          </cell>
          <cell r="D790" t="str">
            <v>Roani Comercio E Oficina</v>
          </cell>
          <cell r="E790" t="str">
            <v>82.842.691</v>
          </cell>
          <cell r="F790" t="str">
            <v>82.842.691/0001-35</v>
          </cell>
        </row>
        <row r="791">
          <cell r="A791">
            <v>28452</v>
          </cell>
          <cell r="B791" t="str">
            <v>CORPORATION</v>
          </cell>
          <cell r="C791" t="str">
            <v>R J De Oliveira Neto - Epp</v>
          </cell>
          <cell r="D791" t="str">
            <v>Ferramentas Sao Paulo</v>
          </cell>
          <cell r="E791" t="str">
            <v>31.523.996</v>
          </cell>
          <cell r="F791" t="str">
            <v>31.523.996/0001-43</v>
          </cell>
        </row>
        <row r="792">
          <cell r="A792">
            <v>28453</v>
          </cell>
          <cell r="B792" t="str">
            <v>CORPORATION</v>
          </cell>
          <cell r="C792" t="str">
            <v>E. Santos Silva - Constrular</v>
          </cell>
          <cell r="D792" t="str">
            <v>Constrular</v>
          </cell>
          <cell r="E792" t="str">
            <v>16.691.334</v>
          </cell>
          <cell r="F792" t="str">
            <v>16.691.334/0001-99</v>
          </cell>
        </row>
        <row r="793">
          <cell r="A793">
            <v>28455</v>
          </cell>
          <cell r="B793" t="str">
            <v>CORPORATION</v>
          </cell>
          <cell r="C793" t="str">
            <v>Minasdrill Comercio De Ferramentas Ltda</v>
          </cell>
          <cell r="D793" t="str">
            <v>Minasdrill Comercio De Ferramentas Ltda</v>
          </cell>
          <cell r="E793" t="str">
            <v>01.880.618</v>
          </cell>
          <cell r="F793" t="str">
            <v>01.880.618/0002-37</v>
          </cell>
        </row>
        <row r="794">
          <cell r="A794">
            <v>28456</v>
          </cell>
          <cell r="B794" t="str">
            <v>CORPORATION</v>
          </cell>
          <cell r="C794" t="str">
            <v>Pelicano Construções S.A.</v>
          </cell>
          <cell r="D794" t="str">
            <v>Pelicano Construções</v>
          </cell>
          <cell r="E794" t="str">
            <v>27.426.196</v>
          </cell>
          <cell r="F794" t="str">
            <v>27.426.196/0001-37</v>
          </cell>
        </row>
        <row r="795">
          <cell r="A795">
            <v>28458</v>
          </cell>
          <cell r="B795" t="str">
            <v>CORPORATION</v>
          </cell>
          <cell r="C795" t="str">
            <v>Rocril Rolamentos Criciuma Ltda</v>
          </cell>
          <cell r="D795" t="str">
            <v>Rocril</v>
          </cell>
          <cell r="E795" t="str">
            <v>85.296.762</v>
          </cell>
          <cell r="F795" t="str">
            <v>85.296.762/0001-30</v>
          </cell>
        </row>
        <row r="796">
          <cell r="A796">
            <v>28460</v>
          </cell>
          <cell r="B796" t="str">
            <v>CORPORATION</v>
          </cell>
          <cell r="C796" t="str">
            <v>Cristal Max Eletronica Ltda - Epp</v>
          </cell>
          <cell r="D796" t="str">
            <v>Cristal Max</v>
          </cell>
          <cell r="E796" t="str">
            <v>03.866.893</v>
          </cell>
          <cell r="F796" t="str">
            <v>03.866.893/0001-40</v>
          </cell>
        </row>
        <row r="797">
          <cell r="A797">
            <v>28461</v>
          </cell>
          <cell r="B797" t="str">
            <v>CORPORATION</v>
          </cell>
          <cell r="C797" t="str">
            <v>Picapau Ferragens &amp; Cia Ltda</v>
          </cell>
          <cell r="D797" t="str">
            <v>Picapau Ferragens &amp; Cia</v>
          </cell>
          <cell r="E797" t="str">
            <v>41.857.447</v>
          </cell>
          <cell r="F797" t="str">
            <v>41.857.447/0001-69</v>
          </cell>
          <cell r="G797" t="str">
            <v>MI FERRAGENS</v>
          </cell>
        </row>
        <row r="798">
          <cell r="A798">
            <v>28463</v>
          </cell>
          <cell r="B798" t="str">
            <v>CORPORATION</v>
          </cell>
          <cell r="C798" t="str">
            <v>Loja Dominik Ltda</v>
          </cell>
          <cell r="D798" t="str">
            <v>Loja Dominik Ltda</v>
          </cell>
          <cell r="E798" t="str">
            <v>83.873.935</v>
          </cell>
          <cell r="F798" t="str">
            <v>83.873.935/0001-00</v>
          </cell>
        </row>
        <row r="799">
          <cell r="A799">
            <v>28464</v>
          </cell>
          <cell r="B799" t="str">
            <v>CORPORATION</v>
          </cell>
          <cell r="C799" t="str">
            <v>D Mais Comercio De Metais E Acessorios Ltda</v>
          </cell>
          <cell r="D799" t="str">
            <v>D Mais Comercio De Metais E Acessorios Ltda</v>
          </cell>
          <cell r="E799" t="str">
            <v>26.788.811</v>
          </cell>
          <cell r="F799" t="str">
            <v>26.788.811/0001-92</v>
          </cell>
          <cell r="G799" t="str">
            <v>DAFEL</v>
          </cell>
        </row>
        <row r="800">
          <cell r="A800">
            <v>28466</v>
          </cell>
          <cell r="B800" t="str">
            <v>CORPORATION</v>
          </cell>
          <cell r="C800" t="str">
            <v>Fertools Maquinas E Ferramentas Ltda</v>
          </cell>
          <cell r="D800" t="str">
            <v>Fertools</v>
          </cell>
          <cell r="E800" t="str">
            <v>04.402.725</v>
          </cell>
          <cell r="F800" t="str">
            <v>04.402.725/0001-67</v>
          </cell>
        </row>
        <row r="801">
          <cell r="A801">
            <v>28468</v>
          </cell>
          <cell r="B801" t="str">
            <v>CORPORATION</v>
          </cell>
          <cell r="C801" t="str">
            <v>Dafel De Caxias Materiais De Construcao Ltda</v>
          </cell>
          <cell r="D801" t="str">
            <v>Dafel De Caxias Materiais De Construcao Ltda</v>
          </cell>
          <cell r="E801" t="str">
            <v>39.850.099</v>
          </cell>
          <cell r="F801" t="str">
            <v>39.850.099/0001-56</v>
          </cell>
          <cell r="G801" t="str">
            <v>DAFEL</v>
          </cell>
        </row>
        <row r="802">
          <cell r="A802">
            <v>28469</v>
          </cell>
          <cell r="B802" t="str">
            <v>CORPORATION</v>
          </cell>
          <cell r="C802" t="str">
            <v>Kadija Com De Pneumaticos Ferramentas E Art De Borracha Ltda Me</v>
          </cell>
          <cell r="D802" t="str">
            <v>Kadija</v>
          </cell>
          <cell r="E802" t="str">
            <v>07.115.094</v>
          </cell>
          <cell r="F802" t="str">
            <v>07.115.094/0001-93</v>
          </cell>
        </row>
        <row r="803">
          <cell r="A803">
            <v>28472</v>
          </cell>
          <cell r="B803" t="str">
            <v>CORPORATION</v>
          </cell>
          <cell r="C803" t="str">
            <v>Antonio Bohm De Leme - Me</v>
          </cell>
          <cell r="D803" t="str">
            <v>Antonio Bohm</v>
          </cell>
          <cell r="E803" t="str">
            <v>03.721.797</v>
          </cell>
          <cell r="F803" t="str">
            <v>03.721.797/0001-04</v>
          </cell>
        </row>
        <row r="804">
          <cell r="A804">
            <v>28474</v>
          </cell>
          <cell r="B804" t="str">
            <v>CORPORATION</v>
          </cell>
          <cell r="C804" t="str">
            <v>Bodini Auto Pecas E Ferramentas Ltda - Epp</v>
          </cell>
          <cell r="D804" t="str">
            <v>Bodini</v>
          </cell>
          <cell r="E804" t="str">
            <v>46.964.771</v>
          </cell>
          <cell r="F804" t="str">
            <v>46.964.771/0001-08</v>
          </cell>
        </row>
        <row r="805">
          <cell r="A805">
            <v>28475</v>
          </cell>
          <cell r="B805" t="str">
            <v>CORPORATION</v>
          </cell>
          <cell r="C805" t="str">
            <v>Casa Dos Machos Ferramentas Industriais Ltda</v>
          </cell>
          <cell r="D805" t="str">
            <v>Casa Dos Machos (Sampa)</v>
          </cell>
          <cell r="E805" t="str">
            <v>61.552.022</v>
          </cell>
          <cell r="F805" t="str">
            <v>61.552.022/0001-59</v>
          </cell>
          <cell r="G805" t="str">
            <v>SAMPA</v>
          </cell>
        </row>
        <row r="806">
          <cell r="A806">
            <v>28477</v>
          </cell>
          <cell r="B806" t="str">
            <v>CORPORATION</v>
          </cell>
          <cell r="C806" t="str">
            <v>Cabo Frio Oxigenio Ltda</v>
          </cell>
          <cell r="D806" t="str">
            <v>Cabo Frio Oxigenio</v>
          </cell>
          <cell r="E806" t="str">
            <v>29.822.020</v>
          </cell>
          <cell r="F806" t="str">
            <v>29.822.020/0001-20</v>
          </cell>
        </row>
        <row r="807">
          <cell r="A807">
            <v>28479</v>
          </cell>
          <cell r="B807" t="str">
            <v>CORPORATION</v>
          </cell>
          <cell r="C807" t="str">
            <v>Seafer Comercial Ltda</v>
          </cell>
          <cell r="D807" t="str">
            <v>Seafer Comercial Ltda</v>
          </cell>
          <cell r="E807" t="str">
            <v>00.906.356</v>
          </cell>
          <cell r="F807" t="str">
            <v>00.906.356/0001-99</v>
          </cell>
        </row>
        <row r="808">
          <cell r="A808">
            <v>28481</v>
          </cell>
          <cell r="B808" t="str">
            <v>CORPORATION</v>
          </cell>
          <cell r="C808" t="str">
            <v>Central Dos Parafusos De Itumbiara Ltda</v>
          </cell>
          <cell r="D808" t="str">
            <v>Central Dos Parafusos De Itumbiara</v>
          </cell>
          <cell r="E808" t="str">
            <v>03.253.090</v>
          </cell>
          <cell r="F808" t="str">
            <v>03.253.090/0001-10</v>
          </cell>
        </row>
        <row r="809">
          <cell r="A809">
            <v>28482</v>
          </cell>
          <cell r="B809" t="str">
            <v>CORPORATION</v>
          </cell>
          <cell r="C809" t="str">
            <v>A. A. Comercio De Pecas Agricolas Ltda</v>
          </cell>
          <cell r="D809" t="str">
            <v>Nico Peças</v>
          </cell>
          <cell r="E809" t="str">
            <v>03.194.717</v>
          </cell>
          <cell r="F809" t="str">
            <v>03.194.717/0001-00</v>
          </cell>
          <cell r="G809" t="str">
            <v>NICO PEÇAS</v>
          </cell>
        </row>
        <row r="810">
          <cell r="A810">
            <v>28484</v>
          </cell>
          <cell r="B810" t="str">
            <v>CORPORATION</v>
          </cell>
          <cell r="C810" t="str">
            <v>Diagonal De Angra Dos Reis Equipamentos Para Obra Ltda</v>
          </cell>
          <cell r="D810" t="str">
            <v>Diagonal</v>
          </cell>
          <cell r="E810" t="str">
            <v>07.905.091</v>
          </cell>
          <cell r="F810" t="str">
            <v>07.905.091/0001-53</v>
          </cell>
        </row>
        <row r="811">
          <cell r="A811">
            <v>28486</v>
          </cell>
          <cell r="B811" t="str">
            <v>CORPORATION</v>
          </cell>
          <cell r="C811" t="str">
            <v>Tamoyo Comercio De Ferramentas Ferragens E Artigos Para Marcenaria Ltda</v>
          </cell>
          <cell r="D811" t="str">
            <v>Lojas Tamoyo Ltda</v>
          </cell>
          <cell r="E811" t="str">
            <v>76.842.285</v>
          </cell>
          <cell r="F811" t="str">
            <v>76.842.285/0001-70</v>
          </cell>
        </row>
        <row r="812">
          <cell r="A812">
            <v>28488</v>
          </cell>
          <cell r="B812" t="str">
            <v>CORPORATION</v>
          </cell>
          <cell r="C812" t="str">
            <v>Pontaco Comercio De Ferro E Cimento Ltda</v>
          </cell>
          <cell r="D812" t="str">
            <v>Pontaco Comercio De Ferro E Cimento Ltda</v>
          </cell>
          <cell r="E812" t="str">
            <v>10.303.870</v>
          </cell>
          <cell r="F812" t="str">
            <v>10.303.870/0001-93</v>
          </cell>
        </row>
        <row r="813">
          <cell r="A813">
            <v>28489</v>
          </cell>
          <cell r="B813" t="str">
            <v>CORPORATION</v>
          </cell>
          <cell r="C813" t="str">
            <v>Renascer Mercantil Ferragista Ltda</v>
          </cell>
          <cell r="D813" t="str">
            <v>Renascer Mercantil</v>
          </cell>
          <cell r="E813" t="str">
            <v>07.264.693</v>
          </cell>
          <cell r="F813" t="str">
            <v>07.264.693/0001-79</v>
          </cell>
        </row>
        <row r="814">
          <cell r="A814">
            <v>28490</v>
          </cell>
          <cell r="B814" t="str">
            <v>CORPORATION</v>
          </cell>
          <cell r="C814" t="str">
            <v>Atlas Parafusos Ltda</v>
          </cell>
          <cell r="D814" t="str">
            <v>Atlas Parafusos</v>
          </cell>
          <cell r="E814" t="str">
            <v>02.815.293</v>
          </cell>
          <cell r="F814" t="str">
            <v>02.815.293/0002-71</v>
          </cell>
          <cell r="G814" t="str">
            <v>ATLAS PARAFUSOS</v>
          </cell>
        </row>
        <row r="815">
          <cell r="A815">
            <v>28491</v>
          </cell>
          <cell r="B815" t="str">
            <v>CORPORATION</v>
          </cell>
          <cell r="C815" t="str">
            <v>Fj Comercio De Ferramentas Ltda</v>
          </cell>
          <cell r="D815" t="str">
            <v>Fj Ferramentas</v>
          </cell>
          <cell r="E815" t="str">
            <v>41.186.011</v>
          </cell>
          <cell r="F815" t="str">
            <v>41.186.011/0001-95</v>
          </cell>
          <cell r="G815" t="str">
            <v>FJ FERRAMENTAS</v>
          </cell>
        </row>
        <row r="816">
          <cell r="A816">
            <v>28492</v>
          </cell>
          <cell r="B816" t="str">
            <v>CORPORATION</v>
          </cell>
          <cell r="C816" t="str">
            <v>Proposto Comercio De Equip E Acessorios Ltda</v>
          </cell>
          <cell r="D816" t="str">
            <v>Proposto</v>
          </cell>
          <cell r="E816" t="str">
            <v>81.049.827</v>
          </cell>
          <cell r="F816" t="str">
            <v>81.049.827/0001-91</v>
          </cell>
        </row>
        <row r="817">
          <cell r="A817">
            <v>28494</v>
          </cell>
          <cell r="B817" t="str">
            <v>CORPORATION</v>
          </cell>
          <cell r="C817" t="str">
            <v>Bk Maquinas E Ferragens Ltda</v>
          </cell>
          <cell r="D817" t="str">
            <v>Bk Maquinas E Ferragens</v>
          </cell>
          <cell r="E817" t="str">
            <v>31.820.849</v>
          </cell>
          <cell r="F817" t="str">
            <v>31.820.849/0001-35</v>
          </cell>
        </row>
        <row r="818">
          <cell r="A818">
            <v>28497</v>
          </cell>
          <cell r="B818" t="str">
            <v>CORPORATION</v>
          </cell>
          <cell r="C818" t="str">
            <v>Eletrotools Maquinas E Ferramentas Ltda</v>
          </cell>
          <cell r="D818" t="str">
            <v>Eletrotools</v>
          </cell>
          <cell r="E818" t="str">
            <v>29.666.233</v>
          </cell>
          <cell r="F818" t="str">
            <v>29.666.233/0001-00</v>
          </cell>
        </row>
        <row r="819">
          <cell r="A819">
            <v>28498</v>
          </cell>
          <cell r="B819" t="str">
            <v>CORPORATION</v>
          </cell>
          <cell r="C819" t="str">
            <v>Mix Casa Do Borracheiro Ltda</v>
          </cell>
          <cell r="D819" t="str">
            <v>Borracharia</v>
          </cell>
          <cell r="E819" t="str">
            <v>37.340.344</v>
          </cell>
          <cell r="F819" t="str">
            <v>37.340.344/0001-50</v>
          </cell>
          <cell r="G819" t="str">
            <v>CASA DO BORRACHEIRO</v>
          </cell>
        </row>
        <row r="820">
          <cell r="A820">
            <v>28499</v>
          </cell>
          <cell r="B820" t="str">
            <v>CORPORATION</v>
          </cell>
          <cell r="C820" t="str">
            <v>Michel Ferragens Ltda - Me</v>
          </cell>
          <cell r="D820" t="str">
            <v>Michel Ferragens Ltda - Me</v>
          </cell>
          <cell r="E820" t="str">
            <v>01.733.079</v>
          </cell>
          <cell r="F820" t="str">
            <v>01.733.079/0001-22</v>
          </cell>
        </row>
        <row r="821">
          <cell r="A821">
            <v>28505</v>
          </cell>
          <cell r="B821" t="str">
            <v>CORPORATION</v>
          </cell>
          <cell r="C821" t="str">
            <v>Indamaq Comércio De Máquinas Ltda Epp</v>
          </cell>
          <cell r="D821" t="str">
            <v>Indamaq Comércio De Máquinas Ltda Epp</v>
          </cell>
          <cell r="E821" t="str">
            <v>80.082.225</v>
          </cell>
          <cell r="F821" t="str">
            <v>80.082.225/0001-73</v>
          </cell>
        </row>
        <row r="822">
          <cell r="A822">
            <v>28506</v>
          </cell>
          <cell r="B822" t="str">
            <v>CORPORATION</v>
          </cell>
          <cell r="C822" t="str">
            <v>Ms Ferramentas Motorizadas E Manutencao Ltda - Me</v>
          </cell>
          <cell r="D822" t="str">
            <v>Ms Ferramentas Motorizadas</v>
          </cell>
          <cell r="E822" t="str">
            <v>12.461.040</v>
          </cell>
          <cell r="F822" t="str">
            <v>12.461.040/0001-10</v>
          </cell>
        </row>
        <row r="823">
          <cell r="A823">
            <v>28510</v>
          </cell>
          <cell r="B823" t="str">
            <v>CORPORATION</v>
          </cell>
          <cell r="C823" t="str">
            <v>Adriano Antunes De Oliveira 54993547668</v>
          </cell>
          <cell r="D823" t="str">
            <v>Expander Auto</v>
          </cell>
          <cell r="E823" t="str">
            <v>35.202.320</v>
          </cell>
          <cell r="F823" t="str">
            <v>35.202.320/0001-09</v>
          </cell>
        </row>
        <row r="824">
          <cell r="A824">
            <v>28512</v>
          </cell>
          <cell r="B824" t="str">
            <v>CORPORATION</v>
          </cell>
          <cell r="C824" t="str">
            <v>Bruno Leonardo Spinelli Di Marco Zafani - Me</v>
          </cell>
          <cell r="D824" t="str">
            <v>Shop Do Mecanico -Site</v>
          </cell>
          <cell r="E824" t="str">
            <v>11.949.920</v>
          </cell>
          <cell r="F824" t="str">
            <v>11.949.920/0001-77</v>
          </cell>
        </row>
        <row r="825">
          <cell r="A825">
            <v>28517</v>
          </cell>
          <cell r="B825" t="str">
            <v>CORPORATION</v>
          </cell>
          <cell r="C825" t="str">
            <v>Taciane P S De Almeida Ferragens</v>
          </cell>
          <cell r="D825" t="str">
            <v>Brasil Soldas E Abrasivos</v>
          </cell>
          <cell r="E825" t="str">
            <v>33.144.714</v>
          </cell>
          <cell r="F825" t="str">
            <v>33.144.714/0001-22</v>
          </cell>
        </row>
        <row r="826">
          <cell r="A826">
            <v>28522</v>
          </cell>
          <cell r="B826" t="str">
            <v>CORPORATION</v>
          </cell>
          <cell r="C826" t="str">
            <v>Bullstrong Distribuicao E Importacao De Pecas Industriais Ltda - Me</v>
          </cell>
          <cell r="D826" t="str">
            <v>Bullstrong</v>
          </cell>
          <cell r="E826" t="str">
            <v>17.059.030</v>
          </cell>
          <cell r="F826" t="str">
            <v>17.059.030/0001-76</v>
          </cell>
        </row>
        <row r="827">
          <cell r="A827">
            <v>28523</v>
          </cell>
          <cell r="B827" t="str">
            <v>CORPORATION</v>
          </cell>
          <cell r="C827" t="str">
            <v>Nunes Ferragens 2 Ltda</v>
          </cell>
          <cell r="D827" t="str">
            <v>Nunes Ferragens 2</v>
          </cell>
          <cell r="E827" t="str">
            <v>36.171.110</v>
          </cell>
          <cell r="F827" t="str">
            <v>36.171.110/0001-63</v>
          </cell>
          <cell r="G827" t="str">
            <v>NUNES FERRAGENS</v>
          </cell>
        </row>
        <row r="828">
          <cell r="A828">
            <v>28525</v>
          </cell>
          <cell r="B828" t="str">
            <v>CORPORATION</v>
          </cell>
          <cell r="C828" t="str">
            <v>Difuso Industria E Comercio De Parafusos Ewald Ltda</v>
          </cell>
          <cell r="D828" t="str">
            <v>Difuso Industria E Comercio De Parafusos Ewald Ltda</v>
          </cell>
          <cell r="E828" t="str">
            <v>82.887.175</v>
          </cell>
          <cell r="F828" t="str">
            <v>82.887.175/0001-27</v>
          </cell>
        </row>
        <row r="829">
          <cell r="A829">
            <v>28526</v>
          </cell>
          <cell r="B829" t="str">
            <v>CORPORATION</v>
          </cell>
          <cell r="C829" t="str">
            <v>F J Liberato Pinto Ltda</v>
          </cell>
          <cell r="D829" t="str">
            <v>F J Liberato Pinto Ltda</v>
          </cell>
          <cell r="E829" t="str">
            <v>12.088.256</v>
          </cell>
          <cell r="F829" t="str">
            <v>12.088.256/0001-81</v>
          </cell>
          <cell r="G829" t="str">
            <v>A. GUTIERREZ</v>
          </cell>
        </row>
        <row r="830">
          <cell r="A830">
            <v>28527</v>
          </cell>
          <cell r="B830" t="str">
            <v>CORPORATION</v>
          </cell>
          <cell r="C830" t="str">
            <v>Casa Do Chapeador Tintas Automotivas Ltda - Epp</v>
          </cell>
          <cell r="D830" t="str">
            <v>Casa Do Chapeador Tintas Automotivas Ltda - Epp</v>
          </cell>
          <cell r="E830" t="str">
            <v>79.306.122</v>
          </cell>
          <cell r="F830" t="str">
            <v>79.306.122/0001-60</v>
          </cell>
        </row>
        <row r="831">
          <cell r="A831">
            <v>28529</v>
          </cell>
          <cell r="B831" t="str">
            <v>CORPORATION</v>
          </cell>
          <cell r="C831" t="str">
            <v>Comercial Mesquita 488ltda</v>
          </cell>
          <cell r="D831" t="str">
            <v>Comercial Mesquita 488ltda</v>
          </cell>
          <cell r="E831" t="str">
            <v>39.531.801</v>
          </cell>
          <cell r="F831" t="str">
            <v>39.531.801/0001-19</v>
          </cell>
        </row>
        <row r="832">
          <cell r="A832">
            <v>28530</v>
          </cell>
          <cell r="B832" t="str">
            <v>CORPORATION</v>
          </cell>
          <cell r="C832" t="str">
            <v>Tork Comercio De Maquinas E Ferramentas Ltda</v>
          </cell>
          <cell r="D832" t="str">
            <v>Tork Ferramentas</v>
          </cell>
          <cell r="E832" t="str">
            <v>11.293.712</v>
          </cell>
          <cell r="F832" t="str">
            <v>11.293.712/0001-62</v>
          </cell>
        </row>
        <row r="833">
          <cell r="A833">
            <v>28533</v>
          </cell>
          <cell r="B833" t="str">
            <v>CORPORATION</v>
          </cell>
          <cell r="C833" t="str">
            <v>All Industria E Comercio De Suprimentos Industriais Ltda</v>
          </cell>
          <cell r="D833" t="str">
            <v>All Industria E Comercio De Suprimentos Industriais Ltda</v>
          </cell>
          <cell r="E833" t="str">
            <v>15.628.536</v>
          </cell>
          <cell r="F833" t="str">
            <v>15.628.536/0001-23</v>
          </cell>
        </row>
        <row r="834">
          <cell r="A834">
            <v>28540</v>
          </cell>
          <cell r="B834" t="str">
            <v>CORPORATION</v>
          </cell>
          <cell r="C834" t="str">
            <v>Fh Ferramentas E Abrasivos Ltda - Me</v>
          </cell>
          <cell r="D834" t="str">
            <v>Fh Ferramentas E Abrasivos Ltda - Me</v>
          </cell>
          <cell r="E834" t="str">
            <v>13.435.293</v>
          </cell>
          <cell r="F834" t="str">
            <v>13.435.293/0001-81</v>
          </cell>
        </row>
        <row r="835">
          <cell r="A835">
            <v>28543</v>
          </cell>
          <cell r="B835" t="str">
            <v>CORPORATION</v>
          </cell>
          <cell r="C835" t="str">
            <v>Migmag Comercio De Equipamentos Ltda Me</v>
          </cell>
          <cell r="D835" t="str">
            <v>Mig Mag Rio</v>
          </cell>
          <cell r="E835" t="str">
            <v>01.051.637</v>
          </cell>
          <cell r="F835" t="str">
            <v>01.051.637/0001-70</v>
          </cell>
        </row>
        <row r="836">
          <cell r="A836">
            <v>28546</v>
          </cell>
          <cell r="B836" t="str">
            <v>CORPORATION</v>
          </cell>
          <cell r="C836" t="str">
            <v>Bexvei Comercio E Industria De Equipamentos Industriais Ltda Me</v>
          </cell>
          <cell r="D836" t="str">
            <v>Bexvei</v>
          </cell>
          <cell r="E836" t="str">
            <v>11.169.965</v>
          </cell>
          <cell r="F836" t="str">
            <v>11.169.965/0001-29</v>
          </cell>
        </row>
        <row r="837">
          <cell r="A837">
            <v>28549</v>
          </cell>
          <cell r="B837" t="str">
            <v>CORPORATION</v>
          </cell>
          <cell r="C837" t="str">
            <v>Usamaq Comercio De Maquinas E Equipamentos Ltda - Me</v>
          </cell>
          <cell r="D837" t="str">
            <v>Usamaq Comercio De Maquinas E Equipamentos Ltda - Me</v>
          </cell>
          <cell r="E837" t="str">
            <v>81.340.770</v>
          </cell>
          <cell r="F837" t="str">
            <v>81.340.770/0001-85</v>
          </cell>
        </row>
        <row r="838">
          <cell r="A838">
            <v>28551</v>
          </cell>
          <cell r="B838" t="str">
            <v>CORPORATION</v>
          </cell>
          <cell r="C838" t="str">
            <v>Alberto Di Jura Junior 14903901890</v>
          </cell>
          <cell r="D838" t="str">
            <v>Local Maker</v>
          </cell>
          <cell r="E838" t="str">
            <v>25.326.864</v>
          </cell>
          <cell r="F838" t="str">
            <v>25.326.864/0001-29</v>
          </cell>
        </row>
        <row r="839">
          <cell r="A839">
            <v>28552</v>
          </cell>
          <cell r="B839" t="str">
            <v>CORPORATION</v>
          </cell>
          <cell r="C839" t="str">
            <v>Anhanguera Comercio De Ferramentas Ltda</v>
          </cell>
          <cell r="D839" t="str">
            <v>Anhanguera Ferramentas</v>
          </cell>
          <cell r="E839" t="str">
            <v>00.565.813</v>
          </cell>
          <cell r="F839" t="str">
            <v>00.565.813/0001-29</v>
          </cell>
        </row>
        <row r="840">
          <cell r="A840">
            <v>28556</v>
          </cell>
          <cell r="B840" t="str">
            <v>CORPORATION</v>
          </cell>
          <cell r="C840" t="str">
            <v>Eliandro De Oliveira Freitas - Me</v>
          </cell>
          <cell r="D840" t="str">
            <v>Gf Manutencao De Equipamentos Industriais</v>
          </cell>
          <cell r="E840" t="str">
            <v>11.983.984</v>
          </cell>
          <cell r="F840" t="str">
            <v>11.983.984/0001-94</v>
          </cell>
        </row>
        <row r="841">
          <cell r="A841">
            <v>28559</v>
          </cell>
          <cell r="B841" t="str">
            <v>CORPORATION</v>
          </cell>
          <cell r="C841" t="str">
            <v>Simone Rafalski Gomes Cardoso - Me</v>
          </cell>
          <cell r="D841" t="str">
            <v>Comercial Formosa</v>
          </cell>
          <cell r="E841" t="str">
            <v>01.475.293</v>
          </cell>
          <cell r="F841" t="str">
            <v>01.475.293/0001-26</v>
          </cell>
        </row>
        <row r="842">
          <cell r="A842">
            <v>28561</v>
          </cell>
          <cell r="B842" t="str">
            <v>CORPORATION</v>
          </cell>
          <cell r="C842" t="str">
            <v>J.S. Comercio De Ferramentas Ltda - Me</v>
          </cell>
          <cell r="D842" t="str">
            <v>J.S. Ferragens &amp; Ferramentas</v>
          </cell>
          <cell r="E842" t="str">
            <v>08.834.303</v>
          </cell>
          <cell r="F842" t="str">
            <v>08.834.303/0001-11</v>
          </cell>
        </row>
        <row r="843">
          <cell r="A843">
            <v>28563</v>
          </cell>
          <cell r="B843" t="str">
            <v>CORPORATION</v>
          </cell>
          <cell r="C843" t="str">
            <v>Kamasa Industria E Comercio De Ferragens E Ferramentas Eireli</v>
          </cell>
          <cell r="D843" t="str">
            <v>Kamasa Artigos E Consultoria</v>
          </cell>
          <cell r="E843" t="str">
            <v>09.423.524</v>
          </cell>
          <cell r="F843" t="str">
            <v>09.423.524/0001-60</v>
          </cell>
        </row>
        <row r="844">
          <cell r="A844">
            <v>28564</v>
          </cell>
          <cell r="B844" t="str">
            <v>CORPORATION</v>
          </cell>
          <cell r="C844" t="str">
            <v>Sipar Ferramentas Ltda</v>
          </cell>
          <cell r="D844" t="str">
            <v>Sipar Ferramentas Ltda</v>
          </cell>
          <cell r="E844" t="str">
            <v>01.056.640</v>
          </cell>
          <cell r="F844" t="str">
            <v>01.056.640/0001-86</v>
          </cell>
        </row>
        <row r="845">
          <cell r="A845">
            <v>28566</v>
          </cell>
          <cell r="B845" t="str">
            <v>CORPORATION</v>
          </cell>
          <cell r="C845" t="str">
            <v>Inovacao Distribuidora De Tintas, Ferragens E Materiais De Seguranca Ltda - Epp</v>
          </cell>
          <cell r="D845" t="str">
            <v>Inovacao</v>
          </cell>
          <cell r="E845" t="str">
            <v>09.531.704</v>
          </cell>
          <cell r="F845" t="str">
            <v>09.531.704/0001-65</v>
          </cell>
        </row>
        <row r="846">
          <cell r="A846">
            <v>28569</v>
          </cell>
          <cell r="B846" t="str">
            <v>CORPORATION</v>
          </cell>
          <cell r="C846" t="str">
            <v>Jose Azambuja De Brum - Me</v>
          </cell>
          <cell r="D846" t="str">
            <v>Mangueiras &amp; Cia</v>
          </cell>
          <cell r="E846" t="str">
            <v>11.341.958</v>
          </cell>
          <cell r="F846" t="str">
            <v>11.341.958/0001-62</v>
          </cell>
        </row>
        <row r="847">
          <cell r="A847">
            <v>28572</v>
          </cell>
          <cell r="B847" t="str">
            <v>CORPORATION</v>
          </cell>
          <cell r="C847" t="str">
            <v>Crg Solucoes Industriais Ltda - Me</v>
          </cell>
          <cell r="D847" t="str">
            <v>Crg Solucoes Industriais</v>
          </cell>
          <cell r="E847" t="str">
            <v>18.076.980</v>
          </cell>
          <cell r="F847" t="str">
            <v>18.076.980/0001-71</v>
          </cell>
        </row>
        <row r="848">
          <cell r="A848">
            <v>28575</v>
          </cell>
          <cell r="B848" t="str">
            <v>CORPORATION</v>
          </cell>
          <cell r="C848" t="str">
            <v>Maia &amp; Albanez Ltda - Me</v>
          </cell>
          <cell r="D848" t="str">
            <v>Pro-Casa</v>
          </cell>
          <cell r="E848" t="str">
            <v>04.677.692</v>
          </cell>
          <cell r="F848" t="str">
            <v>04.677.692/0001-68</v>
          </cell>
        </row>
        <row r="849">
          <cell r="A849">
            <v>28576</v>
          </cell>
          <cell r="B849" t="str">
            <v>CORPORATION</v>
          </cell>
          <cell r="C849" t="str">
            <v>Acartocenter Construcao A Seco Ltda</v>
          </cell>
          <cell r="D849" t="str">
            <v>Drystore Solucoes Em Construcao A Seco</v>
          </cell>
          <cell r="E849" t="str">
            <v>05.383.915</v>
          </cell>
          <cell r="F849" t="str">
            <v>05.383.915/0001-47</v>
          </cell>
        </row>
        <row r="850">
          <cell r="A850">
            <v>28577</v>
          </cell>
          <cell r="B850" t="str">
            <v>CORPORATION</v>
          </cell>
          <cell r="C850" t="str">
            <v>Lojao Dos Parafusos Ceara Eireli</v>
          </cell>
          <cell r="D850" t="str">
            <v>Lojao Dos Parafusos</v>
          </cell>
          <cell r="E850" t="str">
            <v>73.413.999</v>
          </cell>
          <cell r="F850" t="str">
            <v>73.413.999/0001-74</v>
          </cell>
        </row>
        <row r="851">
          <cell r="A851">
            <v>28578</v>
          </cell>
          <cell r="B851" t="str">
            <v>CORPORATION</v>
          </cell>
          <cell r="C851" t="str">
            <v>Industria E Comercio Riomaq Ltda</v>
          </cell>
          <cell r="D851" t="str">
            <v>Industria E Comercio Riomaq Ltda</v>
          </cell>
          <cell r="E851" t="str">
            <v>83.632.356</v>
          </cell>
          <cell r="F851" t="str">
            <v>83.632.356/0001-75</v>
          </cell>
        </row>
        <row r="852">
          <cell r="A852">
            <v>28579</v>
          </cell>
          <cell r="B852" t="str">
            <v>CORPORATION</v>
          </cell>
          <cell r="C852" t="str">
            <v>Max Soldas E Ferragens Ltda</v>
          </cell>
          <cell r="D852" t="str">
            <v>Max Soldas E Ferragens</v>
          </cell>
          <cell r="E852" t="str">
            <v>04.726.418</v>
          </cell>
          <cell r="F852" t="str">
            <v>04.726.418/0001-31</v>
          </cell>
        </row>
        <row r="853">
          <cell r="A853">
            <v>28580</v>
          </cell>
          <cell r="B853" t="str">
            <v>CORPORATION</v>
          </cell>
          <cell r="C853" t="str">
            <v>Retensul Comercio De Pecas Eireli - Me</v>
          </cell>
          <cell r="D853" t="str">
            <v>Retensul-Retentores Do Sul Do Brasil</v>
          </cell>
          <cell r="E853" t="str">
            <v>74.064.544</v>
          </cell>
          <cell r="F853" t="str">
            <v>74.064.544/0001-53</v>
          </cell>
        </row>
        <row r="854">
          <cell r="A854">
            <v>28583</v>
          </cell>
          <cell r="B854" t="str">
            <v>CORPORATION</v>
          </cell>
          <cell r="C854" t="str">
            <v>Ims Eletromecanica Ltda - Me</v>
          </cell>
          <cell r="D854" t="str">
            <v>Ims Eletromecanica</v>
          </cell>
          <cell r="E854" t="str">
            <v>04.366.979</v>
          </cell>
          <cell r="F854" t="str">
            <v>04.366.979/0001-77</v>
          </cell>
        </row>
        <row r="855">
          <cell r="A855">
            <v>28584</v>
          </cell>
          <cell r="B855" t="str">
            <v>CORPORATION</v>
          </cell>
          <cell r="C855" t="str">
            <v>Cipabra Comercio De Parafusos Pato Branco Ltda</v>
          </cell>
          <cell r="D855" t="str">
            <v>Cipabra Comercio De Parafusos Pato Branco Ltda</v>
          </cell>
          <cell r="E855" t="str">
            <v>01.200.416</v>
          </cell>
          <cell r="F855" t="str">
            <v>01.200.416/0001-16</v>
          </cell>
        </row>
        <row r="856">
          <cell r="A856">
            <v>28586</v>
          </cell>
          <cell r="B856" t="str">
            <v>CORPORATION</v>
          </cell>
          <cell r="C856" t="str">
            <v>Jurema Penkal Wolanin Tintas Eireli - Epp</v>
          </cell>
          <cell r="D856" t="str">
            <v>Rn Tintas E Ferragens</v>
          </cell>
          <cell r="E856" t="str">
            <v>15.572.433</v>
          </cell>
          <cell r="F856" t="str">
            <v>15.572.433/0001-99</v>
          </cell>
        </row>
        <row r="857">
          <cell r="A857">
            <v>28587</v>
          </cell>
          <cell r="B857" t="str">
            <v>CORPORATION</v>
          </cell>
          <cell r="C857" t="str">
            <v>Bignotto Ferramentas Ltda - Epp</v>
          </cell>
          <cell r="D857" t="str">
            <v>Bignotto</v>
          </cell>
          <cell r="E857" t="str">
            <v>05.095.185</v>
          </cell>
          <cell r="F857" t="str">
            <v>05.095.185/0001-89</v>
          </cell>
          <cell r="G857" t="str">
            <v>BIGNOTTO FERRAMENTAS</v>
          </cell>
        </row>
        <row r="858">
          <cell r="A858">
            <v>28588</v>
          </cell>
          <cell r="B858" t="str">
            <v>CORPORATION</v>
          </cell>
          <cell r="C858" t="str">
            <v>Casa Dos Compressores Ltda</v>
          </cell>
          <cell r="D858" t="str">
            <v>Casa Dos Compressores</v>
          </cell>
          <cell r="E858" t="str">
            <v>47.154.092</v>
          </cell>
          <cell r="F858" t="str">
            <v>47.154.092/0001-28</v>
          </cell>
          <cell r="G858" t="str">
            <v>CASA DOS COMPRESSORES</v>
          </cell>
        </row>
        <row r="859">
          <cell r="A859">
            <v>28589</v>
          </cell>
          <cell r="B859" t="str">
            <v>CORPORATION</v>
          </cell>
          <cell r="C859" t="str">
            <v>Tarcio Araujo Vieira</v>
          </cell>
          <cell r="D859" t="str">
            <v>Hidromec</v>
          </cell>
          <cell r="E859" t="str">
            <v>09.366.882</v>
          </cell>
          <cell r="F859" t="str">
            <v>09.366.882/0001-88</v>
          </cell>
        </row>
        <row r="860">
          <cell r="A860">
            <v>28591</v>
          </cell>
          <cell r="B860" t="str">
            <v>CORPORATION</v>
          </cell>
          <cell r="C860" t="str">
            <v>Jose Roberto Picelli - Me</v>
          </cell>
          <cell r="D860" t="str">
            <v>Gapex</v>
          </cell>
          <cell r="E860" t="str">
            <v>09.291.453</v>
          </cell>
          <cell r="F860" t="str">
            <v>09.291.453/0001-99</v>
          </cell>
        </row>
        <row r="861">
          <cell r="A861">
            <v>28592</v>
          </cell>
          <cell r="B861" t="str">
            <v>CORPORATION</v>
          </cell>
          <cell r="C861" t="str">
            <v>Francisco Da Conceicao Silva 04131005379</v>
          </cell>
          <cell r="D861" t="str">
            <v>Arte E Solda Silva</v>
          </cell>
          <cell r="E861" t="str">
            <v>41.081.922</v>
          </cell>
          <cell r="F861" t="str">
            <v>41.081.922/0001-58</v>
          </cell>
        </row>
        <row r="862">
          <cell r="A862">
            <v>28594</v>
          </cell>
          <cell r="B862" t="str">
            <v>CORPORATION</v>
          </cell>
          <cell r="C862" t="str">
            <v>Agnus Comercio De Maquinas E Equipamentos Ltda - Me</v>
          </cell>
          <cell r="D862" t="str">
            <v>Agnus Atacadista</v>
          </cell>
          <cell r="E862" t="str">
            <v>14.676.091</v>
          </cell>
          <cell r="F862" t="str">
            <v>14.676.091/0001-94</v>
          </cell>
        </row>
        <row r="863">
          <cell r="A863">
            <v>28595</v>
          </cell>
          <cell r="B863" t="str">
            <v>CORPORATION</v>
          </cell>
          <cell r="C863" t="str">
            <v>Comercial Ferrari Ltda</v>
          </cell>
          <cell r="D863" t="str">
            <v>Ferrari Produtos Siderurgicos</v>
          </cell>
          <cell r="E863" t="str">
            <v>26.066.203</v>
          </cell>
          <cell r="F863" t="str">
            <v>26.066.203/0001-74</v>
          </cell>
        </row>
        <row r="864">
          <cell r="A864">
            <v>28597</v>
          </cell>
          <cell r="B864" t="str">
            <v>CORPORATION</v>
          </cell>
          <cell r="C864" t="str">
            <v>Gold Comercio De Equipamentos Ltda Epp</v>
          </cell>
          <cell r="D864" t="str">
            <v>Gold Comercio De Equipamentos Ltda Epp</v>
          </cell>
          <cell r="E864" t="str">
            <v>11.464.383</v>
          </cell>
          <cell r="F864" t="str">
            <v>11.464.383/0001-75</v>
          </cell>
        </row>
        <row r="865">
          <cell r="A865">
            <v>28600</v>
          </cell>
          <cell r="B865" t="str">
            <v>CORPORATION</v>
          </cell>
          <cell r="C865" t="str">
            <v>Dominik Comercio E Industria De Metais E Equipamentos Ltda</v>
          </cell>
          <cell r="D865" t="str">
            <v>Dominik Metalcenter</v>
          </cell>
          <cell r="E865" t="str">
            <v>72.332.794</v>
          </cell>
          <cell r="F865" t="str">
            <v>72.332.794/0001-00</v>
          </cell>
        </row>
        <row r="866">
          <cell r="A866">
            <v>28601</v>
          </cell>
          <cell r="B866" t="str">
            <v>CORPORATION</v>
          </cell>
          <cell r="C866" t="str">
            <v>Cr Vendas Magazine Eireli</v>
          </cell>
          <cell r="D866" t="str">
            <v>Cr Vendas</v>
          </cell>
          <cell r="E866" t="str">
            <v>37.779.893</v>
          </cell>
          <cell r="F866" t="str">
            <v>37.779.893/0001-25</v>
          </cell>
        </row>
        <row r="867">
          <cell r="A867">
            <v>28603</v>
          </cell>
          <cell r="B867" t="str">
            <v>CORPORATION</v>
          </cell>
          <cell r="C867" t="str">
            <v>Felippe E Cunha Comercio E Servicos De Maquinas E Ferramentas Ltda - Me</v>
          </cell>
          <cell r="D867" t="str">
            <v>Eletro Felippe</v>
          </cell>
          <cell r="E867" t="str">
            <v>13.134.170</v>
          </cell>
          <cell r="F867" t="str">
            <v>13.134.170/0001-00</v>
          </cell>
        </row>
        <row r="868">
          <cell r="A868">
            <v>28606</v>
          </cell>
          <cell r="B868" t="str">
            <v>CORPORATION</v>
          </cell>
          <cell r="C868" t="str">
            <v>Organizacoes Rodrigues Comercio De Ferragens E Ferramentas Ltda</v>
          </cell>
          <cell r="D868" t="str">
            <v>Organizacao Rodrigues</v>
          </cell>
          <cell r="E868" t="str">
            <v>23.489.719</v>
          </cell>
          <cell r="F868" t="str">
            <v>23.489.719/0001-33</v>
          </cell>
        </row>
        <row r="869">
          <cell r="A869">
            <v>28612</v>
          </cell>
          <cell r="B869" t="str">
            <v>CORPORATION</v>
          </cell>
          <cell r="C869" t="str">
            <v>M N Teruya Comercial De Ferramentas Ltda</v>
          </cell>
          <cell r="D869" t="str">
            <v>Cofema Sp</v>
          </cell>
          <cell r="E869" t="str">
            <v>69.194.454</v>
          </cell>
          <cell r="F869" t="str">
            <v>69.194.454/0001-47</v>
          </cell>
          <cell r="G869" t="str">
            <v>COFEMA</v>
          </cell>
        </row>
        <row r="870">
          <cell r="A870">
            <v>28619</v>
          </cell>
          <cell r="B870" t="str">
            <v>CORPORATION</v>
          </cell>
          <cell r="C870" t="str">
            <v>Lorenpar Comercio De Ferragens Ltda - Me</v>
          </cell>
          <cell r="D870" t="str">
            <v>Lorenpar Parafusos, Maquinas E Ferramentas</v>
          </cell>
          <cell r="E870" t="str">
            <v>08.228.088</v>
          </cell>
          <cell r="F870" t="str">
            <v>08.228.088/0001-05</v>
          </cell>
        </row>
        <row r="871">
          <cell r="A871">
            <v>28621</v>
          </cell>
          <cell r="B871" t="str">
            <v>CORPORATION</v>
          </cell>
          <cell r="C871" t="str">
            <v>Mauricio Da Silva Kleimpaul - Me</v>
          </cell>
          <cell r="D871" t="str">
            <v>Copemaq</v>
          </cell>
          <cell r="E871" t="str">
            <v>08.314.300</v>
          </cell>
          <cell r="F871" t="str">
            <v>08.314.300/0001-57</v>
          </cell>
        </row>
        <row r="872">
          <cell r="A872">
            <v>28622</v>
          </cell>
          <cell r="B872" t="str">
            <v>CORPORATION</v>
          </cell>
          <cell r="C872" t="str">
            <v>Acn Comercio E Distribuidora De Maquinas E Ferramentas Ltda</v>
          </cell>
          <cell r="D872" t="str">
            <v>Acn Tools</v>
          </cell>
          <cell r="E872" t="str">
            <v>41.686.719</v>
          </cell>
          <cell r="F872" t="str">
            <v>41.686.719/0001-05</v>
          </cell>
          <cell r="G872" t="str">
            <v>ACN TOOLS</v>
          </cell>
        </row>
        <row r="873">
          <cell r="A873">
            <v>28624</v>
          </cell>
          <cell r="B873" t="str">
            <v>CORPORATION</v>
          </cell>
          <cell r="C873" t="str">
            <v>Sintec Pro-Maquinas Ltda</v>
          </cell>
          <cell r="D873" t="str">
            <v>Soldbras</v>
          </cell>
          <cell r="E873" t="str">
            <v>03.919.786</v>
          </cell>
          <cell r="F873" t="str">
            <v>03.919.786/0001-33</v>
          </cell>
        </row>
        <row r="874">
          <cell r="A874">
            <v>28625</v>
          </cell>
          <cell r="B874" t="str">
            <v>CORPORATION</v>
          </cell>
          <cell r="C874" t="str">
            <v>Msf Fornecedor Ltda</v>
          </cell>
          <cell r="D874" t="str">
            <v>Msf</v>
          </cell>
          <cell r="E874" t="str">
            <v>37.066.959</v>
          </cell>
          <cell r="F874" t="str">
            <v>37.066.959/0001-30</v>
          </cell>
        </row>
        <row r="875">
          <cell r="A875">
            <v>28631</v>
          </cell>
          <cell r="B875" t="str">
            <v>CORPORATION</v>
          </cell>
          <cell r="C875" t="str">
            <v>Alo_Equipe Locacao De Equipamentos Ltda - Epp</v>
          </cell>
          <cell r="D875" t="str">
            <v>Alo_Equipe Locacao De Equipamentos</v>
          </cell>
          <cell r="E875" t="str">
            <v>08.923.453</v>
          </cell>
          <cell r="F875" t="str">
            <v>08.923.453/0001-00</v>
          </cell>
        </row>
        <row r="876">
          <cell r="A876">
            <v>28634</v>
          </cell>
          <cell r="B876" t="str">
            <v>CORPORATION</v>
          </cell>
          <cell r="C876" t="str">
            <v>Ademir Bruch - Me</v>
          </cell>
          <cell r="D876" t="str">
            <v>Adelaminas Ferragens, Mat. E Acessorios Para Moveis</v>
          </cell>
          <cell r="E876" t="str">
            <v>08.722.939</v>
          </cell>
          <cell r="F876" t="str">
            <v>08.722.939/0001-71</v>
          </cell>
        </row>
        <row r="877">
          <cell r="A877">
            <v>28637</v>
          </cell>
          <cell r="B877" t="str">
            <v>CORPORATION</v>
          </cell>
          <cell r="C877" t="str">
            <v>Hoffmann Comercio De Parafusos Ltda - Me</v>
          </cell>
          <cell r="D877" t="str">
            <v>Hoffmann Comercio De Parafusos Ltda - Me</v>
          </cell>
          <cell r="E877" t="str">
            <v>05.991.485</v>
          </cell>
          <cell r="F877" t="str">
            <v>05.991.485/0001-46</v>
          </cell>
        </row>
        <row r="878">
          <cell r="A878">
            <v>28640</v>
          </cell>
          <cell r="B878" t="str">
            <v>CORPORATION</v>
          </cell>
          <cell r="C878" t="str">
            <v>Cassol Materiais De Construcao Ltda</v>
          </cell>
          <cell r="D878" t="str">
            <v>Cassol Materiais De Construcao Ltda</v>
          </cell>
          <cell r="E878" t="str">
            <v>75.400.218</v>
          </cell>
          <cell r="F878" t="str">
            <v>75.400.218/0001-32</v>
          </cell>
        </row>
        <row r="879">
          <cell r="A879">
            <v>28643</v>
          </cell>
          <cell r="B879" t="str">
            <v>CORPORATION</v>
          </cell>
          <cell r="C879" t="str">
            <v>Ferramentas Baldan Ltda - Me</v>
          </cell>
          <cell r="D879" t="str">
            <v>Ferramentas Baldan Ltda - Me</v>
          </cell>
          <cell r="E879" t="str">
            <v>06.940.285</v>
          </cell>
          <cell r="F879" t="str">
            <v>06.940.285/0001-27</v>
          </cell>
        </row>
        <row r="880">
          <cell r="A880">
            <v>28647</v>
          </cell>
          <cell r="B880" t="str">
            <v>CORPORATION</v>
          </cell>
          <cell r="C880" t="str">
            <v>Comeq Comercio De Maquinas E Equipamentos Ltda - Me</v>
          </cell>
          <cell r="D880" t="str">
            <v>Comeq</v>
          </cell>
          <cell r="E880" t="str">
            <v>06.211.450</v>
          </cell>
          <cell r="F880" t="str">
            <v>06.211.450/0001-00</v>
          </cell>
        </row>
        <row r="881">
          <cell r="A881">
            <v>28649</v>
          </cell>
          <cell r="B881" t="str">
            <v>CORPORATION</v>
          </cell>
          <cell r="C881" t="str">
            <v>L. G. D. Bicudo &amp; Bicudo Ltda</v>
          </cell>
          <cell r="D881" t="str">
            <v>Casa Das Fresas</v>
          </cell>
          <cell r="E881" t="str">
            <v>04.917.884</v>
          </cell>
          <cell r="F881" t="str">
            <v>04.917.884/0001-02</v>
          </cell>
        </row>
        <row r="882">
          <cell r="A882">
            <v>28650</v>
          </cell>
          <cell r="B882" t="str">
            <v>CORPORATION</v>
          </cell>
          <cell r="C882" t="str">
            <v>Macrosoldas Mercantil Ltda - Epp</v>
          </cell>
          <cell r="D882" t="str">
            <v>Macrosoldas Mercantil Ltda - Epp</v>
          </cell>
          <cell r="E882" t="str">
            <v>36.315.752</v>
          </cell>
          <cell r="F882" t="str">
            <v>36.315.752/0001-99</v>
          </cell>
        </row>
        <row r="883">
          <cell r="A883">
            <v>28651</v>
          </cell>
          <cell r="B883" t="str">
            <v>CORPORATION</v>
          </cell>
          <cell r="C883" t="str">
            <v>Valmaquinas Solucoes Industriais Ltda</v>
          </cell>
          <cell r="D883" t="str">
            <v>Valmaquinas Solucoes Industriais Ltda</v>
          </cell>
          <cell r="E883" t="str">
            <v>09.466.943</v>
          </cell>
          <cell r="F883" t="str">
            <v>09.466.943/0001-89</v>
          </cell>
        </row>
        <row r="884">
          <cell r="A884">
            <v>28653</v>
          </cell>
          <cell r="B884" t="str">
            <v>CORPORATION</v>
          </cell>
          <cell r="C884" t="str">
            <v>Laerte Fazolo - Epp</v>
          </cell>
          <cell r="D884" t="str">
            <v>Material Eletrico Laert</v>
          </cell>
          <cell r="E884" t="str">
            <v>39.327.317</v>
          </cell>
          <cell r="F884" t="str">
            <v>39.327.317/0001-72</v>
          </cell>
        </row>
        <row r="885">
          <cell r="A885">
            <v>28656</v>
          </cell>
          <cell r="B885" t="str">
            <v>CORPORATION</v>
          </cell>
          <cell r="C885" t="str">
            <v>Guarasolda Tintas Ltda - Epp</v>
          </cell>
          <cell r="D885" t="str">
            <v>Guarasolda Tintas</v>
          </cell>
          <cell r="E885" t="str">
            <v>00.718.860</v>
          </cell>
          <cell r="F885" t="str">
            <v>00.718.860/0001-65</v>
          </cell>
        </row>
        <row r="886">
          <cell r="A886">
            <v>28662</v>
          </cell>
          <cell r="B886" t="str">
            <v>CORPORATION</v>
          </cell>
          <cell r="C886" t="str">
            <v>Almeida Land Maquinas E Ferramentas Ltda</v>
          </cell>
          <cell r="D886" t="str">
            <v>Almeida Land</v>
          </cell>
          <cell r="E886" t="str">
            <v>60.842.465</v>
          </cell>
          <cell r="F886" t="str">
            <v>60.842.465/0001-11</v>
          </cell>
        </row>
        <row r="887">
          <cell r="A887">
            <v>28663</v>
          </cell>
          <cell r="B887" t="str">
            <v>CORPORATION</v>
          </cell>
          <cell r="C887" t="str">
            <v>Atacadao Taguatinga E Ferragista Ltda</v>
          </cell>
          <cell r="D887" t="str">
            <v>Atacadao Taguatinga E Ferragista</v>
          </cell>
          <cell r="E887" t="str">
            <v>17.656.762</v>
          </cell>
          <cell r="F887" t="str">
            <v>17.656.762/0001-43</v>
          </cell>
        </row>
        <row r="888">
          <cell r="A888">
            <v>28664</v>
          </cell>
          <cell r="B888" t="str">
            <v>CORPORATION</v>
          </cell>
          <cell r="C888" t="str">
            <v>Ranulfo Barbosa Da Silva</v>
          </cell>
          <cell r="D888" t="str">
            <v>Aguiafer</v>
          </cell>
          <cell r="E888" t="str">
            <v>04.129.030</v>
          </cell>
          <cell r="F888" t="str">
            <v>04.129.030/0001-53</v>
          </cell>
        </row>
        <row r="889">
          <cell r="A889">
            <v>28667</v>
          </cell>
          <cell r="B889" t="str">
            <v>CORPORATION</v>
          </cell>
          <cell r="C889" t="str">
            <v>Oxisolda Comercio De Gases E Equipamentos Ltda</v>
          </cell>
          <cell r="D889" t="str">
            <v>Oxisolda. Dourados</v>
          </cell>
          <cell r="E889" t="str">
            <v>02.675.877</v>
          </cell>
          <cell r="F889" t="str">
            <v>02.675.877/0001-08</v>
          </cell>
        </row>
        <row r="890">
          <cell r="A890">
            <v>28668</v>
          </cell>
          <cell r="B890" t="str">
            <v>CORPORATION</v>
          </cell>
          <cell r="C890" t="str">
            <v>Patricia Kelly Magalhaes Rodrigues De Moraes 31793801878</v>
          </cell>
          <cell r="D890" t="str">
            <v>Cepace</v>
          </cell>
          <cell r="E890" t="str">
            <v>17.883.870</v>
          </cell>
          <cell r="F890" t="str">
            <v>17.883.870/0001-59</v>
          </cell>
        </row>
        <row r="891">
          <cell r="A891">
            <v>28673</v>
          </cell>
          <cell r="B891" t="str">
            <v>CORPORATION</v>
          </cell>
          <cell r="C891" t="str">
            <v>Andes Ferramentas Eletricas E Pneumaticas Ltda - Epp</v>
          </cell>
          <cell r="D891" t="str">
            <v>Andes Ferramentas Eletricas E Pneumaticas Ltda - Epp</v>
          </cell>
          <cell r="E891" t="str">
            <v>00.217.067</v>
          </cell>
          <cell r="F891" t="str">
            <v>00.217.067/0001-82</v>
          </cell>
        </row>
        <row r="892">
          <cell r="A892">
            <v>28677</v>
          </cell>
          <cell r="B892" t="str">
            <v>CORPORATION</v>
          </cell>
          <cell r="C892" t="str">
            <v>Mbr Comercial Ltda - Me</v>
          </cell>
          <cell r="D892" t="str">
            <v>Real Parafusos</v>
          </cell>
          <cell r="E892" t="str">
            <v>39.810.858</v>
          </cell>
          <cell r="F892" t="str">
            <v>39.810.858/0001-57</v>
          </cell>
        </row>
        <row r="893">
          <cell r="A893">
            <v>28679</v>
          </cell>
          <cell r="B893" t="str">
            <v>CORPORATION</v>
          </cell>
          <cell r="C893" t="str">
            <v>Raiane De Sousa Alves 41937781852</v>
          </cell>
          <cell r="D893" t="str">
            <v>Progresso Maquinas E Ferramentas</v>
          </cell>
          <cell r="E893" t="str">
            <v>41.949.953</v>
          </cell>
          <cell r="F893" t="str">
            <v>41.949.953/0001-88</v>
          </cell>
        </row>
        <row r="894">
          <cell r="A894">
            <v>28680</v>
          </cell>
          <cell r="B894" t="str">
            <v>CORPORATION</v>
          </cell>
          <cell r="C894" t="str">
            <v>Cristovao Zanon Da Silva 05502749797</v>
          </cell>
          <cell r="D894" t="str">
            <v>Promotec Solda E Consumiveis</v>
          </cell>
          <cell r="E894" t="str">
            <v>33.169.116</v>
          </cell>
          <cell r="F894" t="str">
            <v>33.169.116/0001-08</v>
          </cell>
        </row>
        <row r="895">
          <cell r="A895">
            <v>28683</v>
          </cell>
          <cell r="B895" t="str">
            <v>CORPORATION</v>
          </cell>
          <cell r="C895" t="str">
            <v>P. H. Camargo Dias - Sorocaba - Epp</v>
          </cell>
          <cell r="D895" t="str">
            <v>Dinamaq Maquinas E Ferramentas - Dferramentas</v>
          </cell>
          <cell r="E895" t="str">
            <v>06.185.909</v>
          </cell>
          <cell r="F895" t="str">
            <v>06.185.909/0001-48</v>
          </cell>
        </row>
        <row r="896">
          <cell r="A896">
            <v>28687</v>
          </cell>
          <cell r="B896" t="str">
            <v>CORPORATION</v>
          </cell>
          <cell r="C896" t="str">
            <v>Campo Grande Comercio De Gases Ltda</v>
          </cell>
          <cell r="D896" t="str">
            <v>Oxisolda.Campo Grande</v>
          </cell>
          <cell r="E896" t="str">
            <v>10.887.901</v>
          </cell>
          <cell r="F896" t="str">
            <v>10.887.901/0001-09</v>
          </cell>
        </row>
        <row r="897">
          <cell r="A897">
            <v>28689</v>
          </cell>
          <cell r="B897" t="str">
            <v>CORPORATION</v>
          </cell>
          <cell r="C897" t="str">
            <v>L.C. Freitas - Ferragista Campos</v>
          </cell>
          <cell r="D897" t="str">
            <v>Ferragista Campos</v>
          </cell>
          <cell r="E897" t="str">
            <v>33.365.613</v>
          </cell>
          <cell r="F897" t="str">
            <v>33.365.613/0001-81</v>
          </cell>
        </row>
        <row r="898">
          <cell r="A898">
            <v>28690</v>
          </cell>
          <cell r="B898" t="str">
            <v>CORPORATION</v>
          </cell>
          <cell r="C898" t="str">
            <v>Comercial Bolelli Ltda - Epp</v>
          </cell>
          <cell r="D898" t="str">
            <v>Comercial Bolelli</v>
          </cell>
          <cell r="E898" t="str">
            <v>01.544.770</v>
          </cell>
          <cell r="F898" t="str">
            <v>01.544.770/0001-68</v>
          </cell>
        </row>
        <row r="899">
          <cell r="A899">
            <v>28692</v>
          </cell>
          <cell r="B899" t="str">
            <v>CORPORATION</v>
          </cell>
          <cell r="C899" t="str">
            <v>Megasolda Equipamentos E Servicos Ltda - Me</v>
          </cell>
          <cell r="D899" t="str">
            <v>Megasolda</v>
          </cell>
          <cell r="E899" t="str">
            <v>01.886.153</v>
          </cell>
          <cell r="F899" t="str">
            <v>01.886.153/0001-40</v>
          </cell>
        </row>
        <row r="900">
          <cell r="A900">
            <v>28693</v>
          </cell>
          <cell r="B900" t="str">
            <v>CORPORATION</v>
          </cell>
          <cell r="C900" t="str">
            <v>S S J Fanani Buffet E Servicos Ltda</v>
          </cell>
          <cell r="D900" t="str">
            <v>Sitio Sao Jorge</v>
          </cell>
          <cell r="E900" t="str">
            <v>11.340.490</v>
          </cell>
          <cell r="F900" t="str">
            <v>11.340.490/0001-91</v>
          </cell>
        </row>
        <row r="901">
          <cell r="A901">
            <v>28695</v>
          </cell>
          <cell r="B901" t="str">
            <v>CORPORATION</v>
          </cell>
          <cell r="C901" t="str">
            <v>Limatec Comercio Ltda - Me</v>
          </cell>
          <cell r="D901" t="str">
            <v>Limatec</v>
          </cell>
          <cell r="E901" t="str">
            <v>16.850.340</v>
          </cell>
          <cell r="F901" t="str">
            <v>16.850.340/0001-41</v>
          </cell>
        </row>
        <row r="902">
          <cell r="A902">
            <v>28697</v>
          </cell>
          <cell r="B902" t="str">
            <v>CORPORATION</v>
          </cell>
          <cell r="C902" t="str">
            <v>Greenmaquinas Comercio De Equipamentos Ltda</v>
          </cell>
          <cell r="D902" t="str">
            <v>Greenmaquinas</v>
          </cell>
          <cell r="E902" t="str">
            <v>41.281.005</v>
          </cell>
          <cell r="F902" t="str">
            <v>41.281.005/0001-17</v>
          </cell>
        </row>
        <row r="903">
          <cell r="A903">
            <v>28698</v>
          </cell>
          <cell r="B903" t="str">
            <v>CORPORATION</v>
          </cell>
          <cell r="C903" t="str">
            <v>Stn Online Comercio De Ferramentas Ltda - Me</v>
          </cell>
          <cell r="D903" t="str">
            <v>Stn Online</v>
          </cell>
          <cell r="E903" t="str">
            <v>14.805.860</v>
          </cell>
          <cell r="F903" t="str">
            <v>14.805.860/0001-07</v>
          </cell>
        </row>
        <row r="904">
          <cell r="A904">
            <v>28699</v>
          </cell>
          <cell r="B904" t="str">
            <v>CORPORATION</v>
          </cell>
          <cell r="C904" t="str">
            <v>Leroy Merlin Companhia Brasileira De Bricolagem</v>
          </cell>
          <cell r="D904" t="str">
            <v>0066 Loja Plataforma Urbana</v>
          </cell>
          <cell r="E904" t="str">
            <v>01.438.784</v>
          </cell>
          <cell r="F904" t="str">
            <v>01.438.784/0072-90</v>
          </cell>
          <cell r="G904" t="str">
            <v>LEROY MERLIN</v>
          </cell>
        </row>
        <row r="905">
          <cell r="A905">
            <v>28704</v>
          </cell>
          <cell r="B905" t="str">
            <v>CORPORATION</v>
          </cell>
          <cell r="C905" t="str">
            <v>Oxipan Oxigenio Pantanal Ltda - Epp</v>
          </cell>
          <cell r="D905" t="str">
            <v>Oxipan Oxigenio Pantanal Ltda - Epp</v>
          </cell>
          <cell r="E905" t="str">
            <v>05.944.917</v>
          </cell>
          <cell r="F905" t="str">
            <v>05.944.917/0001-68</v>
          </cell>
        </row>
        <row r="906">
          <cell r="A906">
            <v>28707</v>
          </cell>
          <cell r="B906" t="str">
            <v>CORPORATION</v>
          </cell>
          <cell r="C906" t="str">
            <v>Oxicampo Comercio De Materiais Para Solda Ltda - Me</v>
          </cell>
          <cell r="D906" t="str">
            <v>Oxicampo Comercio De Materiais Para Solda Ltda - Me</v>
          </cell>
          <cell r="E906" t="str">
            <v>06.002.611</v>
          </cell>
          <cell r="F906" t="str">
            <v>06.002.611/0001-55</v>
          </cell>
        </row>
        <row r="907">
          <cell r="A907">
            <v>28709</v>
          </cell>
          <cell r="B907" t="str">
            <v>CORPORATION</v>
          </cell>
          <cell r="C907" t="str">
            <v>Dpl Ltda</v>
          </cell>
          <cell r="D907" t="str">
            <v>Dpl</v>
          </cell>
          <cell r="E907" t="str">
            <v>30.311.331</v>
          </cell>
          <cell r="F907" t="str">
            <v>30.311.331/0001-03</v>
          </cell>
        </row>
        <row r="908">
          <cell r="A908">
            <v>28710</v>
          </cell>
          <cell r="B908" t="str">
            <v>CORPORATION</v>
          </cell>
          <cell r="C908" t="str">
            <v>Olinda Pedroso Furio &amp; Cia Ltda - Epp</v>
          </cell>
          <cell r="D908" t="str">
            <v>Tarugao - Parafusos E Frramentas</v>
          </cell>
          <cell r="E908" t="str">
            <v>00.965.596</v>
          </cell>
          <cell r="F908" t="str">
            <v>00.965.596/0001-64</v>
          </cell>
        </row>
        <row r="909">
          <cell r="A909">
            <v>28713</v>
          </cell>
          <cell r="B909" t="str">
            <v>CORPORATION</v>
          </cell>
          <cell r="C909" t="str">
            <v>Calmon-Locacoes De Equipamentos Ltda - Epp</v>
          </cell>
          <cell r="D909" t="str">
            <v>Calmon-Locacoes De Equipamentos Ltda - Epp</v>
          </cell>
          <cell r="E909" t="str">
            <v>03.498.786</v>
          </cell>
          <cell r="F909" t="str">
            <v>03.498.786/0001-07</v>
          </cell>
        </row>
        <row r="910">
          <cell r="A910">
            <v>28715</v>
          </cell>
          <cell r="B910" t="str">
            <v>CORPORATION</v>
          </cell>
          <cell r="C910" t="str">
            <v>Daniele Monteiro Francisco 36812312819</v>
          </cell>
          <cell r="D910" t="str">
            <v>Daniele Monteiro Francisco 36812312819</v>
          </cell>
          <cell r="E910" t="str">
            <v>35.067.188</v>
          </cell>
          <cell r="F910" t="str">
            <v>35.067.188/0001-70</v>
          </cell>
        </row>
        <row r="911">
          <cell r="A911">
            <v>28716</v>
          </cell>
          <cell r="B911" t="str">
            <v>CORPORATION</v>
          </cell>
          <cell r="C911" t="str">
            <v>Joarez B. Gonsalves &amp; Cia. Ltda. - Me</v>
          </cell>
          <cell r="D911" t="str">
            <v>Promoar</v>
          </cell>
          <cell r="E911" t="str">
            <v>82.023.359</v>
          </cell>
          <cell r="F911" t="str">
            <v>82.023.359/0001-49</v>
          </cell>
          <cell r="G911" t="str">
            <v>BARRAGAS</v>
          </cell>
        </row>
        <row r="912">
          <cell r="A912">
            <v>28718</v>
          </cell>
          <cell r="B912" t="str">
            <v>CORPORATION</v>
          </cell>
          <cell r="C912" t="str">
            <v>Stocofer Maquinas E Equipamentos Industriais Ltda - Epp</v>
          </cell>
          <cell r="D912" t="str">
            <v>Stocofer Maquinas E Equipamentos Industriais Ltda - Epp</v>
          </cell>
          <cell r="E912" t="str">
            <v>02.406.483</v>
          </cell>
          <cell r="F912" t="str">
            <v>02.406.483/0001-54</v>
          </cell>
        </row>
        <row r="913">
          <cell r="A913">
            <v>28721</v>
          </cell>
          <cell r="B913" t="str">
            <v>CORPORATION</v>
          </cell>
          <cell r="C913" t="str">
            <v>Monteiro E Moraes Parafusos Ltda Me</v>
          </cell>
          <cell r="D913" t="str">
            <v>Monteiro E Moraes Parafusos</v>
          </cell>
          <cell r="E913" t="str">
            <v>35.773.019</v>
          </cell>
          <cell r="F913" t="str">
            <v>35.773.019/0001-55</v>
          </cell>
        </row>
        <row r="914">
          <cell r="A914">
            <v>28723</v>
          </cell>
          <cell r="B914" t="str">
            <v>CORPORATION</v>
          </cell>
          <cell r="C914" t="str">
            <v>Pb Ferramentas Servicos E Comercio Ltda</v>
          </cell>
          <cell r="D914" t="str">
            <v>Pb Ferramentas Servicos E Comercio Ltda</v>
          </cell>
          <cell r="E914" t="str">
            <v>48.194.962</v>
          </cell>
          <cell r="F914" t="str">
            <v>48.194.962/0001-55</v>
          </cell>
          <cell r="G914" t="str">
            <v>LOJA FER</v>
          </cell>
        </row>
        <row r="915">
          <cell r="A915">
            <v>28725</v>
          </cell>
          <cell r="B915" t="str">
            <v>CORPORATION</v>
          </cell>
          <cell r="C915" t="str">
            <v>Princesa Dos Parafusos Ltda</v>
          </cell>
          <cell r="D915" t="str">
            <v>Princesa Dos Parafusos</v>
          </cell>
          <cell r="E915" t="str">
            <v>28.866.614</v>
          </cell>
          <cell r="F915" t="str">
            <v>28.866.614/0001-70</v>
          </cell>
        </row>
        <row r="916">
          <cell r="A916">
            <v>28728</v>
          </cell>
          <cell r="B916" t="str">
            <v>CORPORATION</v>
          </cell>
          <cell r="C916" t="str">
            <v>Arafer Comercio E Servicos Ltda</v>
          </cell>
          <cell r="D916" t="str">
            <v>Arafer</v>
          </cell>
          <cell r="E916" t="str">
            <v>11.348.600</v>
          </cell>
          <cell r="F916" t="str">
            <v>11.348.600/0001-61</v>
          </cell>
        </row>
        <row r="917">
          <cell r="A917">
            <v>28731</v>
          </cell>
          <cell r="B917" t="str">
            <v>CORPORATION</v>
          </cell>
          <cell r="C917" t="str">
            <v>Agrometal Comercial De Ferragens Ltda.</v>
          </cell>
          <cell r="D917" t="str">
            <v>Agrometal</v>
          </cell>
          <cell r="E917" t="str">
            <v>48.539.548</v>
          </cell>
          <cell r="F917" t="str">
            <v>48.539.548/0001-30</v>
          </cell>
        </row>
        <row r="918">
          <cell r="A918">
            <v>28735</v>
          </cell>
          <cell r="B918" t="str">
            <v>CORPORATION</v>
          </cell>
          <cell r="C918" t="str">
            <v>Duarte Produtos Metalurgicos Ltda - Epp</v>
          </cell>
          <cell r="D918" t="str">
            <v>Duarte Produtos Metalurgicos Ltda - Epp</v>
          </cell>
          <cell r="E918" t="str">
            <v>04.986.075</v>
          </cell>
          <cell r="F918" t="str">
            <v>04.986.075/0001-44</v>
          </cell>
        </row>
        <row r="919">
          <cell r="A919">
            <v>28741</v>
          </cell>
          <cell r="B919" t="str">
            <v>CORPORATION</v>
          </cell>
          <cell r="C919" t="str">
            <v>Irmaos Fontoura Ltda</v>
          </cell>
          <cell r="D919" t="str">
            <v>Irmaos Fontoura Ltda</v>
          </cell>
          <cell r="E919" t="str">
            <v>36.370.526</v>
          </cell>
          <cell r="F919" t="str">
            <v>36.370.526/0001-00</v>
          </cell>
          <cell r="G919" t="str">
            <v>IRMAOS FONTOURA</v>
          </cell>
        </row>
        <row r="920">
          <cell r="A920">
            <v>28742</v>
          </cell>
          <cell r="B920" t="str">
            <v>CORPORATION</v>
          </cell>
          <cell r="C920" t="str">
            <v>Josmar-Maquinas E Ferramentas Ltda</v>
          </cell>
          <cell r="D920" t="str">
            <v>Mil Maquinas E Ferramentas</v>
          </cell>
          <cell r="E920" t="str">
            <v>73.068.462</v>
          </cell>
          <cell r="F920" t="str">
            <v>73.068.462/0001-14</v>
          </cell>
        </row>
        <row r="921">
          <cell r="A921">
            <v>28744</v>
          </cell>
          <cell r="B921" t="str">
            <v>CORPORATION</v>
          </cell>
          <cell r="C921" t="str">
            <v>Megamix Comercial Ltda Me</v>
          </cell>
          <cell r="D921" t="str">
            <v>Megamix</v>
          </cell>
          <cell r="E921" t="str">
            <v>01.499.414</v>
          </cell>
          <cell r="F921" t="str">
            <v>01.499.414/0001-70</v>
          </cell>
        </row>
        <row r="922">
          <cell r="A922">
            <v>28747</v>
          </cell>
          <cell r="B922" t="str">
            <v>CORPORATION</v>
          </cell>
          <cell r="C922" t="str">
            <v>Reinado De Oliveira Melo Me</v>
          </cell>
          <cell r="D922" t="str">
            <v>Cintra Maquinas</v>
          </cell>
          <cell r="E922" t="str">
            <v>12.128.038</v>
          </cell>
          <cell r="F922" t="str">
            <v>12.128.038/0001-23</v>
          </cell>
        </row>
        <row r="923">
          <cell r="A923">
            <v>28750</v>
          </cell>
          <cell r="B923" t="str">
            <v>CORPORATION</v>
          </cell>
          <cell r="C923" t="str">
            <v>Hm Produtos Siderurgicos Ltda - Me</v>
          </cell>
          <cell r="D923" t="str">
            <v>Hm Maquinas, Ferramentas E Abrasivos</v>
          </cell>
          <cell r="E923" t="str">
            <v>02.994.558</v>
          </cell>
          <cell r="F923" t="str">
            <v>02.994.558/0001-65</v>
          </cell>
        </row>
        <row r="924">
          <cell r="A924">
            <v>28751</v>
          </cell>
          <cell r="B924" t="str">
            <v>CORPORATION</v>
          </cell>
          <cell r="C924" t="str">
            <v>Jc Ferramentas, Suprimentos E Utilidades Ltda</v>
          </cell>
          <cell r="D924" t="str">
            <v>Jc Ferramentas</v>
          </cell>
          <cell r="E924" t="str">
            <v>29.223.596</v>
          </cell>
          <cell r="F924" t="str">
            <v>29.223.596/0001-70</v>
          </cell>
        </row>
        <row r="925">
          <cell r="A925">
            <v>28753</v>
          </cell>
          <cell r="B925" t="str">
            <v>CORPORATION</v>
          </cell>
          <cell r="C925" t="str">
            <v>C.F. Dormi Junior - Me</v>
          </cell>
          <cell r="D925" t="str">
            <v>Mundial Maquinas E Ferramentas</v>
          </cell>
          <cell r="E925" t="str">
            <v>14.777.821</v>
          </cell>
          <cell r="F925" t="str">
            <v>14.777.821/0001-43</v>
          </cell>
        </row>
        <row r="926">
          <cell r="A926">
            <v>28754</v>
          </cell>
          <cell r="B926" t="str">
            <v>CORPORATION</v>
          </cell>
          <cell r="C926" t="str">
            <v>C R F Da Mota Ltda</v>
          </cell>
          <cell r="D926" t="str">
            <v>Mota Fibras, Transportes E Locacao</v>
          </cell>
          <cell r="E926" t="str">
            <v>46.899.120</v>
          </cell>
          <cell r="F926" t="str">
            <v>46.899.120/0001-73</v>
          </cell>
        </row>
        <row r="927">
          <cell r="A927">
            <v>28755</v>
          </cell>
          <cell r="B927" t="str">
            <v>CORPORATION</v>
          </cell>
          <cell r="C927" t="str">
            <v>Pmo Comercio De Ferramentas E Equipamentos Ltda</v>
          </cell>
          <cell r="D927" t="str">
            <v>Pmo Comercio De Ferramentas E Equipamentos Ltda</v>
          </cell>
          <cell r="E927" t="str">
            <v>35.251.403</v>
          </cell>
          <cell r="F927" t="str">
            <v>35.251.403/0001-98</v>
          </cell>
        </row>
        <row r="928">
          <cell r="A928">
            <v>28756</v>
          </cell>
          <cell r="B928" t="str">
            <v>CORPORATION</v>
          </cell>
          <cell r="C928" t="str">
            <v>Soldamaq Comercio De Ferramentas Ltda</v>
          </cell>
          <cell r="D928" t="str">
            <v>Soldamaq Comercio De Ferramentas Ltda</v>
          </cell>
          <cell r="E928" t="str">
            <v>00.924.845</v>
          </cell>
          <cell r="F928" t="str">
            <v>00.924.845/0001-73</v>
          </cell>
        </row>
        <row r="929">
          <cell r="A929">
            <v>28758</v>
          </cell>
          <cell r="B929" t="str">
            <v>CORPORATION</v>
          </cell>
          <cell r="C929" t="str">
            <v>Carlos Antonio Ferreira Me</v>
          </cell>
          <cell r="D929" t="str">
            <v>Metal Tintas</v>
          </cell>
          <cell r="E929" t="str">
            <v>08.112.128</v>
          </cell>
          <cell r="F929" t="str">
            <v>08.112.128/0001-59</v>
          </cell>
        </row>
        <row r="930">
          <cell r="A930">
            <v>28759</v>
          </cell>
          <cell r="B930" t="str">
            <v>CORPORATION</v>
          </cell>
          <cell r="C930" t="str">
            <v>Dx De Guapimirim Ltda</v>
          </cell>
          <cell r="D930" t="str">
            <v>Dafel Dx De Guapimirim Ltda</v>
          </cell>
          <cell r="E930" t="str">
            <v>28.430.277</v>
          </cell>
          <cell r="F930" t="str">
            <v>28.430.277/0001-73</v>
          </cell>
          <cell r="G930" t="str">
            <v>DAFEL</v>
          </cell>
        </row>
        <row r="931">
          <cell r="A931">
            <v>28761</v>
          </cell>
          <cell r="B931" t="str">
            <v>CORPORATION</v>
          </cell>
          <cell r="C931" t="str">
            <v>Guarapari Parafusos Ltda - Me</v>
          </cell>
          <cell r="D931" t="str">
            <v>Guarapari Parafusos Ltda - Me</v>
          </cell>
          <cell r="E931" t="str">
            <v>30.548.648</v>
          </cell>
          <cell r="F931" t="str">
            <v>30.548.648/0001-68</v>
          </cell>
        </row>
        <row r="932">
          <cell r="A932">
            <v>28762</v>
          </cell>
          <cell r="B932" t="str">
            <v>CORPORATION</v>
          </cell>
          <cell r="C932" t="str">
            <v>Dx Do Vale Ltda</v>
          </cell>
          <cell r="D932" t="str">
            <v>Dafel Dx Do Vale Ltda</v>
          </cell>
          <cell r="E932" t="str">
            <v>23.759.322</v>
          </cell>
          <cell r="F932" t="str">
            <v>23.759.322/0001-14</v>
          </cell>
          <cell r="G932" t="str">
            <v>DAFEL</v>
          </cell>
        </row>
        <row r="933">
          <cell r="A933">
            <v>28764</v>
          </cell>
          <cell r="B933" t="str">
            <v>CORPORATION</v>
          </cell>
          <cell r="C933" t="str">
            <v>Bramef Brasil Maquinas E Ferramentas Ltda - Epp</v>
          </cell>
          <cell r="D933" t="str">
            <v>Bramef Brasil Maquinas E Ferramentas Ltda - Epp</v>
          </cell>
          <cell r="E933" t="str">
            <v>12.404.008</v>
          </cell>
          <cell r="F933" t="str">
            <v>12.404.008/0001-00</v>
          </cell>
        </row>
        <row r="934">
          <cell r="A934">
            <v>28766</v>
          </cell>
          <cell r="B934" t="str">
            <v>CORPORATION</v>
          </cell>
          <cell r="C934" t="str">
            <v>Distribuidora Silveira Ltda - Me</v>
          </cell>
          <cell r="D934" t="str">
            <v>Distribuidora Silveira Ltda - Me</v>
          </cell>
          <cell r="E934" t="str">
            <v>28.438.513</v>
          </cell>
          <cell r="F934" t="str">
            <v>28.438.513/0001-06</v>
          </cell>
        </row>
        <row r="935">
          <cell r="A935">
            <v>28768</v>
          </cell>
          <cell r="B935" t="str">
            <v>CORPORATION</v>
          </cell>
          <cell r="C935" t="str">
            <v>Perin Comercio De Ferramentas Ltda</v>
          </cell>
          <cell r="D935" t="str">
            <v>Pertec Ferramentas</v>
          </cell>
          <cell r="E935" t="str">
            <v>30.914.164</v>
          </cell>
          <cell r="F935" t="str">
            <v>30.914.164/0001-95</v>
          </cell>
        </row>
        <row r="936">
          <cell r="A936">
            <v>28769</v>
          </cell>
          <cell r="B936" t="str">
            <v>CORPORATION</v>
          </cell>
          <cell r="C936" t="str">
            <v>Comercial Regiani Ltda - Epp</v>
          </cell>
          <cell r="D936" t="str">
            <v>Regiani Implementos Agricolas E Materiais Eletricos</v>
          </cell>
          <cell r="E936" t="str">
            <v>28.434.694</v>
          </cell>
          <cell r="F936" t="str">
            <v>28.434.694/0001-94</v>
          </cell>
        </row>
        <row r="937">
          <cell r="A937">
            <v>28772</v>
          </cell>
          <cell r="B937" t="str">
            <v>CORPORATION</v>
          </cell>
          <cell r="C937" t="str">
            <v>Ana Carolina Barbosa Rosada Vitaliano Carvalho 35748782812</v>
          </cell>
          <cell r="D937" t="str">
            <v>Distribuidora Tork New Life</v>
          </cell>
          <cell r="E937" t="str">
            <v>37.570.626</v>
          </cell>
          <cell r="F937" t="str">
            <v>37.570.626/0001-43</v>
          </cell>
        </row>
        <row r="938">
          <cell r="A938">
            <v>28776</v>
          </cell>
          <cell r="B938" t="str">
            <v>CORPORATION</v>
          </cell>
          <cell r="C938" t="str">
            <v>Sergio Menezes Dos Santos - Comercio - Epp</v>
          </cell>
          <cell r="D938" t="str">
            <v>Multimaquinas</v>
          </cell>
          <cell r="E938" t="str">
            <v>09.434.868</v>
          </cell>
          <cell r="F938" t="str">
            <v>09.434.868/0001-74</v>
          </cell>
        </row>
        <row r="939">
          <cell r="A939">
            <v>28779</v>
          </cell>
          <cell r="B939" t="str">
            <v>CORPORATION</v>
          </cell>
          <cell r="C939" t="str">
            <v>Kbs Ferragens E Parafusos Ltda. - Me</v>
          </cell>
          <cell r="D939" t="str">
            <v>Kbs Ferragens E Parafusos</v>
          </cell>
          <cell r="E939" t="str">
            <v>13.613.032</v>
          </cell>
          <cell r="F939" t="str">
            <v>13.613.032/0001-04</v>
          </cell>
        </row>
        <row r="940">
          <cell r="A940">
            <v>28781</v>
          </cell>
          <cell r="B940" t="str">
            <v>CORPORATION</v>
          </cell>
          <cell r="C940" t="str">
            <v>Matsu Maquinas, Pecas E Servicos Ltda. - Me</v>
          </cell>
          <cell r="D940" t="str">
            <v>Matsu Maquinas, Pecas E Servicos Ltda. - Me</v>
          </cell>
          <cell r="E940" t="str">
            <v>08.906.213</v>
          </cell>
          <cell r="F940" t="str">
            <v>08.906.213/0001-99</v>
          </cell>
        </row>
        <row r="941">
          <cell r="A941">
            <v>28784</v>
          </cell>
          <cell r="B941" t="str">
            <v>CORPORATION</v>
          </cell>
          <cell r="C941" t="str">
            <v>Parada Da Solda Comercio De Acessorios Industriais Ltda</v>
          </cell>
          <cell r="D941" t="str">
            <v>Parada Da Solda</v>
          </cell>
          <cell r="E941" t="str">
            <v>07.690.624</v>
          </cell>
          <cell r="F941" t="str">
            <v>07.690.624/0001-27</v>
          </cell>
        </row>
        <row r="942">
          <cell r="A942">
            <v>28787</v>
          </cell>
          <cell r="B942" t="str">
            <v>CORPORATION</v>
          </cell>
          <cell r="C942" t="str">
            <v>Ceolin Compressores Ltda - Epp</v>
          </cell>
          <cell r="D942" t="str">
            <v>Comprese</v>
          </cell>
          <cell r="E942" t="str">
            <v>36.363.356</v>
          </cell>
          <cell r="F942" t="str">
            <v>36.363.356/0001-37</v>
          </cell>
        </row>
        <row r="943">
          <cell r="A943">
            <v>28791</v>
          </cell>
          <cell r="B943" t="str">
            <v>CORPORATION</v>
          </cell>
          <cell r="C943" t="str">
            <v>Adson Do Prado Barros</v>
          </cell>
          <cell r="D943" t="str">
            <v>Facilita</v>
          </cell>
          <cell r="E943" t="str">
            <v>30.531.864</v>
          </cell>
          <cell r="F943" t="str">
            <v>30.531.864/0001-09</v>
          </cell>
        </row>
        <row r="944">
          <cell r="A944">
            <v>28794</v>
          </cell>
          <cell r="B944" t="str">
            <v>CORPORATION</v>
          </cell>
          <cell r="C944" t="str">
            <v>K S N Ferragista Ltda</v>
          </cell>
          <cell r="D944" t="str">
            <v>Ferragista Naves</v>
          </cell>
          <cell r="E944" t="str">
            <v>41.334.121</v>
          </cell>
          <cell r="F944" t="str">
            <v>41.334.121/0001-57</v>
          </cell>
          <cell r="G944" t="str">
            <v>FERRAGISTA NAVES</v>
          </cell>
        </row>
        <row r="945">
          <cell r="A945">
            <v>28796</v>
          </cell>
          <cell r="B945" t="str">
            <v>CORPORATION</v>
          </cell>
          <cell r="C945" t="str">
            <v>Fix Log Comercio De Fixadores Ltda - Me</v>
          </cell>
          <cell r="D945" t="str">
            <v>Parafuso S &amp; A</v>
          </cell>
          <cell r="E945" t="str">
            <v>07.872.582</v>
          </cell>
          <cell r="F945" t="str">
            <v>07.872.582/0001-45</v>
          </cell>
        </row>
        <row r="946">
          <cell r="A946">
            <v>28801</v>
          </cell>
          <cell r="B946" t="str">
            <v>CORPORATION</v>
          </cell>
          <cell r="C946" t="str">
            <v>Meta - Comercio E Distribuicao - Eireli</v>
          </cell>
          <cell r="D946" t="str">
            <v>Meta - Comercio E Distribuicao</v>
          </cell>
          <cell r="E946" t="str">
            <v>15.053.149</v>
          </cell>
          <cell r="F946" t="str">
            <v>15.053.149/0001-06</v>
          </cell>
        </row>
        <row r="947">
          <cell r="A947">
            <v>28804</v>
          </cell>
          <cell r="B947" t="str">
            <v>CORPORATION</v>
          </cell>
          <cell r="C947" t="str">
            <v>Hg Comercio De Ferramentas Ltda - Me</v>
          </cell>
          <cell r="D947" t="str">
            <v>Hg Comercio De Ferramentas Ltda - Me</v>
          </cell>
          <cell r="E947" t="str">
            <v>07.207.661</v>
          </cell>
          <cell r="F947" t="str">
            <v>07.207.661/0001-31</v>
          </cell>
        </row>
        <row r="948">
          <cell r="A948">
            <v>28805</v>
          </cell>
          <cell r="B948" t="str">
            <v>CORPORATION</v>
          </cell>
          <cell r="C948" t="str">
            <v>Prime Tintas Ltda</v>
          </cell>
          <cell r="D948" t="str">
            <v>Prime Tintas</v>
          </cell>
          <cell r="E948" t="str">
            <v>32.470.385</v>
          </cell>
          <cell r="F948" t="str">
            <v>32.470.385/0001-47</v>
          </cell>
        </row>
        <row r="949">
          <cell r="A949">
            <v>28807</v>
          </cell>
          <cell r="B949" t="str">
            <v>CORPORATION</v>
          </cell>
          <cell r="C949" t="str">
            <v>R N Tintas E Ferramentas Ltda</v>
          </cell>
          <cell r="D949" t="str">
            <v>Rn Tintas E Ferramentas</v>
          </cell>
          <cell r="E949" t="str">
            <v>25.271.628</v>
          </cell>
          <cell r="F949" t="str">
            <v>25.271.628/0001-52</v>
          </cell>
        </row>
        <row r="950">
          <cell r="A950">
            <v>28808</v>
          </cell>
          <cell r="B950" t="str">
            <v>CORPORATION</v>
          </cell>
          <cell r="C950" t="str">
            <v>Casa Brasileira Industrial Ltda</v>
          </cell>
          <cell r="D950" t="str">
            <v>Casa Brasileira Industrial Ltda</v>
          </cell>
          <cell r="E950" t="str">
            <v>35.187.287</v>
          </cell>
          <cell r="F950" t="str">
            <v>35.187.287/0001-95</v>
          </cell>
        </row>
        <row r="951">
          <cell r="A951">
            <v>28810</v>
          </cell>
          <cell r="B951" t="str">
            <v>CORPORATION</v>
          </cell>
          <cell r="C951" t="str">
            <v>Osmar Petreti E Cia Ltda - Me</v>
          </cell>
          <cell r="D951" t="str">
            <v>Depositos Petreti Casa &amp; Cia</v>
          </cell>
          <cell r="E951" t="str">
            <v>09.109.176</v>
          </cell>
          <cell r="F951" t="str">
            <v>09.109.176/0001-50</v>
          </cell>
        </row>
        <row r="952">
          <cell r="A952">
            <v>28812</v>
          </cell>
          <cell r="B952" t="str">
            <v>CORPORATION</v>
          </cell>
          <cell r="C952" t="str">
            <v>Equip &amp; Cia Ltda</v>
          </cell>
          <cell r="D952" t="str">
            <v>Equip &amp; Cia Ltda</v>
          </cell>
          <cell r="E952" t="str">
            <v>21.438.111</v>
          </cell>
          <cell r="F952" t="str">
            <v>21.438.111/0001-54</v>
          </cell>
        </row>
        <row r="953">
          <cell r="A953">
            <v>28813</v>
          </cell>
          <cell r="B953" t="str">
            <v>CORPORATION</v>
          </cell>
          <cell r="C953" t="str">
            <v>Eletro Motores Klone Ltda - Me</v>
          </cell>
          <cell r="D953" t="str">
            <v>Eletro Motores Klone Ltda - Me</v>
          </cell>
          <cell r="E953" t="str">
            <v>00.794.021</v>
          </cell>
          <cell r="F953" t="str">
            <v>00.794.021/0001-26</v>
          </cell>
        </row>
        <row r="954">
          <cell r="A954">
            <v>28814</v>
          </cell>
          <cell r="B954" t="str">
            <v>CORPORATION</v>
          </cell>
          <cell r="C954" t="str">
            <v>K.C.S. Balbino</v>
          </cell>
          <cell r="D954" t="str">
            <v>Balmaq</v>
          </cell>
          <cell r="E954" t="str">
            <v>21.486.657</v>
          </cell>
          <cell r="F954" t="str">
            <v>21.486.657/0001-80</v>
          </cell>
        </row>
        <row r="955">
          <cell r="A955">
            <v>28815</v>
          </cell>
          <cell r="B955" t="str">
            <v>CORPORATION</v>
          </cell>
          <cell r="C955" t="str">
            <v>Eletrotrafo Produtos Eletricos Ltda</v>
          </cell>
          <cell r="D955" t="str">
            <v>Eletrotrafo</v>
          </cell>
          <cell r="E955" t="str">
            <v>80.224.785</v>
          </cell>
          <cell r="F955" t="str">
            <v>80.224.785/0001-15</v>
          </cell>
        </row>
        <row r="956">
          <cell r="A956">
            <v>28817</v>
          </cell>
          <cell r="B956" t="str">
            <v>CORPORATION</v>
          </cell>
          <cell r="C956" t="str">
            <v>Bondezan &amp; Camargo Ltda</v>
          </cell>
          <cell r="D956" t="str">
            <v>Bondezan &amp; Camargo Ltda - Me</v>
          </cell>
          <cell r="E956" t="str">
            <v>06.151.045</v>
          </cell>
          <cell r="F956" t="str">
            <v>06.151.045/0001-43</v>
          </cell>
        </row>
        <row r="957">
          <cell r="A957">
            <v>28819</v>
          </cell>
          <cell r="B957" t="str">
            <v>CORPORATION</v>
          </cell>
          <cell r="C957" t="str">
            <v>Perfil Locadora De Maquinas E Equipamentos Para Construcao Ltda</v>
          </cell>
          <cell r="D957" t="str">
            <v>Perfil Locadora De Maquinas E Equipamentos Para Construcao Ltda</v>
          </cell>
          <cell r="E957" t="str">
            <v>30.118.339</v>
          </cell>
          <cell r="F957" t="str">
            <v>30.118.339/0001-58</v>
          </cell>
        </row>
        <row r="958">
          <cell r="A958">
            <v>28820</v>
          </cell>
          <cell r="B958" t="str">
            <v>CORPORATION</v>
          </cell>
          <cell r="C958" t="str">
            <v>Cofermeta Sa</v>
          </cell>
          <cell r="D958" t="str">
            <v>Cofermeta Sa</v>
          </cell>
          <cell r="E958" t="str">
            <v>17.281.973</v>
          </cell>
          <cell r="F958" t="str">
            <v>17.281.973/0001-49</v>
          </cell>
        </row>
        <row r="959">
          <cell r="A959">
            <v>28823</v>
          </cell>
          <cell r="B959" t="str">
            <v>CORPORATION</v>
          </cell>
          <cell r="C959" t="str">
            <v>Piratininga Ferramentas Ltda</v>
          </cell>
          <cell r="D959" t="str">
            <v>Casa Dos Parafusos</v>
          </cell>
          <cell r="E959" t="str">
            <v>07.484.625</v>
          </cell>
          <cell r="F959" t="str">
            <v>07.484.625/0001-15</v>
          </cell>
        </row>
        <row r="960">
          <cell r="A960">
            <v>28824</v>
          </cell>
          <cell r="B960" t="str">
            <v>CORPORATION</v>
          </cell>
          <cell r="C960" t="str">
            <v>Coutinho &amp; Falchi Ltda</v>
          </cell>
          <cell r="D960" t="str">
            <v>Protege Epi</v>
          </cell>
          <cell r="E960" t="str">
            <v>41.714.801</v>
          </cell>
          <cell r="F960" t="str">
            <v>41.714.801/0001-04</v>
          </cell>
        </row>
        <row r="961">
          <cell r="A961">
            <v>28826</v>
          </cell>
          <cell r="B961" t="str">
            <v>CORPORATION</v>
          </cell>
          <cell r="C961" t="str">
            <v>Oximig Produtos De Soldagem Ltda - Me</v>
          </cell>
          <cell r="D961" t="str">
            <v>Oximig</v>
          </cell>
          <cell r="E961" t="str">
            <v>93.475.721</v>
          </cell>
          <cell r="F961" t="str">
            <v>93.475.721/0001-39</v>
          </cell>
        </row>
        <row r="962">
          <cell r="A962">
            <v>28827</v>
          </cell>
          <cell r="B962" t="str">
            <v>CORPORATION</v>
          </cell>
          <cell r="C962" t="str">
            <v>Lourival Equipamentos E Gases Ltda</v>
          </cell>
          <cell r="D962" t="str">
            <v>Lico Distribuidora</v>
          </cell>
          <cell r="E962" t="str">
            <v>04.183.037</v>
          </cell>
          <cell r="F962" t="str">
            <v>04.183.037/0001-53</v>
          </cell>
        </row>
        <row r="963">
          <cell r="A963">
            <v>28829</v>
          </cell>
          <cell r="B963" t="str">
            <v>CORPORATION</v>
          </cell>
          <cell r="C963" t="str">
            <v>Organizacoes Zimmermann Ltda - Epp</v>
          </cell>
          <cell r="D963" t="str">
            <v>Zimmermaq</v>
          </cell>
          <cell r="E963" t="str">
            <v>91.407.130</v>
          </cell>
          <cell r="F963" t="str">
            <v>91.407.130/0001-07</v>
          </cell>
        </row>
        <row r="964">
          <cell r="A964">
            <v>28832</v>
          </cell>
          <cell r="B964" t="str">
            <v>CORPORATION</v>
          </cell>
          <cell r="C964" t="str">
            <v>Osasolda Soldas Tecnicas Ltda - Epp</v>
          </cell>
          <cell r="D964" t="str">
            <v>Osasolda</v>
          </cell>
          <cell r="E964" t="str">
            <v>50.892.686</v>
          </cell>
          <cell r="F964" t="str">
            <v>50.892.686/0001-40</v>
          </cell>
        </row>
        <row r="965">
          <cell r="A965">
            <v>28834</v>
          </cell>
          <cell r="B965" t="str">
            <v>CORPORATION</v>
          </cell>
          <cell r="C965" t="str">
            <v>Paulo Henrique De Souza 01880502640</v>
          </cell>
          <cell r="D965" t="str">
            <v>Braga Telas</v>
          </cell>
          <cell r="E965" t="str">
            <v>20.693.324</v>
          </cell>
          <cell r="F965" t="str">
            <v>20.693.324/0001-60</v>
          </cell>
        </row>
        <row r="966">
          <cell r="A966">
            <v>28835</v>
          </cell>
          <cell r="B966" t="str">
            <v>CORPORATION</v>
          </cell>
          <cell r="C966" t="str">
            <v>H A M Comercio De Equipamentos E Abrasivos Ltda - Me</v>
          </cell>
          <cell r="D966" t="str">
            <v>Ecologica Ferramentas</v>
          </cell>
          <cell r="E966" t="str">
            <v>12.456.544</v>
          </cell>
          <cell r="F966" t="str">
            <v>12.456.544/0001-41</v>
          </cell>
        </row>
        <row r="967">
          <cell r="A967">
            <v>28836</v>
          </cell>
          <cell r="B967" t="str">
            <v>CORPORATION</v>
          </cell>
          <cell r="C967" t="str">
            <v>Tiago De Broi Ltda</v>
          </cell>
          <cell r="D967" t="str">
            <v>Comercial 2001 Do Brasil</v>
          </cell>
          <cell r="E967" t="str">
            <v>11.927.842</v>
          </cell>
          <cell r="F967" t="str">
            <v>11.927.842/0001-00</v>
          </cell>
        </row>
        <row r="968">
          <cell r="A968">
            <v>28838</v>
          </cell>
          <cell r="B968" t="str">
            <v>CORPORATION</v>
          </cell>
          <cell r="C968" t="str">
            <v>J. Venancio Moreira - Epp</v>
          </cell>
          <cell r="D968" t="str">
            <v>J. Venancio</v>
          </cell>
          <cell r="E968" t="str">
            <v>16.590.202</v>
          </cell>
          <cell r="F968" t="str">
            <v>16.590.202/0001-70</v>
          </cell>
        </row>
        <row r="969">
          <cell r="A969">
            <v>28841</v>
          </cell>
          <cell r="B969" t="str">
            <v>CORPORATION</v>
          </cell>
          <cell r="C969" t="str">
            <v>J. R. Bittencourt</v>
          </cell>
          <cell r="D969" t="str">
            <v>Avenida Center</v>
          </cell>
          <cell r="E969" t="str">
            <v>81.068.983</v>
          </cell>
          <cell r="F969" t="str">
            <v>81.068.983/0001-08</v>
          </cell>
        </row>
        <row r="970">
          <cell r="A970">
            <v>28842</v>
          </cell>
          <cell r="B970" t="str">
            <v>CORPORATION</v>
          </cell>
          <cell r="C970" t="str">
            <v>Vittagro Pecuaria Ltda - Me</v>
          </cell>
          <cell r="D970" t="str">
            <v>Vittagro Pecuaria Ltda - Me</v>
          </cell>
          <cell r="E970" t="str">
            <v>09.308.407</v>
          </cell>
          <cell r="F970" t="str">
            <v>09.308.407/0001-55</v>
          </cell>
        </row>
        <row r="971">
          <cell r="A971">
            <v>28845</v>
          </cell>
          <cell r="B971" t="str">
            <v>CORPORATION</v>
          </cell>
          <cell r="C971" t="str">
            <v>Soltec Assistencia Em Soldagem E Comercio Ltda</v>
          </cell>
          <cell r="D971" t="str">
            <v>Soltec Assistencia Em Soldagem E Comercio Ltda</v>
          </cell>
          <cell r="E971" t="str">
            <v>08.945.854</v>
          </cell>
          <cell r="F971" t="str">
            <v>08.945.854/0001-52</v>
          </cell>
        </row>
        <row r="972">
          <cell r="A972">
            <v>28848</v>
          </cell>
          <cell r="B972" t="str">
            <v>CORPORATION</v>
          </cell>
          <cell r="C972" t="str">
            <v>Vanipar Comercio De Parafusos E Ferramentas Ltda</v>
          </cell>
          <cell r="D972" t="str">
            <v>Vanipar Comercio De Parafusos E Ferramentas Ltda</v>
          </cell>
          <cell r="E972" t="str">
            <v>93.050.698</v>
          </cell>
          <cell r="F972" t="str">
            <v>93.050.698/0001-30</v>
          </cell>
        </row>
        <row r="973">
          <cell r="A973">
            <v>28851</v>
          </cell>
          <cell r="B973" t="str">
            <v>CORPORATION</v>
          </cell>
          <cell r="C973" t="str">
            <v>Joao V. R. Brezolin &amp; Cia Ltda</v>
          </cell>
          <cell r="D973" t="str">
            <v>Sanrighi Materiais De Construcao</v>
          </cell>
          <cell r="E973" t="str">
            <v>03.408.848</v>
          </cell>
          <cell r="F973" t="str">
            <v>03.408.848/0001-42</v>
          </cell>
        </row>
        <row r="974">
          <cell r="A974">
            <v>28858</v>
          </cell>
          <cell r="B974" t="str">
            <v>CORPORATION</v>
          </cell>
          <cell r="C974" t="str">
            <v>Maqsoldas Com De Ferragens Ltda</v>
          </cell>
          <cell r="D974" t="str">
            <v>Maqsoldas Com De Ferragens Ltda</v>
          </cell>
          <cell r="E974" t="str">
            <v>91.016.923</v>
          </cell>
          <cell r="F974" t="str">
            <v>91.016.923/0001-97</v>
          </cell>
        </row>
        <row r="975">
          <cell r="A975">
            <v>28860</v>
          </cell>
          <cell r="B975" t="str">
            <v>CORPORATION</v>
          </cell>
          <cell r="C975" t="str">
            <v>Ademilson Barbosa Tavares - Me</v>
          </cell>
          <cell r="D975" t="str">
            <v>Tavares Ferragens</v>
          </cell>
          <cell r="E975" t="str">
            <v>05.907.311</v>
          </cell>
          <cell r="F975" t="str">
            <v>05.907.311/0001-52</v>
          </cell>
        </row>
        <row r="976">
          <cell r="A976">
            <v>28864</v>
          </cell>
          <cell r="B976" t="str">
            <v>CORPORATION</v>
          </cell>
          <cell r="C976" t="str">
            <v>E B Ferramentas Ltda</v>
          </cell>
          <cell r="D976" t="str">
            <v>E. B. Ferramentas</v>
          </cell>
          <cell r="E976" t="str">
            <v>05.914.314</v>
          </cell>
          <cell r="F976" t="str">
            <v>05.914.314/0001-13</v>
          </cell>
        </row>
        <row r="977">
          <cell r="A977">
            <v>28866</v>
          </cell>
          <cell r="B977" t="str">
            <v>CORPORATION</v>
          </cell>
          <cell r="C977" t="str">
            <v>A &amp; F Trading Importacao E Exportacao Ltda</v>
          </cell>
          <cell r="D977" t="str">
            <v>Aco &amp; Ferro Roraima</v>
          </cell>
          <cell r="E977" t="str">
            <v>33.711.181</v>
          </cell>
          <cell r="F977" t="str">
            <v>33.711.181/0001-13</v>
          </cell>
        </row>
        <row r="978">
          <cell r="A978">
            <v>28867</v>
          </cell>
          <cell r="B978" t="str">
            <v>CORPORATION</v>
          </cell>
          <cell r="C978" t="str">
            <v>Alfatech Equipamentos Automotivos Ltda - Me</v>
          </cell>
          <cell r="D978" t="str">
            <v>Alfatech Equipamentos Automotivos</v>
          </cell>
          <cell r="E978" t="str">
            <v>08.903.043</v>
          </cell>
          <cell r="F978" t="str">
            <v>08.903.043/0001-99</v>
          </cell>
        </row>
        <row r="979">
          <cell r="A979">
            <v>28869</v>
          </cell>
          <cell r="B979" t="str">
            <v>CORPORATION</v>
          </cell>
          <cell r="C979" t="str">
            <v>Smip Comercio De Tintas Ltda - Me</v>
          </cell>
          <cell r="D979" t="str">
            <v>Smip Tintas</v>
          </cell>
          <cell r="E979" t="str">
            <v>07.238.006</v>
          </cell>
          <cell r="F979" t="str">
            <v>07.238.006/0001-40</v>
          </cell>
        </row>
        <row r="980">
          <cell r="A980">
            <v>28872</v>
          </cell>
          <cell r="B980" t="str">
            <v>CORPORATION</v>
          </cell>
          <cell r="C980" t="str">
            <v>Mappin Comercio De Tintas Ltda - Epp</v>
          </cell>
          <cell r="D980" t="str">
            <v>Mappin Comercio De Tintas</v>
          </cell>
          <cell r="E980" t="str">
            <v>00.909.598</v>
          </cell>
          <cell r="F980" t="str">
            <v>00.909.598/0001-36</v>
          </cell>
        </row>
        <row r="981">
          <cell r="A981">
            <v>28877</v>
          </cell>
          <cell r="B981" t="str">
            <v>CORPORATION</v>
          </cell>
          <cell r="C981" t="str">
            <v>Lfb Faustino Inversoldas Manutencoes Ltda</v>
          </cell>
          <cell r="D981" t="str">
            <v>Inversoldas Manutencoes</v>
          </cell>
          <cell r="E981" t="str">
            <v>41.624.900</v>
          </cell>
          <cell r="F981" t="str">
            <v>41.624.900/0001-97</v>
          </cell>
        </row>
        <row r="982">
          <cell r="A982">
            <v>28878</v>
          </cell>
          <cell r="B982" t="str">
            <v>CORPORATION</v>
          </cell>
          <cell r="C982" t="str">
            <v>Aqui Tem Tudo Comercio De Materiais Para Construcao Ltda - Me</v>
          </cell>
          <cell r="D982" t="str">
            <v>Aqui Tem Tudo</v>
          </cell>
          <cell r="E982" t="str">
            <v>11.013.154</v>
          </cell>
          <cell r="F982" t="str">
            <v>11.013.154/0001-34</v>
          </cell>
        </row>
        <row r="983">
          <cell r="A983">
            <v>28881</v>
          </cell>
          <cell r="B983" t="str">
            <v>CORPORATION</v>
          </cell>
          <cell r="C983" t="str">
            <v>Arley De Assis Lopes - Ourinhos - Epp</v>
          </cell>
          <cell r="D983" t="str">
            <v>Arley De Assis Lopes</v>
          </cell>
          <cell r="E983" t="str">
            <v>00.906.375</v>
          </cell>
          <cell r="F983" t="str">
            <v>00.906.375/0001-15</v>
          </cell>
        </row>
        <row r="984">
          <cell r="A984">
            <v>28884</v>
          </cell>
          <cell r="B984" t="str">
            <v>CORPORATION</v>
          </cell>
          <cell r="C984" t="str">
            <v>Baccarini E Charbel Ltda - Epp</v>
          </cell>
          <cell r="D984" t="str">
            <v>Parafuso E Cia</v>
          </cell>
          <cell r="E984" t="str">
            <v>25.263.237</v>
          </cell>
          <cell r="F984" t="str">
            <v>25.263.237/0001-96</v>
          </cell>
        </row>
        <row r="985">
          <cell r="A985">
            <v>28886</v>
          </cell>
          <cell r="B985" t="str">
            <v>CORPORATION</v>
          </cell>
          <cell r="C985" t="str">
            <v>Crm Produtos E Servicos Industriais Ltda</v>
          </cell>
          <cell r="D985" t="str">
            <v>Muchiutt Ferramentas</v>
          </cell>
          <cell r="E985" t="str">
            <v>06.023.566</v>
          </cell>
          <cell r="F985" t="str">
            <v>06.023.566/0001-15</v>
          </cell>
          <cell r="G985" t="str">
            <v>MUCHIUTT</v>
          </cell>
        </row>
        <row r="986">
          <cell r="A986">
            <v>28887</v>
          </cell>
          <cell r="B986" t="str">
            <v>CORPORATION</v>
          </cell>
          <cell r="C986" t="str">
            <v>Supri Equipamentos Comercio E Servicos Ltda</v>
          </cell>
          <cell r="D986" t="str">
            <v>Supri Equipamentos</v>
          </cell>
          <cell r="E986" t="str">
            <v>42.846.315</v>
          </cell>
          <cell r="F986" t="str">
            <v>42.846.315/0001-02</v>
          </cell>
        </row>
        <row r="987">
          <cell r="A987">
            <v>28888</v>
          </cell>
          <cell r="B987" t="str">
            <v>CORPORATION</v>
          </cell>
          <cell r="C987" t="str">
            <v>Casa Dos Parafusos Tumelero Ltda - Me</v>
          </cell>
          <cell r="D987" t="str">
            <v>Casa Dos Parafusos Tumelero</v>
          </cell>
          <cell r="E987" t="str">
            <v>02.880.875</v>
          </cell>
          <cell r="F987" t="str">
            <v>02.880.875/0001-50</v>
          </cell>
        </row>
        <row r="988">
          <cell r="A988">
            <v>28890</v>
          </cell>
          <cell r="B988" t="str">
            <v>CORPORATION</v>
          </cell>
          <cell r="C988" t="str">
            <v>Carotti Eletrecidade Industrial Ltda</v>
          </cell>
          <cell r="D988" t="str">
            <v>Carotti Eletrecidade Industrial</v>
          </cell>
          <cell r="E988" t="str">
            <v>51.282.465</v>
          </cell>
          <cell r="F988" t="str">
            <v>51.282.465/0001-13</v>
          </cell>
        </row>
        <row r="989">
          <cell r="A989">
            <v>28892</v>
          </cell>
          <cell r="B989" t="str">
            <v>CORPORATION</v>
          </cell>
          <cell r="C989" t="str">
            <v>Cooperativa Mista Agro Pecuaria De Paraguacu Ltda</v>
          </cell>
          <cell r="D989" t="str">
            <v>Coomape</v>
          </cell>
          <cell r="E989" t="str">
            <v>23.176.936</v>
          </cell>
          <cell r="F989" t="str">
            <v>23.176.936/0001-73</v>
          </cell>
        </row>
        <row r="990">
          <cell r="A990">
            <v>28893</v>
          </cell>
          <cell r="B990" t="str">
            <v>CORPORATION</v>
          </cell>
          <cell r="C990" t="str">
            <v>Claudia Lima Olivares - Me</v>
          </cell>
          <cell r="D990" t="str">
            <v>Vcl - Ferramentas</v>
          </cell>
          <cell r="E990" t="str">
            <v>05.279.704</v>
          </cell>
          <cell r="F990" t="str">
            <v>05.279.704/0001-69</v>
          </cell>
        </row>
        <row r="991">
          <cell r="A991">
            <v>28895</v>
          </cell>
          <cell r="B991" t="str">
            <v>CORPORATION</v>
          </cell>
          <cell r="C991" t="str">
            <v>Dioni Silva Giroto 17882324884</v>
          </cell>
          <cell r="D991" t="str">
            <v>Destak</v>
          </cell>
          <cell r="E991" t="str">
            <v>16.994.401</v>
          </cell>
          <cell r="F991" t="str">
            <v>16.994.401/0001-44</v>
          </cell>
        </row>
        <row r="992">
          <cell r="A992">
            <v>28899</v>
          </cell>
          <cell r="B992" t="str">
            <v>CORPORATION</v>
          </cell>
          <cell r="C992" t="str">
            <v>Eliana De Fatima Goncalves Alcarde - Me</v>
          </cell>
          <cell r="D992" t="str">
            <v>Episolda</v>
          </cell>
          <cell r="E992" t="str">
            <v>12.022.241</v>
          </cell>
          <cell r="F992" t="str">
            <v>12.022.241/0001-10</v>
          </cell>
        </row>
        <row r="993">
          <cell r="A993">
            <v>28900</v>
          </cell>
          <cell r="B993" t="str">
            <v>CORPORATION</v>
          </cell>
          <cell r="C993" t="str">
            <v>Planeta Ferragem Parafusos E Ferramentas Ltda</v>
          </cell>
          <cell r="D993" t="str">
            <v>Planeta Ferragem</v>
          </cell>
          <cell r="E993" t="str">
            <v>02.740.782</v>
          </cell>
          <cell r="F993" t="str">
            <v>02.740.782/0001-20</v>
          </cell>
        </row>
        <row r="994">
          <cell r="A994">
            <v>28903</v>
          </cell>
          <cell r="B994" t="str">
            <v>CORPORATION</v>
          </cell>
          <cell r="C994" t="str">
            <v>Gava Comercio De Maquinas E Assistencia Tecnica Ltda - Me</v>
          </cell>
          <cell r="D994" t="str">
            <v>Gava Comercio De Maquinas E Assistencia Tecnica</v>
          </cell>
          <cell r="E994" t="str">
            <v>07.867.818</v>
          </cell>
          <cell r="F994" t="str">
            <v>07.867.818/0001-55</v>
          </cell>
        </row>
        <row r="995">
          <cell r="A995">
            <v>28904</v>
          </cell>
          <cell r="B995" t="str">
            <v>CORPORATION</v>
          </cell>
          <cell r="C995" t="str">
            <v>Icf Imoveis Ltda</v>
          </cell>
          <cell r="D995" t="str">
            <v>Icf Imoveis</v>
          </cell>
          <cell r="E995" t="str">
            <v>24.784.002</v>
          </cell>
          <cell r="F995" t="str">
            <v>24.784.002/0001-87</v>
          </cell>
        </row>
        <row r="996">
          <cell r="A996">
            <v>28906</v>
          </cell>
          <cell r="B996" t="str">
            <v>CORPORATION</v>
          </cell>
          <cell r="C996" t="str">
            <v>Hts Do Brasil Comercio De Auto Pecas Ltda</v>
          </cell>
          <cell r="D996" t="str">
            <v>Hts Do Brasil Auto Parts</v>
          </cell>
          <cell r="E996" t="str">
            <v>07.775.126</v>
          </cell>
          <cell r="F996" t="str">
            <v>07.775.126/0001-87</v>
          </cell>
        </row>
        <row r="997">
          <cell r="A997">
            <v>28909</v>
          </cell>
          <cell r="B997" t="str">
            <v>CORPORATION</v>
          </cell>
          <cell r="C997" t="str">
            <v>Jose Manoel Arruda Sorocaba - Me</v>
          </cell>
          <cell r="D997" t="str">
            <v>Macfer Comercio E Manutencao De Maquinas E Ferramentas</v>
          </cell>
          <cell r="E997" t="str">
            <v>02.954.210</v>
          </cell>
          <cell r="F997" t="str">
            <v>02.954.210/0001-44</v>
          </cell>
        </row>
        <row r="998">
          <cell r="A998">
            <v>28911</v>
          </cell>
          <cell r="B998" t="str">
            <v>CORPORATION</v>
          </cell>
          <cell r="C998" t="str">
            <v>Lauri Pena - Me</v>
          </cell>
          <cell r="D998" t="str">
            <v>Comercial De Pecas Industrial E Manutencao Pena</v>
          </cell>
          <cell r="E998" t="str">
            <v>92.617.711</v>
          </cell>
          <cell r="F998" t="str">
            <v>92.617.711/0001-28</v>
          </cell>
        </row>
        <row r="999">
          <cell r="A999">
            <v>28912</v>
          </cell>
          <cell r="B999" t="str">
            <v>CORPORATION</v>
          </cell>
          <cell r="C999" t="str">
            <v>M. Motores Comercio De Maquinas Agricolas Ltda</v>
          </cell>
          <cell r="D999" t="str">
            <v>Moto Motores</v>
          </cell>
          <cell r="E999" t="str">
            <v>27.056.739</v>
          </cell>
          <cell r="F999" t="str">
            <v>27.056.739/0003-33</v>
          </cell>
          <cell r="G999" t="str">
            <v>MOTO MOTORES</v>
          </cell>
        </row>
        <row r="1000">
          <cell r="A1000">
            <v>28914</v>
          </cell>
          <cell r="B1000" t="str">
            <v>CORPORATION</v>
          </cell>
          <cell r="C1000" t="str">
            <v>Lemos &amp; Goncalves Produtos Para A Industria Ltda</v>
          </cell>
          <cell r="D1000" t="str">
            <v>Lemos &amp; Goncalves Produtos Para A Industria</v>
          </cell>
          <cell r="E1000" t="str">
            <v>60.688.546</v>
          </cell>
          <cell r="F1000" t="str">
            <v>60.688.546/0001-09</v>
          </cell>
        </row>
        <row r="1001">
          <cell r="A1001">
            <v>28917</v>
          </cell>
          <cell r="B1001" t="str">
            <v>CORPORATION</v>
          </cell>
          <cell r="C1001" t="str">
            <v>Liderox - Comercio De Gases Ltda - Me</v>
          </cell>
          <cell r="D1001" t="str">
            <v>Liderox</v>
          </cell>
          <cell r="E1001" t="str">
            <v>04.448.785</v>
          </cell>
          <cell r="F1001" t="str">
            <v>04.448.785/0001-10</v>
          </cell>
        </row>
        <row r="1002">
          <cell r="A1002">
            <v>28920</v>
          </cell>
          <cell r="B1002" t="str">
            <v>CORPORATION</v>
          </cell>
          <cell r="C1002" t="str">
            <v>Mafer Maquinas Ferragens E Ferramentas Ltda - Epp</v>
          </cell>
          <cell r="D1002" t="str">
            <v>Mafer</v>
          </cell>
          <cell r="E1002" t="str">
            <v>05.524.283</v>
          </cell>
          <cell r="F1002" t="str">
            <v>05.524.283/0001-94</v>
          </cell>
        </row>
        <row r="1003">
          <cell r="A1003">
            <v>28923</v>
          </cell>
          <cell r="B1003" t="str">
            <v>CORPORATION</v>
          </cell>
          <cell r="C1003" t="str">
            <v>Mak-Par Comercio De Ferragens E Ferramentas Ltda - Me</v>
          </cell>
          <cell r="D1003" t="str">
            <v>Mak-Par</v>
          </cell>
          <cell r="E1003" t="str">
            <v>10.569.585</v>
          </cell>
          <cell r="F1003" t="str">
            <v>10.569.585/0001-19</v>
          </cell>
        </row>
        <row r="1004">
          <cell r="A1004">
            <v>28926</v>
          </cell>
          <cell r="B1004" t="str">
            <v>CORPORATION</v>
          </cell>
          <cell r="C1004" t="str">
            <v>Maq Star Comercial E Locadora Ltda - Epp</v>
          </cell>
          <cell r="D1004" t="str">
            <v>Maq Star Comercial</v>
          </cell>
          <cell r="E1004" t="str">
            <v>11.162.105</v>
          </cell>
          <cell r="F1004" t="str">
            <v>11.162.105/0001-63</v>
          </cell>
        </row>
        <row r="1005">
          <cell r="A1005">
            <v>28929</v>
          </cell>
          <cell r="B1005" t="str">
            <v>CORPORATION</v>
          </cell>
          <cell r="C1005" t="str">
            <v>Oxi - Gold Comercio De Materiais Para Soldas Ltda - Epp</v>
          </cell>
          <cell r="D1005" t="str">
            <v>Oxi - Gold</v>
          </cell>
          <cell r="E1005" t="str">
            <v>67.485.904</v>
          </cell>
          <cell r="F1005" t="str">
            <v>67.485.904/0001-25</v>
          </cell>
        </row>
        <row r="1006">
          <cell r="A1006">
            <v>28932</v>
          </cell>
          <cell r="B1006" t="str">
            <v>CORPORATION</v>
          </cell>
          <cell r="C1006" t="str">
            <v>Pracafe Distribuidora E Representacoes De Insumos Agricolas Ltda</v>
          </cell>
          <cell r="D1006" t="str">
            <v>Pracafe</v>
          </cell>
          <cell r="E1006" t="str">
            <v>09.674.878</v>
          </cell>
          <cell r="F1006" t="str">
            <v>09.674.878/0001-87</v>
          </cell>
        </row>
        <row r="1007">
          <cell r="A1007">
            <v>28935</v>
          </cell>
          <cell r="B1007" t="str">
            <v>CORPORATION</v>
          </cell>
          <cell r="C1007" t="str">
            <v>Romeo J. T. Borsatto &amp; Cia Ltda - Me</v>
          </cell>
          <cell r="D1007" t="str">
            <v>Romeo J. T. Borsatto</v>
          </cell>
          <cell r="E1007" t="str">
            <v>05.337.300</v>
          </cell>
          <cell r="F1007" t="str">
            <v>05.337.300/0001-84</v>
          </cell>
        </row>
        <row r="1008">
          <cell r="A1008">
            <v>28937</v>
          </cell>
          <cell r="B1008" t="str">
            <v>CORPORATION</v>
          </cell>
          <cell r="C1008" t="str">
            <v>Saber - Treinamento E Consultoria Empresarial Ltda - Me</v>
          </cell>
          <cell r="D1008" t="str">
            <v>Saber - Treinamento E Consultoria Empresarial</v>
          </cell>
          <cell r="E1008" t="str">
            <v>07.382.976</v>
          </cell>
          <cell r="F1008" t="str">
            <v>07.382.976/0001-15</v>
          </cell>
        </row>
        <row r="1009">
          <cell r="A1009">
            <v>28943</v>
          </cell>
          <cell r="B1009" t="str">
            <v>CORPORATION</v>
          </cell>
          <cell r="C1009" t="str">
            <v>Ricardo Seiji Narimatsu</v>
          </cell>
          <cell r="D1009" t="str">
            <v>Ciamag</v>
          </cell>
          <cell r="E1009" t="str">
            <v>32.141.189</v>
          </cell>
          <cell r="F1009" t="str">
            <v>32.141.189/0001-29</v>
          </cell>
        </row>
        <row r="1010">
          <cell r="A1010">
            <v>28944</v>
          </cell>
          <cell r="B1010" t="str">
            <v>CORPORATION</v>
          </cell>
          <cell r="C1010" t="str">
            <v>Tec Par Comercio De Parafusos E Ferramentas Ltda - Epp</v>
          </cell>
          <cell r="D1010" t="str">
            <v>Tec Par</v>
          </cell>
          <cell r="E1010" t="str">
            <v>61.022.430</v>
          </cell>
          <cell r="F1010" t="str">
            <v>61.022.430/0001-07</v>
          </cell>
          <cell r="G1010" t="str">
            <v>TEC PAR</v>
          </cell>
        </row>
        <row r="1011">
          <cell r="A1011">
            <v>28946</v>
          </cell>
          <cell r="B1011" t="str">
            <v>CORPORATION</v>
          </cell>
          <cell r="C1011" t="str">
            <v>Triangulo Comercio E Servicos De Bombas E Motores Ltda - Me</v>
          </cell>
          <cell r="D1011" t="str">
            <v>Triangulo</v>
          </cell>
          <cell r="E1011" t="str">
            <v>10.362.964</v>
          </cell>
          <cell r="F1011" t="str">
            <v>10.362.964/0001-33</v>
          </cell>
        </row>
        <row r="1012">
          <cell r="A1012">
            <v>28948</v>
          </cell>
          <cell r="B1012" t="str">
            <v>CORPORATION</v>
          </cell>
          <cell r="C1012" t="str">
            <v>Bismark Maquinas, Ferramentas E Abrasivos Ltda</v>
          </cell>
          <cell r="D1012" t="str">
            <v>Bismark Da Washington</v>
          </cell>
          <cell r="E1012" t="str">
            <v>29.216.373</v>
          </cell>
          <cell r="F1012" t="str">
            <v>29.216.373/0001-86</v>
          </cell>
          <cell r="G1012" t="str">
            <v>BISMARK</v>
          </cell>
        </row>
        <row r="1013">
          <cell r="A1013">
            <v>28949</v>
          </cell>
          <cell r="B1013" t="str">
            <v>CORPORATION</v>
          </cell>
          <cell r="C1013" t="str">
            <v>Veronica Gouveia Da Silva - Me</v>
          </cell>
          <cell r="D1013" t="str">
            <v>Center Maquinas</v>
          </cell>
          <cell r="E1013" t="str">
            <v>09.526.999</v>
          </cell>
          <cell r="F1013" t="str">
            <v>09.526.999/0001-81</v>
          </cell>
        </row>
        <row r="1014">
          <cell r="A1014">
            <v>28953</v>
          </cell>
          <cell r="B1014" t="str">
            <v>CORPORATION</v>
          </cell>
          <cell r="C1014" t="str">
            <v>Zamlub Comercio Importacao E Exportacao Ltda</v>
          </cell>
          <cell r="D1014" t="str">
            <v>Zamlub</v>
          </cell>
          <cell r="E1014" t="str">
            <v>00.706.423</v>
          </cell>
          <cell r="F1014" t="str">
            <v>00.706.423/0001-21</v>
          </cell>
        </row>
        <row r="1015">
          <cell r="A1015">
            <v>28954</v>
          </cell>
          <cell r="B1015" t="str">
            <v>CORPORATION</v>
          </cell>
          <cell r="C1015" t="str">
            <v>Protefer Comercial Equipamentos De Protecao Ferragens E Ferramentas Eireli</v>
          </cell>
          <cell r="D1015" t="str">
            <v>Protefer Comercial Equipamentos De Protecao Ferragens E Ferramentas Eireli</v>
          </cell>
          <cell r="E1015" t="str">
            <v>08.163.421</v>
          </cell>
          <cell r="F1015" t="str">
            <v>08.163.421/0001-45</v>
          </cell>
        </row>
        <row r="1016">
          <cell r="A1016">
            <v>28956</v>
          </cell>
          <cell r="B1016" t="str">
            <v>CORPORATION</v>
          </cell>
          <cell r="C1016" t="str">
            <v>Gm Comercio De Soldas E Abrasivos Ltda</v>
          </cell>
          <cell r="D1016" t="str">
            <v>Gm Soldas E Abrasivos</v>
          </cell>
          <cell r="E1016" t="str">
            <v>08.598.107</v>
          </cell>
          <cell r="F1016" t="str">
            <v>08.598.107/0001-95</v>
          </cell>
        </row>
        <row r="1017">
          <cell r="A1017">
            <v>28960</v>
          </cell>
          <cell r="B1017" t="str">
            <v>CORPORATION</v>
          </cell>
          <cell r="C1017" t="str">
            <v>Cofertec Comercio E Representacoes Ltda - Me</v>
          </cell>
          <cell r="D1017" t="str">
            <v>Cofertec Comercio E Representacoes Ltda - Me</v>
          </cell>
          <cell r="E1017" t="str">
            <v>24.043.531</v>
          </cell>
          <cell r="F1017" t="str">
            <v>24.043.531/0001-20</v>
          </cell>
        </row>
        <row r="1018">
          <cell r="A1018">
            <v>28963</v>
          </cell>
          <cell r="B1018" t="str">
            <v>CORPORATION</v>
          </cell>
          <cell r="C1018" t="str">
            <v>Sanferpa Comercio De Ferragens E Parafusos Ltda - Me</v>
          </cell>
          <cell r="D1018" t="str">
            <v>Sanferpa Comercio De Ferragens E Parafusos Ltda - Me</v>
          </cell>
          <cell r="E1018" t="str">
            <v>20.075.495</v>
          </cell>
          <cell r="F1018" t="str">
            <v>20.075.495/0001-25</v>
          </cell>
        </row>
        <row r="1019">
          <cell r="A1019">
            <v>28965</v>
          </cell>
          <cell r="B1019" t="str">
            <v>CORPORATION</v>
          </cell>
          <cell r="C1019" t="str">
            <v>Jotamaia Comercio De Ferragens Ltda - Me</v>
          </cell>
          <cell r="D1019" t="str">
            <v>Jotamaia Comercio De Ferragens Ltda - Me</v>
          </cell>
          <cell r="E1019" t="str">
            <v>73.662.108</v>
          </cell>
          <cell r="F1019" t="str">
            <v>73.662.108/0001-13</v>
          </cell>
        </row>
        <row r="1020">
          <cell r="A1020">
            <v>28966</v>
          </cell>
          <cell r="B1020" t="str">
            <v>CORPORATION</v>
          </cell>
          <cell r="C1020" t="str">
            <v>L.C Ferragens Comercial Lins Ltda</v>
          </cell>
          <cell r="D1020" t="str">
            <v>Lc Ferragens</v>
          </cell>
          <cell r="E1020" t="str">
            <v>04.274.041</v>
          </cell>
          <cell r="F1020" t="str">
            <v>04.274.041/0001-27</v>
          </cell>
        </row>
        <row r="1021">
          <cell r="A1021">
            <v>28968</v>
          </cell>
          <cell r="B1021" t="str">
            <v>CORPORATION</v>
          </cell>
          <cell r="C1021" t="str">
            <v>Copa Comercio De Produtos Automotivos Ltda</v>
          </cell>
          <cell r="D1021" t="str">
            <v>Copa Comercio De Produtos Automotivos Ltda</v>
          </cell>
          <cell r="E1021" t="str">
            <v>79.196.481</v>
          </cell>
          <cell r="F1021" t="str">
            <v>79.196.481/0001-02</v>
          </cell>
        </row>
        <row r="1022">
          <cell r="A1022">
            <v>28970</v>
          </cell>
          <cell r="B1022" t="str">
            <v>CORPORATION</v>
          </cell>
          <cell r="C1022" t="str">
            <v>Comercial Vedovati Ltda</v>
          </cell>
          <cell r="D1022" t="str">
            <v>Vedovati Ferramentas</v>
          </cell>
          <cell r="E1022" t="str">
            <v>55.348.189</v>
          </cell>
          <cell r="F1022" t="str">
            <v>55.348.189/0001-08</v>
          </cell>
          <cell r="G1022" t="str">
            <v>VEDOVATI</v>
          </cell>
        </row>
        <row r="1023">
          <cell r="A1023">
            <v>28971</v>
          </cell>
          <cell r="B1023" t="str">
            <v>CORPORATION</v>
          </cell>
          <cell r="C1023" t="str">
            <v>Soldmac Comercio De Maquinas, Ferramentas E Gases Especiais Ltda - Epp</v>
          </cell>
          <cell r="D1023" t="str">
            <v>Soldmac Comercio De Maquinas, Ferramentas E Gases Especiais Ltda - Epp</v>
          </cell>
          <cell r="E1023" t="str">
            <v>94.831.591</v>
          </cell>
          <cell r="F1023" t="str">
            <v>94.831.591/0001-92</v>
          </cell>
        </row>
        <row r="1024">
          <cell r="A1024">
            <v>28972</v>
          </cell>
          <cell r="B1024" t="str">
            <v>CORPORATION</v>
          </cell>
          <cell r="C1024" t="str">
            <v>49.860.833 Vanderlei Da Silva Rosa</v>
          </cell>
          <cell r="D1024" t="str">
            <v>Tijolaco Materiais De Construcao, Ferragem E Ferramenta</v>
          </cell>
          <cell r="E1024" t="str">
            <v>49.860.833</v>
          </cell>
          <cell r="F1024" t="str">
            <v>49.860.833/0001-11</v>
          </cell>
          <cell r="G1024" t="str">
            <v>COFEMA</v>
          </cell>
        </row>
        <row r="1025">
          <cell r="A1025">
            <v>28973</v>
          </cell>
          <cell r="B1025" t="str">
            <v>CORPORATION</v>
          </cell>
          <cell r="C1025" t="str">
            <v>R.T. Comercio De Ferragens E Ferramentas Ltda</v>
          </cell>
          <cell r="D1025" t="str">
            <v>Rt Casa Das Ferragens</v>
          </cell>
          <cell r="E1025" t="str">
            <v>52.537.917</v>
          </cell>
          <cell r="F1025" t="str">
            <v>52.537.917/0001-23</v>
          </cell>
          <cell r="G1025" t="str">
            <v>RT CASA DAS FERRAGENS</v>
          </cell>
        </row>
        <row r="1026">
          <cell r="A1026">
            <v>28974</v>
          </cell>
          <cell r="B1026" t="str">
            <v>CORPORATION</v>
          </cell>
          <cell r="C1026" t="str">
            <v>Noroeste Ferramentas E Equipamentos Ltda - Me</v>
          </cell>
          <cell r="D1026" t="str">
            <v>Mundo Das Ferramentas</v>
          </cell>
          <cell r="E1026" t="str">
            <v>13.642.460</v>
          </cell>
          <cell r="F1026" t="str">
            <v>13.642.460/0001-65</v>
          </cell>
        </row>
        <row r="1027">
          <cell r="A1027">
            <v>28977</v>
          </cell>
          <cell r="B1027" t="str">
            <v>CORPORATION</v>
          </cell>
          <cell r="C1027" t="str">
            <v>Viasoldas Comercio De Produtos Para Solda Ltda</v>
          </cell>
          <cell r="D1027" t="str">
            <v>Via Soldas</v>
          </cell>
          <cell r="E1027" t="str">
            <v>06.135.832</v>
          </cell>
          <cell r="F1027" t="str">
            <v>06.135.832/0001-00</v>
          </cell>
        </row>
        <row r="1028">
          <cell r="A1028">
            <v>28979</v>
          </cell>
          <cell r="B1028" t="str">
            <v>CORPORATION</v>
          </cell>
          <cell r="C1028" t="str">
            <v>Valdecir Aparecido Da Silva Materiais Eletricos - Me</v>
          </cell>
          <cell r="D1028" t="str">
            <v>S O S Soldas</v>
          </cell>
          <cell r="E1028" t="str">
            <v>07.307.141</v>
          </cell>
          <cell r="F1028" t="str">
            <v>07.307.141/0001-09</v>
          </cell>
        </row>
        <row r="1029">
          <cell r="A1029">
            <v>28980</v>
          </cell>
          <cell r="B1029" t="str">
            <v>CORPORATION</v>
          </cell>
          <cell r="C1029" t="str">
            <v>Jose Armando Da Silva 63238508342</v>
          </cell>
          <cell r="D1029" t="str">
            <v>J A Silva Ltda</v>
          </cell>
          <cell r="E1029" t="str">
            <v>44.419.774</v>
          </cell>
          <cell r="F1029" t="str">
            <v>44.419.774/0001-27</v>
          </cell>
        </row>
        <row r="1030">
          <cell r="A1030">
            <v>28982</v>
          </cell>
          <cell r="B1030" t="str">
            <v>CORPORATION</v>
          </cell>
          <cell r="C1030" t="str">
            <v>Somavila &amp; Cia Ltda - Epp</v>
          </cell>
          <cell r="D1030" t="str">
            <v>Somavila &amp; Cia Ltda - Epp</v>
          </cell>
          <cell r="E1030" t="str">
            <v>79.028.445</v>
          </cell>
          <cell r="F1030" t="str">
            <v>79.028.445/0001-30</v>
          </cell>
        </row>
        <row r="1031">
          <cell r="A1031">
            <v>28985</v>
          </cell>
          <cell r="B1031" t="str">
            <v>CORPORATION</v>
          </cell>
          <cell r="C1031" t="str">
            <v>W C De Carvalho Centermaq - Me</v>
          </cell>
          <cell r="D1031" t="str">
            <v>Centermaq</v>
          </cell>
          <cell r="E1031" t="str">
            <v>15.683.244</v>
          </cell>
          <cell r="F1031" t="str">
            <v>15.683.244/0001-93</v>
          </cell>
        </row>
        <row r="1032">
          <cell r="A1032">
            <v>28987</v>
          </cell>
          <cell r="B1032" t="str">
            <v>CORPORATION</v>
          </cell>
          <cell r="C1032" t="str">
            <v>Ferramenta 175 Ltda</v>
          </cell>
          <cell r="D1032" t="str">
            <v>Ferramenta 175</v>
          </cell>
          <cell r="E1032" t="str">
            <v>41.397.039</v>
          </cell>
          <cell r="F1032" t="str">
            <v>41.397.039/0001-71</v>
          </cell>
          <cell r="G1032" t="str">
            <v>ELETROSERV FERRAMENTAS</v>
          </cell>
        </row>
        <row r="1033">
          <cell r="A1033">
            <v>28988</v>
          </cell>
          <cell r="B1033" t="str">
            <v>CORPORATION</v>
          </cell>
          <cell r="C1033" t="str">
            <v>Ravec Limitada - Epp</v>
          </cell>
          <cell r="D1033" t="str">
            <v>Ravec Limitada - Epp</v>
          </cell>
          <cell r="E1033" t="str">
            <v>16.713.448</v>
          </cell>
          <cell r="F1033" t="str">
            <v>16.713.448/0001-92</v>
          </cell>
        </row>
        <row r="1034">
          <cell r="A1034">
            <v>28990</v>
          </cell>
          <cell r="B1034" t="str">
            <v>CORPORATION</v>
          </cell>
          <cell r="C1034" t="str">
            <v>Real Eletrica E Bombas Ltda - Me</v>
          </cell>
          <cell r="D1034" t="str">
            <v>Real Eletrica E Bombas Ltda - Me</v>
          </cell>
          <cell r="E1034" t="str">
            <v>07.225.066</v>
          </cell>
          <cell r="F1034" t="str">
            <v>07.225.066/0001-29</v>
          </cell>
        </row>
        <row r="1035">
          <cell r="A1035">
            <v>28992</v>
          </cell>
          <cell r="B1035" t="str">
            <v>CORPORATION</v>
          </cell>
          <cell r="C1035" t="str">
            <v>Carlivone De Sousa Franco 81015917100</v>
          </cell>
          <cell r="D1035" t="str">
            <v>Carlivone</v>
          </cell>
          <cell r="E1035" t="str">
            <v>36.314.392</v>
          </cell>
          <cell r="F1035" t="str">
            <v>36.314.392/0001-00</v>
          </cell>
          <cell r="G1035" t="str">
            <v>GRAJAU</v>
          </cell>
        </row>
        <row r="1036">
          <cell r="A1036">
            <v>28994</v>
          </cell>
          <cell r="B1036" t="str">
            <v>CORPORATION</v>
          </cell>
          <cell r="C1036" t="str">
            <v>Air Paint Equipamentos E Ferramentas Ltda - Epp</v>
          </cell>
          <cell r="D1036" t="str">
            <v>Multi-Ar Equipamentos E Ferramentas</v>
          </cell>
          <cell r="E1036" t="str">
            <v>08.088.446</v>
          </cell>
          <cell r="F1036" t="str">
            <v>08.088.446/0001-21</v>
          </cell>
        </row>
        <row r="1037">
          <cell r="A1037">
            <v>28997</v>
          </cell>
          <cell r="B1037" t="str">
            <v>CORPORATION</v>
          </cell>
          <cell r="C1037" t="str">
            <v>Seifer Comercio De Fixacao Ltda - Epp</v>
          </cell>
          <cell r="D1037" t="str">
            <v>Seifer Fixacao</v>
          </cell>
          <cell r="E1037" t="str">
            <v>10.710.943</v>
          </cell>
          <cell r="F1037" t="str">
            <v>10.710.943/0001-61</v>
          </cell>
        </row>
        <row r="1038">
          <cell r="A1038">
            <v>28999</v>
          </cell>
          <cell r="B1038" t="str">
            <v>CORPORATION</v>
          </cell>
          <cell r="C1038" t="str">
            <v>Bagatini Representacao E Comercio Ltda</v>
          </cell>
          <cell r="D1038" t="str">
            <v>Bagatini Representacao E Comercio Ltda</v>
          </cell>
          <cell r="E1038" t="str">
            <v>03.851.287</v>
          </cell>
          <cell r="F1038" t="str">
            <v>03.851.287/0001-51</v>
          </cell>
        </row>
        <row r="1039">
          <cell r="A1039">
            <v>29000</v>
          </cell>
          <cell r="B1039" t="str">
            <v>CORPORATION</v>
          </cell>
          <cell r="C1039" t="str">
            <v>Trentine &amp; Calcinoni Ltda - Me</v>
          </cell>
          <cell r="D1039" t="str">
            <v>Trentine &amp; Calcinoni Ltda - Me</v>
          </cell>
          <cell r="E1039" t="str">
            <v>12.147.020</v>
          </cell>
          <cell r="F1039" t="str">
            <v>12.147.020/0001-79</v>
          </cell>
        </row>
        <row r="1040">
          <cell r="A1040">
            <v>29002</v>
          </cell>
          <cell r="B1040" t="str">
            <v>CORPORATION</v>
          </cell>
          <cell r="C1040" t="str">
            <v>A Bitencourt Comercio De Ferragens Ltda</v>
          </cell>
          <cell r="D1040" t="str">
            <v>Casa Dos Parafusos</v>
          </cell>
          <cell r="E1040" t="str">
            <v>75.104.406</v>
          </cell>
          <cell r="F1040" t="str">
            <v>75.104.406/0001-13</v>
          </cell>
          <cell r="G1040" t="str">
            <v>BITENCOURT</v>
          </cell>
        </row>
        <row r="1041">
          <cell r="A1041">
            <v>29005</v>
          </cell>
          <cell r="B1041" t="str">
            <v>CORPORATION</v>
          </cell>
          <cell r="C1041" t="str">
            <v>Duda Comercio Varejista De Ferragens E Ferramentas Ltda</v>
          </cell>
          <cell r="D1041" t="str">
            <v>Duda Ferragens</v>
          </cell>
          <cell r="E1041" t="str">
            <v>23.894.022</v>
          </cell>
          <cell r="F1041" t="str">
            <v>23.894.022/0001-48</v>
          </cell>
        </row>
        <row r="1042">
          <cell r="A1042">
            <v>29006</v>
          </cell>
          <cell r="B1042" t="str">
            <v>CORPORATION</v>
          </cell>
          <cell r="C1042" t="str">
            <v>Magner Comercio De Ferramentas Ltda. - Me</v>
          </cell>
          <cell r="D1042" t="str">
            <v>Magner Ferramentas</v>
          </cell>
          <cell r="E1042" t="str">
            <v>09.545.231</v>
          </cell>
          <cell r="F1042" t="str">
            <v>09.545.231/0001-55</v>
          </cell>
        </row>
        <row r="1043">
          <cell r="A1043">
            <v>29008</v>
          </cell>
          <cell r="B1043" t="str">
            <v>CORPORATION</v>
          </cell>
          <cell r="C1043" t="str">
            <v>Castoraco Comercio De Ferragens Ltda - Epp</v>
          </cell>
          <cell r="D1043" t="str">
            <v>Castor Aço</v>
          </cell>
          <cell r="E1043" t="str">
            <v>01.108.407</v>
          </cell>
          <cell r="F1043" t="str">
            <v>01.108.407/0001-08</v>
          </cell>
        </row>
        <row r="1044">
          <cell r="A1044">
            <v>29012</v>
          </cell>
          <cell r="B1044" t="str">
            <v>CORPORATION</v>
          </cell>
          <cell r="C1044" t="str">
            <v>Michelle Comercio Auto Pecas Ltda - Me</v>
          </cell>
          <cell r="D1044" t="str">
            <v>W.A Pecas</v>
          </cell>
          <cell r="E1044" t="str">
            <v>02.978.213</v>
          </cell>
          <cell r="F1044" t="str">
            <v>02.978.213/0001-18</v>
          </cell>
        </row>
        <row r="1045">
          <cell r="A1045">
            <v>29013</v>
          </cell>
          <cell r="B1045" t="str">
            <v>CORPORATION</v>
          </cell>
          <cell r="C1045" t="str">
            <v>S. S. Souza - Bazar E Manutencao</v>
          </cell>
          <cell r="D1045" t="str">
            <v>Socorro Do Lar Bazar E Manutencao</v>
          </cell>
          <cell r="E1045" t="str">
            <v>33.829.264</v>
          </cell>
          <cell r="F1045" t="str">
            <v>33.829.264/0001-01</v>
          </cell>
          <cell r="G1045" t="str">
            <v>SOCORRO DO LAR</v>
          </cell>
        </row>
        <row r="1046">
          <cell r="A1046">
            <v>29015</v>
          </cell>
          <cell r="B1046" t="str">
            <v>CORPORATION</v>
          </cell>
          <cell r="C1046" t="str">
            <v>Porto Soldas Ltda - Epp</v>
          </cell>
          <cell r="D1046" t="str">
            <v>Porto Soldas Ltda - Epp</v>
          </cell>
          <cell r="E1046" t="str">
            <v>94.105.541</v>
          </cell>
          <cell r="F1046" t="str">
            <v>94.105.541/0001-28</v>
          </cell>
        </row>
        <row r="1047">
          <cell r="A1047">
            <v>29016</v>
          </cell>
          <cell r="B1047" t="str">
            <v>CORPORATION</v>
          </cell>
          <cell r="C1047" t="str">
            <v>Norpasi Norte Parana Solucoes Industriais Ltda</v>
          </cell>
          <cell r="D1047" t="str">
            <v>Norpasi</v>
          </cell>
          <cell r="E1047" t="str">
            <v>24.112.037</v>
          </cell>
          <cell r="F1047" t="str">
            <v>24.112.037/0002-50</v>
          </cell>
        </row>
        <row r="1048">
          <cell r="A1048">
            <v>29017</v>
          </cell>
          <cell r="B1048" t="str">
            <v>CORPORATION</v>
          </cell>
          <cell r="C1048" t="str">
            <v>Siva &amp; Lopes Do Brasil Ltda</v>
          </cell>
          <cell r="D1048" t="str">
            <v>Business Fast Store</v>
          </cell>
          <cell r="E1048" t="str">
            <v>13.663.278</v>
          </cell>
          <cell r="F1048" t="str">
            <v>13.663.278/0001-90</v>
          </cell>
        </row>
        <row r="1049">
          <cell r="A1049">
            <v>29018</v>
          </cell>
          <cell r="B1049" t="str">
            <v>CORPORATION</v>
          </cell>
          <cell r="C1049" t="str">
            <v>Fati Ferramentas Ltda</v>
          </cell>
          <cell r="D1049" t="str">
            <v>Fati Ferramentas Ltda</v>
          </cell>
          <cell r="E1049" t="str">
            <v>93.101.343</v>
          </cell>
          <cell r="F1049" t="str">
            <v>93.101.343/0001-23</v>
          </cell>
        </row>
        <row r="1050">
          <cell r="A1050">
            <v>29019</v>
          </cell>
          <cell r="B1050" t="str">
            <v>CORPORATION</v>
          </cell>
          <cell r="C1050" t="str">
            <v>Comercio De Ferragens Ferreira Ltda - Me</v>
          </cell>
          <cell r="D1050" t="str">
            <v>Maxifer</v>
          </cell>
          <cell r="E1050" t="str">
            <v>04.678.375</v>
          </cell>
          <cell r="F1050" t="str">
            <v>04.678.375/0001-66</v>
          </cell>
        </row>
        <row r="1051">
          <cell r="A1051">
            <v>29023</v>
          </cell>
          <cell r="B1051" t="str">
            <v>CORPORATION</v>
          </cell>
          <cell r="C1051" t="str">
            <v>Tropical Industria E Comercio De Pulverizadores E Equipamentos Ltda - Me</v>
          </cell>
          <cell r="D1051" t="str">
            <v>Tropical Industria E Comercio De Pulverizadores E Equipamentos Ltda - Me</v>
          </cell>
          <cell r="E1051" t="str">
            <v>71.163.091</v>
          </cell>
          <cell r="F1051" t="str">
            <v>71.163.091/0001-24</v>
          </cell>
        </row>
        <row r="1052">
          <cell r="A1052">
            <v>29027</v>
          </cell>
          <cell r="B1052" t="str">
            <v>CORPORATION</v>
          </cell>
          <cell r="C1052" t="str">
            <v>Lojas Caprini Ltda. - Epp</v>
          </cell>
          <cell r="D1052" t="str">
            <v>Lojas Caprini</v>
          </cell>
          <cell r="E1052" t="str">
            <v>31.288.103</v>
          </cell>
          <cell r="F1052" t="str">
            <v>31.288.103/0001-22</v>
          </cell>
        </row>
        <row r="1053">
          <cell r="A1053">
            <v>29030</v>
          </cell>
          <cell r="B1053" t="str">
            <v>CORPORATION</v>
          </cell>
          <cell r="C1053" t="str">
            <v>Eletrosolda-Comercio E Representacoes Ltda</v>
          </cell>
          <cell r="D1053" t="str">
            <v>Eletrosolda</v>
          </cell>
          <cell r="E1053" t="str">
            <v>35.968.825</v>
          </cell>
          <cell r="F1053" t="str">
            <v>35.968.825/0001-89</v>
          </cell>
        </row>
        <row r="1054">
          <cell r="A1054">
            <v>29033</v>
          </cell>
          <cell r="B1054" t="str">
            <v>CORPORATION</v>
          </cell>
          <cell r="C1054" t="str">
            <v>Zacarias Fernandes Moca Ferragens Ltda - Epp</v>
          </cell>
          <cell r="D1054" t="str">
            <v>Zacarias Fernandes Moca Ferragens Ltda - Epp</v>
          </cell>
          <cell r="E1054" t="str">
            <v>28.128.171</v>
          </cell>
          <cell r="F1054" t="str">
            <v>28.128.171/0001-10</v>
          </cell>
        </row>
        <row r="1055">
          <cell r="A1055">
            <v>29036</v>
          </cell>
          <cell r="B1055" t="str">
            <v>CORPORATION</v>
          </cell>
          <cell r="C1055" t="str">
            <v>Leo Maquinas Ltda Epp</v>
          </cell>
          <cell r="D1055" t="str">
            <v>Leo Maquinas</v>
          </cell>
          <cell r="E1055" t="str">
            <v>04.731.355</v>
          </cell>
          <cell r="F1055" t="str">
            <v>04.731.355/0001-01</v>
          </cell>
          <cell r="G1055" t="str">
            <v>LEO MAQUINAS</v>
          </cell>
        </row>
        <row r="1056">
          <cell r="A1056">
            <v>29038</v>
          </cell>
          <cell r="B1056" t="str">
            <v>CORPORATION</v>
          </cell>
          <cell r="C1056" t="str">
            <v>A M Comercio De Ferragens, Ferramentas Eireli</v>
          </cell>
          <cell r="D1056" t="str">
            <v>A M Ferragens</v>
          </cell>
          <cell r="E1056" t="str">
            <v>30.722.697</v>
          </cell>
          <cell r="F1056" t="str">
            <v>30.722.697/0001-75</v>
          </cell>
        </row>
        <row r="1057">
          <cell r="A1057">
            <v>29043</v>
          </cell>
          <cell r="B1057" t="str">
            <v>CORPORATION</v>
          </cell>
          <cell r="C1057" t="str">
            <v>Naiara Santos Souza</v>
          </cell>
          <cell r="D1057" t="str">
            <v>Metalurgica Souza</v>
          </cell>
          <cell r="E1057" t="str">
            <v>18.967.193</v>
          </cell>
          <cell r="F1057" t="str">
            <v>18.967.193/0001-10</v>
          </cell>
          <cell r="G1057" t="str">
            <v>OURO FERRO</v>
          </cell>
        </row>
        <row r="1058">
          <cell r="A1058">
            <v>29044</v>
          </cell>
          <cell r="B1058" t="str">
            <v>CORPORATION</v>
          </cell>
          <cell r="C1058" t="str">
            <v>Soldamax Comercio De Maquinas E Equipamentos Ltda</v>
          </cell>
          <cell r="D1058" t="str">
            <v>Soldamat</v>
          </cell>
          <cell r="E1058" t="str">
            <v>11.404.058</v>
          </cell>
          <cell r="F1058" t="str">
            <v>11.404.058/0002-06</v>
          </cell>
        </row>
        <row r="1059">
          <cell r="A1059">
            <v>29046</v>
          </cell>
          <cell r="B1059" t="str">
            <v>CORPORATION</v>
          </cell>
          <cell r="C1059" t="str">
            <v>Dismafe Distribuidora De Maquinas E Ferramentas S/A</v>
          </cell>
          <cell r="D1059" t="str">
            <v>Dismafe Distribuidora De Maquinas E Ferramentas S/A</v>
          </cell>
          <cell r="E1059" t="str">
            <v>37.460.888</v>
          </cell>
          <cell r="F1059" t="str">
            <v>37.460.888/0001-55</v>
          </cell>
        </row>
        <row r="1060">
          <cell r="A1060">
            <v>29050</v>
          </cell>
          <cell r="B1060" t="str">
            <v>CORPORATION</v>
          </cell>
          <cell r="C1060" t="str">
            <v>Imigrante Parafusos Ltda - Epp</v>
          </cell>
          <cell r="D1060" t="str">
            <v>Casa Do Parafuso</v>
          </cell>
          <cell r="E1060" t="str">
            <v>39.351.077</v>
          </cell>
          <cell r="F1060" t="str">
            <v>39.351.077/0001-41</v>
          </cell>
        </row>
        <row r="1061">
          <cell r="A1061">
            <v>29051</v>
          </cell>
          <cell r="B1061" t="str">
            <v>CORPORATION</v>
          </cell>
          <cell r="C1061" t="str">
            <v>Ld Comercio De Ferramentas Ltda</v>
          </cell>
          <cell r="D1061" t="str">
            <v>Ld Ferramentas</v>
          </cell>
          <cell r="E1061" t="str">
            <v>40.997.845</v>
          </cell>
          <cell r="F1061" t="str">
            <v>40.997.845/0001-18</v>
          </cell>
        </row>
        <row r="1062">
          <cell r="A1062">
            <v>29053</v>
          </cell>
          <cell r="B1062" t="str">
            <v>CORPORATION</v>
          </cell>
          <cell r="C1062" t="str">
            <v>Abrafer Comercial Ltda</v>
          </cell>
          <cell r="D1062" t="str">
            <v>Abrafer Comercial Ltda</v>
          </cell>
          <cell r="E1062" t="str">
            <v>31.690.365</v>
          </cell>
          <cell r="F1062" t="str">
            <v>31.690.365/0001-19</v>
          </cell>
        </row>
        <row r="1063">
          <cell r="A1063">
            <v>29056</v>
          </cell>
          <cell r="B1063" t="str">
            <v>CORPORATION</v>
          </cell>
          <cell r="C1063" t="str">
            <v>Lider Ferramentas Ltda</v>
          </cell>
          <cell r="D1063" t="str">
            <v>Lider Tools</v>
          </cell>
          <cell r="E1063" t="str">
            <v>20.677.860</v>
          </cell>
          <cell r="F1063" t="str">
            <v>20.677.860/0001-71</v>
          </cell>
        </row>
        <row r="1064">
          <cell r="A1064">
            <v>29057</v>
          </cell>
          <cell r="B1064" t="str">
            <v>CORPORATION</v>
          </cell>
          <cell r="C1064" t="str">
            <v>Inovar Ferramentas &amp; Epis Eireli</v>
          </cell>
          <cell r="D1064" t="str">
            <v>Inovar Ferramentas &amp; Epis</v>
          </cell>
          <cell r="E1064" t="str">
            <v>32.340.340</v>
          </cell>
          <cell r="F1064" t="str">
            <v>32.340.340/0001-58</v>
          </cell>
          <cell r="G1064" t="str">
            <v>INOVAR</v>
          </cell>
        </row>
        <row r="1065">
          <cell r="A1065">
            <v>29059</v>
          </cell>
          <cell r="B1065" t="str">
            <v>CORPORATION</v>
          </cell>
          <cell r="C1065" t="str">
            <v>Estoril Parafusos E Pecas Ltda - Epp</v>
          </cell>
          <cell r="D1065" t="str">
            <v>Estoril Parafusos E Pecas Ltda - Epp</v>
          </cell>
          <cell r="E1065" t="str">
            <v>30.635.759</v>
          </cell>
          <cell r="F1065" t="str">
            <v>30.635.759/0001-01</v>
          </cell>
        </row>
        <row r="1066">
          <cell r="A1066">
            <v>29064</v>
          </cell>
          <cell r="B1066" t="str">
            <v>CORPORATION</v>
          </cell>
          <cell r="C1066" t="str">
            <v>Atibaia Maquinas E Ferramentas Ltda</v>
          </cell>
          <cell r="D1066" t="str">
            <v>Atibaia Maquinas E Ferramentas</v>
          </cell>
          <cell r="E1066" t="str">
            <v>16.579.679</v>
          </cell>
          <cell r="F1066" t="str">
            <v>16.579.679/0001-55</v>
          </cell>
        </row>
        <row r="1067">
          <cell r="A1067">
            <v>29065</v>
          </cell>
          <cell r="B1067" t="str">
            <v>CORPORATION</v>
          </cell>
          <cell r="C1067" t="str">
            <v>Maqsoldas Comercial Ltda</v>
          </cell>
          <cell r="D1067" t="str">
            <v>Maqsoldas Comercial</v>
          </cell>
          <cell r="E1067" t="str">
            <v>38.770.962</v>
          </cell>
          <cell r="F1067" t="str">
            <v>38.770.962/0001-00</v>
          </cell>
          <cell r="G1067" t="str">
            <v>MAQSOLDAS</v>
          </cell>
        </row>
        <row r="1068">
          <cell r="A1068">
            <v>29069</v>
          </cell>
          <cell r="B1068" t="str">
            <v>CORPORATION</v>
          </cell>
          <cell r="C1068" t="str">
            <v>Oxigenio Cuiaba Ltda</v>
          </cell>
          <cell r="D1068" t="str">
            <v>Oxigenio Cuiaba Ltda</v>
          </cell>
          <cell r="E1068" t="str">
            <v>01.390.442</v>
          </cell>
          <cell r="F1068" t="str">
            <v>01.390.442/0001-54</v>
          </cell>
        </row>
        <row r="1069">
          <cell r="A1069">
            <v>29071</v>
          </cell>
          <cell r="B1069" t="str">
            <v>CORPORATION</v>
          </cell>
          <cell r="C1069" t="str">
            <v>Auto Pecas M.J. Ltda. - Me</v>
          </cell>
          <cell r="D1069" t="str">
            <v>Boca Agricola</v>
          </cell>
          <cell r="E1069" t="str">
            <v>20.550.935</v>
          </cell>
          <cell r="F1069" t="str">
            <v>20.550.935/0001-59</v>
          </cell>
        </row>
        <row r="1070">
          <cell r="A1070">
            <v>29072</v>
          </cell>
          <cell r="B1070" t="str">
            <v>CORPORATION</v>
          </cell>
          <cell r="C1070" t="str">
            <v>Copafer Comercial Ltda</v>
          </cell>
          <cell r="D1070" t="str">
            <v>Copafer Comercial Ltda</v>
          </cell>
          <cell r="E1070" t="str">
            <v>55.728.224</v>
          </cell>
          <cell r="F1070" t="str">
            <v>55.728.224/0003-78</v>
          </cell>
          <cell r="G1070" t="str">
            <v>COPAFER</v>
          </cell>
        </row>
        <row r="1071">
          <cell r="A1071">
            <v>29073</v>
          </cell>
          <cell r="B1071" t="str">
            <v>CORPORATION</v>
          </cell>
          <cell r="C1071" t="str">
            <v>Ipamaquinas Comercio E Servicos Ltda</v>
          </cell>
          <cell r="D1071" t="str">
            <v>Ipamaquinas Comercio E Servicos Ltda</v>
          </cell>
          <cell r="E1071" t="str">
            <v>02.816.385</v>
          </cell>
          <cell r="F1071" t="str">
            <v>02.816.385/0001-95</v>
          </cell>
        </row>
        <row r="1072">
          <cell r="A1072">
            <v>29074</v>
          </cell>
          <cell r="B1072" t="str">
            <v>CORPORATION</v>
          </cell>
          <cell r="C1072" t="str">
            <v>Blfc Industria Servicos E Locacoes Da Construcao Civil Eireli</v>
          </cell>
          <cell r="D1072" t="str">
            <v>Inova Locacoes</v>
          </cell>
          <cell r="E1072" t="str">
            <v>17.652.524</v>
          </cell>
          <cell r="F1072" t="str">
            <v>17.652.524/0001-60</v>
          </cell>
        </row>
        <row r="1073">
          <cell r="A1073">
            <v>29075</v>
          </cell>
          <cell r="B1073" t="str">
            <v>CORPORATION</v>
          </cell>
          <cell r="C1073" t="str">
            <v>Copafer Comercial Ltda</v>
          </cell>
          <cell r="D1073" t="str">
            <v>Copafer Comercial Ltda</v>
          </cell>
          <cell r="E1073" t="str">
            <v>55.728.224</v>
          </cell>
          <cell r="F1073" t="str">
            <v>55.728.224/0004-59</v>
          </cell>
          <cell r="G1073" t="str">
            <v>COPAFER</v>
          </cell>
        </row>
        <row r="1074">
          <cell r="A1074">
            <v>29077</v>
          </cell>
          <cell r="B1074" t="str">
            <v>CORPORATION</v>
          </cell>
          <cell r="C1074" t="str">
            <v>Santos Ferramentas Ltda</v>
          </cell>
          <cell r="D1074" t="str">
            <v>Santos Ferramentas</v>
          </cell>
          <cell r="E1074" t="str">
            <v>02.910.710</v>
          </cell>
          <cell r="F1074" t="str">
            <v>02.910.710/0001-84</v>
          </cell>
        </row>
        <row r="1075">
          <cell r="A1075">
            <v>29079</v>
          </cell>
          <cell r="B1075" t="str">
            <v>CORPORATION</v>
          </cell>
          <cell r="C1075" t="str">
            <v>Locmaq Comercio E Servicos De Maquinas E Equipamentos Eireli</v>
          </cell>
          <cell r="D1075" t="str">
            <v>Locmaq</v>
          </cell>
          <cell r="E1075" t="str">
            <v>01.139.388</v>
          </cell>
          <cell r="F1075" t="str">
            <v>01.139.388/0001-79</v>
          </cell>
        </row>
        <row r="1076">
          <cell r="A1076">
            <v>29081</v>
          </cell>
          <cell r="B1076" t="str">
            <v>CORPORATION</v>
          </cell>
          <cell r="C1076" t="str">
            <v>Fabio Messias Borges - Me</v>
          </cell>
          <cell r="D1076" t="str">
            <v>Famaquinas Ferramentas Maquinas E Pneumaticos</v>
          </cell>
          <cell r="E1076" t="str">
            <v>04.376.510</v>
          </cell>
          <cell r="F1076" t="str">
            <v>04.376.510/0001-19</v>
          </cell>
        </row>
        <row r="1077">
          <cell r="A1077">
            <v>29084</v>
          </cell>
          <cell r="B1077" t="str">
            <v>CORPORATION</v>
          </cell>
          <cell r="C1077" t="str">
            <v>Hb Produtos Automotivos Ltda - Epp</v>
          </cell>
          <cell r="D1077" t="str">
            <v>Hb Produtos Automotivos Ltda - Epp</v>
          </cell>
          <cell r="E1077" t="str">
            <v>02.032.468</v>
          </cell>
          <cell r="F1077" t="str">
            <v>02.032.468/0001-93</v>
          </cell>
        </row>
        <row r="1078">
          <cell r="A1078">
            <v>29087</v>
          </cell>
          <cell r="B1078" t="str">
            <v>CORPORATION</v>
          </cell>
          <cell r="C1078" t="str">
            <v>Multhifer Maquinas, Ferragens E Ferramentas Ltda - Epp</v>
          </cell>
          <cell r="D1078" t="str">
            <v>Multhifer</v>
          </cell>
          <cell r="E1078" t="str">
            <v>08.909.912</v>
          </cell>
          <cell r="F1078" t="str">
            <v>08.909.912/0001-92</v>
          </cell>
        </row>
        <row r="1079">
          <cell r="A1079">
            <v>29091</v>
          </cell>
          <cell r="B1079" t="str">
            <v>CORPORATION</v>
          </cell>
          <cell r="C1079" t="str">
            <v>Megalux Comercio De Materiais Eletricos E Hidraulicos Ltda - Me</v>
          </cell>
          <cell r="D1079" t="str">
            <v>Megalux</v>
          </cell>
          <cell r="E1079" t="str">
            <v>08.169.783</v>
          </cell>
          <cell r="F1079" t="str">
            <v>08.169.783/0001-43</v>
          </cell>
        </row>
        <row r="1080">
          <cell r="A1080">
            <v>29097</v>
          </cell>
          <cell r="B1080" t="str">
            <v>CORPORATION</v>
          </cell>
          <cell r="C1080" t="str">
            <v>Exata Ferramentas Ltda</v>
          </cell>
          <cell r="D1080" t="str">
            <v>Exata Ferramentas</v>
          </cell>
          <cell r="E1080" t="str">
            <v>65.641.706</v>
          </cell>
          <cell r="F1080" t="str">
            <v>65.641.706/0001-88</v>
          </cell>
        </row>
        <row r="1081">
          <cell r="A1081">
            <v>29099</v>
          </cell>
          <cell r="B1081" t="str">
            <v>CORPORATION</v>
          </cell>
          <cell r="C1081" t="str">
            <v>Rp Facility Prestacao De Servicos Ltda</v>
          </cell>
          <cell r="D1081" t="str">
            <v>Rp Facility</v>
          </cell>
          <cell r="E1081" t="str">
            <v>46.208.023</v>
          </cell>
          <cell r="F1081" t="str">
            <v>46.208.023/0001-97</v>
          </cell>
        </row>
        <row r="1082">
          <cell r="A1082">
            <v>29100</v>
          </cell>
          <cell r="B1082" t="str">
            <v>CORPORATION</v>
          </cell>
          <cell r="C1082" t="str">
            <v>E.G.Comercio De Ferramentas Ltda - Me</v>
          </cell>
          <cell r="D1082" t="str">
            <v>Eg Ferramentas</v>
          </cell>
          <cell r="E1082" t="str">
            <v>09.161.971</v>
          </cell>
          <cell r="F1082" t="str">
            <v>09.161.971/0001-98</v>
          </cell>
        </row>
        <row r="1083">
          <cell r="A1083">
            <v>29101</v>
          </cell>
          <cell r="B1083" t="str">
            <v>CORPORATION</v>
          </cell>
          <cell r="C1083" t="str">
            <v>Imperio Comercio E Industria Importacao E Exportacao De Maquinas Eireli</v>
          </cell>
          <cell r="D1083" t="str">
            <v>Imperio Automatizadores</v>
          </cell>
          <cell r="E1083" t="str">
            <v>34.023.970</v>
          </cell>
          <cell r="F1083" t="str">
            <v>34.023.970/0001-24</v>
          </cell>
          <cell r="G1083" t="str">
            <v>IMPERIO DAS FERRAGENS</v>
          </cell>
        </row>
        <row r="1084">
          <cell r="A1084">
            <v>29102</v>
          </cell>
          <cell r="B1084" t="str">
            <v>CORPORATION</v>
          </cell>
          <cell r="C1084" t="str">
            <v>Casa Das Soldas E Abrasivos Vitoria Ltda</v>
          </cell>
          <cell r="D1084" t="str">
            <v>Casa Das Soldas E Abrasivos Vitoria Ltda</v>
          </cell>
          <cell r="E1084" t="str">
            <v>36.374.817</v>
          </cell>
          <cell r="F1084" t="str">
            <v>36.374.817/0001-77</v>
          </cell>
        </row>
        <row r="1085">
          <cell r="A1085">
            <v>29106</v>
          </cell>
          <cell r="B1085" t="str">
            <v>CORPORATION</v>
          </cell>
          <cell r="C1085" t="str">
            <v>Balardino &amp; Cia Ltda - Me</v>
          </cell>
          <cell r="D1085" t="str">
            <v>Balardino &amp; Cia Ltda - Me</v>
          </cell>
          <cell r="E1085" t="str">
            <v>05.688.677</v>
          </cell>
          <cell r="F1085" t="str">
            <v>05.688.677/0001-88</v>
          </cell>
        </row>
        <row r="1086">
          <cell r="A1086">
            <v>29109</v>
          </cell>
          <cell r="B1086" t="str">
            <v>CORPORATION</v>
          </cell>
          <cell r="C1086" t="str">
            <v>Bh Equipamentos Ltda - Me</v>
          </cell>
          <cell r="D1086" t="str">
            <v>Bh Equipamentos Ltda - Me</v>
          </cell>
          <cell r="E1086" t="str">
            <v>04.904.401</v>
          </cell>
          <cell r="F1086" t="str">
            <v>04.904.401/0001-27</v>
          </cell>
        </row>
        <row r="1087">
          <cell r="A1087">
            <v>29112</v>
          </cell>
          <cell r="B1087" t="str">
            <v>CORPORATION</v>
          </cell>
          <cell r="C1087" t="str">
            <v>Ed Maq Ltda</v>
          </cell>
          <cell r="D1087" t="str">
            <v>Ed Maq Ltda</v>
          </cell>
          <cell r="E1087" t="str">
            <v>40.562.080</v>
          </cell>
          <cell r="F1087" t="str">
            <v>40.562.080/0001-93</v>
          </cell>
          <cell r="G1087" t="str">
            <v>ED MAQ</v>
          </cell>
        </row>
        <row r="1088">
          <cell r="A1088">
            <v>29113</v>
          </cell>
          <cell r="B1088" t="str">
            <v>CORPORATION</v>
          </cell>
          <cell r="C1088" t="str">
            <v>Santos E Melo Tintas Ltda - Me</v>
          </cell>
          <cell r="D1088" t="str">
            <v>Santos E Melo Tintas Ltda - Me</v>
          </cell>
          <cell r="E1088" t="str">
            <v>06.783.885</v>
          </cell>
          <cell r="F1088" t="str">
            <v>06.783.885/0001-29</v>
          </cell>
        </row>
        <row r="1089">
          <cell r="A1089">
            <v>29115</v>
          </cell>
          <cell r="B1089" t="str">
            <v>CORPORATION</v>
          </cell>
          <cell r="C1089" t="str">
            <v>Maquisoldas Comercio De Tintas Ltda. - Epp</v>
          </cell>
          <cell r="D1089" t="str">
            <v>Maquisoldas Tintas</v>
          </cell>
          <cell r="E1089" t="str">
            <v>04.915.783</v>
          </cell>
          <cell r="F1089" t="str">
            <v>04.915.783/0001-94</v>
          </cell>
        </row>
        <row r="1090">
          <cell r="A1090">
            <v>29118</v>
          </cell>
          <cell r="B1090" t="str">
            <v>CORPORATION</v>
          </cell>
          <cell r="C1090" t="str">
            <v>Petroseg Offshore Eireli - Epp</v>
          </cell>
          <cell r="D1090" t="str">
            <v>Petroseg Offshore</v>
          </cell>
          <cell r="E1090" t="str">
            <v>11.015.602</v>
          </cell>
          <cell r="F1090" t="str">
            <v>11.015.602/0001-39</v>
          </cell>
        </row>
        <row r="1091">
          <cell r="A1091">
            <v>29120</v>
          </cell>
          <cell r="B1091" t="str">
            <v>CORPORATION</v>
          </cell>
          <cell r="C1091" t="str">
            <v>Reshmaq Ferramentas Ltda</v>
          </cell>
          <cell r="D1091" t="str">
            <v>Reshmaq Ferramentas Ltda</v>
          </cell>
          <cell r="E1091" t="str">
            <v>35.772.043</v>
          </cell>
          <cell r="F1091" t="str">
            <v>35.772.043/0001-70</v>
          </cell>
        </row>
        <row r="1092">
          <cell r="A1092">
            <v>29123</v>
          </cell>
          <cell r="B1092" t="str">
            <v>CORPORATION</v>
          </cell>
          <cell r="C1092" t="str">
            <v>Melo Comercio De Ferramentas E Abrasivos Ltda</v>
          </cell>
          <cell r="D1092" t="str">
            <v>Melo Comercio De Ferramentas E Abrasivos Ltda</v>
          </cell>
          <cell r="E1092" t="str">
            <v>79.953.857</v>
          </cell>
          <cell r="F1092" t="str">
            <v>79.953.857/0001-86</v>
          </cell>
        </row>
        <row r="1093">
          <cell r="A1093">
            <v>29126</v>
          </cell>
          <cell r="B1093" t="str">
            <v>CORPORATION</v>
          </cell>
          <cell r="C1093" t="str">
            <v>J.P.S.Soldagem Ltda - Epp</v>
          </cell>
          <cell r="D1093" t="str">
            <v>Jps Soldagem</v>
          </cell>
          <cell r="E1093" t="str">
            <v>01.162.624</v>
          </cell>
          <cell r="F1093" t="str">
            <v>01.162.624/0001-78</v>
          </cell>
        </row>
        <row r="1094">
          <cell r="A1094">
            <v>29130</v>
          </cell>
          <cell r="B1094" t="str">
            <v>CORPORATION</v>
          </cell>
          <cell r="C1094" t="str">
            <v>Eletrobarros Materiais Eletricos Ltda</v>
          </cell>
          <cell r="D1094" t="str">
            <v>Eletrobarros</v>
          </cell>
          <cell r="E1094" t="str">
            <v>82.462.250</v>
          </cell>
          <cell r="F1094" t="str">
            <v>82.462.250/0001-08</v>
          </cell>
        </row>
        <row r="1095">
          <cell r="A1095">
            <v>29133</v>
          </cell>
          <cell r="B1095" t="str">
            <v>CORPORATION</v>
          </cell>
          <cell r="C1095" t="str">
            <v>L. C. Soldas &amp; Servicos Ltda - Epp</v>
          </cell>
          <cell r="D1095" t="str">
            <v>Lc Soldas</v>
          </cell>
          <cell r="E1095" t="str">
            <v>10.233.206</v>
          </cell>
          <cell r="F1095" t="str">
            <v>10.233.206/0001-15</v>
          </cell>
        </row>
        <row r="1096">
          <cell r="A1096">
            <v>29134</v>
          </cell>
          <cell r="B1096" t="str">
            <v>CORPORATION</v>
          </cell>
          <cell r="C1096" t="str">
            <v>General Water Saneamento Ltda</v>
          </cell>
          <cell r="D1096" t="str">
            <v>General Water Saneamento Ltda</v>
          </cell>
          <cell r="E1096" t="str">
            <v>08.154.651</v>
          </cell>
          <cell r="F1096" t="str">
            <v>08.154.651/0001-48</v>
          </cell>
        </row>
        <row r="1097">
          <cell r="A1097">
            <v>29135</v>
          </cell>
          <cell r="B1097" t="str">
            <v>CORPORATION</v>
          </cell>
          <cell r="C1097" t="str">
            <v>Ferragens Sao Carlos Ltda</v>
          </cell>
          <cell r="D1097" t="str">
            <v>Ferragens Sao Carlos Ltda</v>
          </cell>
          <cell r="E1097" t="str">
            <v>03.426.623</v>
          </cell>
          <cell r="F1097" t="str">
            <v>03.426.623/0003-80</v>
          </cell>
        </row>
        <row r="1098">
          <cell r="A1098">
            <v>29136</v>
          </cell>
          <cell r="B1098" t="str">
            <v>CORPORATION</v>
          </cell>
          <cell r="C1098" t="str">
            <v>Eletroshop Materiais Eletricos E Ferragens Ltda - Me</v>
          </cell>
          <cell r="D1098" t="str">
            <v>Eletroshop</v>
          </cell>
          <cell r="E1098" t="str">
            <v>14.231.105</v>
          </cell>
          <cell r="F1098" t="str">
            <v>14.231.105/0001-66</v>
          </cell>
        </row>
        <row r="1099">
          <cell r="A1099">
            <v>29139</v>
          </cell>
          <cell r="B1099" t="str">
            <v>CORPORATION</v>
          </cell>
          <cell r="C1099" t="str">
            <v>J. Meira &amp; Cia Ltda - Epp</v>
          </cell>
          <cell r="D1099" t="str">
            <v>Trianorte Ferragens</v>
          </cell>
          <cell r="E1099" t="str">
            <v>79.805.172</v>
          </cell>
          <cell r="F1099" t="str">
            <v>79.805.172/0001-92</v>
          </cell>
          <cell r="G1099" t="str">
            <v>TRIANORTE</v>
          </cell>
        </row>
        <row r="1100">
          <cell r="A1100">
            <v>29142</v>
          </cell>
          <cell r="B1100" t="str">
            <v>CORPORATION</v>
          </cell>
          <cell r="C1100" t="str">
            <v>Artech Equipamentos E Ferramentas Ltda - Me</v>
          </cell>
          <cell r="D1100" t="str">
            <v>Artech Equipamentos E Ferramentas</v>
          </cell>
          <cell r="E1100" t="str">
            <v>12.001.567</v>
          </cell>
          <cell r="F1100" t="str">
            <v>12.001.567/0001-61</v>
          </cell>
        </row>
        <row r="1101">
          <cell r="A1101">
            <v>29143</v>
          </cell>
          <cell r="B1101" t="str">
            <v>CORPORATION</v>
          </cell>
          <cell r="C1101" t="str">
            <v>Cooperativa Dos Plantadores De Cana Do Estado Sao Paulo</v>
          </cell>
          <cell r="D1101" t="str">
            <v>Coplacana (Avaré)</v>
          </cell>
          <cell r="E1101" t="str">
            <v>54.366.547</v>
          </cell>
          <cell r="F1101" t="str">
            <v>54.366.547/0030-79</v>
          </cell>
          <cell r="G1101" t="str">
            <v>COPLACANA</v>
          </cell>
        </row>
        <row r="1102">
          <cell r="A1102">
            <v>29144</v>
          </cell>
          <cell r="B1102" t="str">
            <v>CORPORATION</v>
          </cell>
          <cell r="C1102" t="str">
            <v>Comercio De Abrasivos Erechim Ltda - Me</v>
          </cell>
          <cell r="D1102" t="str">
            <v>Abrasivos Erechim</v>
          </cell>
          <cell r="E1102" t="str">
            <v>08.304.400</v>
          </cell>
          <cell r="F1102" t="str">
            <v>08.304.400/0001-00</v>
          </cell>
        </row>
        <row r="1103">
          <cell r="A1103">
            <v>29147</v>
          </cell>
          <cell r="B1103" t="str">
            <v>CORPORATION</v>
          </cell>
          <cell r="C1103" t="str">
            <v>Daga &amp; Gallo Ltda - Epp</v>
          </cell>
          <cell r="D1103" t="str">
            <v>Auto Pecas Cacique</v>
          </cell>
          <cell r="E1103" t="str">
            <v>72.112.022</v>
          </cell>
          <cell r="F1103" t="str">
            <v>72.112.022/0001-54</v>
          </cell>
        </row>
        <row r="1104">
          <cell r="A1104">
            <v>29151</v>
          </cell>
          <cell r="B1104" t="str">
            <v>CORPORATION</v>
          </cell>
          <cell r="C1104" t="str">
            <v>Astemaq Coml E Tecnica De Ferramentas Eletricas Ltda - Epp</v>
          </cell>
          <cell r="D1104" t="str">
            <v>Astemaq</v>
          </cell>
          <cell r="E1104" t="str">
            <v>78.461.282</v>
          </cell>
          <cell r="F1104" t="str">
            <v>78.461.282/0001-11</v>
          </cell>
        </row>
        <row r="1105">
          <cell r="A1105">
            <v>29157</v>
          </cell>
          <cell r="B1105" t="str">
            <v>CORPORATION</v>
          </cell>
          <cell r="C1105" t="str">
            <v>Grupo Asa Empresarial Ltda - Epp</v>
          </cell>
          <cell r="D1105" t="str">
            <v>Grupo Asa Empresarial</v>
          </cell>
          <cell r="E1105" t="str">
            <v>08.017.578</v>
          </cell>
          <cell r="F1105" t="str">
            <v>08.017.578/0001-62</v>
          </cell>
        </row>
        <row r="1106">
          <cell r="A1106">
            <v>29159</v>
          </cell>
          <cell r="B1106" t="str">
            <v>CORPORATION</v>
          </cell>
          <cell r="C1106" t="str">
            <v>Carvalho, Favoretto &amp; Cia . Ltda - Me</v>
          </cell>
          <cell r="D1106" t="str">
            <v>Ferramentas Uniao</v>
          </cell>
          <cell r="E1106" t="str">
            <v>05.737.761</v>
          </cell>
          <cell r="F1106" t="str">
            <v>05.737.761/0001-44</v>
          </cell>
        </row>
        <row r="1107">
          <cell r="A1107">
            <v>29160</v>
          </cell>
          <cell r="B1107" t="str">
            <v>CORPORATION</v>
          </cell>
          <cell r="C1107" t="str">
            <v>C R Atacadista Ltda</v>
          </cell>
          <cell r="D1107" t="str">
            <v>Criart Shop</v>
          </cell>
          <cell r="E1107" t="str">
            <v>19.769.951</v>
          </cell>
          <cell r="F1107" t="str">
            <v>19.769.951/0001-58</v>
          </cell>
        </row>
        <row r="1108">
          <cell r="A1108">
            <v>29164</v>
          </cell>
          <cell r="B1108" t="str">
            <v>CORPORATION</v>
          </cell>
          <cell r="C1108" t="str">
            <v>Dorigo Materiais De Construcao Ltda - Epp</v>
          </cell>
          <cell r="D1108" t="str">
            <v>Casa Dorico</v>
          </cell>
          <cell r="E1108" t="str">
            <v>76.484.831</v>
          </cell>
          <cell r="F1108" t="str">
            <v>76.484.831/0001-48</v>
          </cell>
        </row>
        <row r="1109">
          <cell r="A1109">
            <v>29166</v>
          </cell>
          <cell r="B1109" t="str">
            <v>CORPORATION</v>
          </cell>
          <cell r="C1109" t="str">
            <v>Ock Distribuidora Sociedade Unipessoal Ltda</v>
          </cell>
          <cell r="D1109" t="str">
            <v>Kleiton Da Costa Oliveira</v>
          </cell>
          <cell r="E1109" t="str">
            <v>14.303.398</v>
          </cell>
          <cell r="F1109" t="str">
            <v>14.303.398/0001-40</v>
          </cell>
        </row>
        <row r="1110">
          <cell r="A1110">
            <v>29167</v>
          </cell>
          <cell r="B1110" t="str">
            <v>CORPORATION</v>
          </cell>
          <cell r="C1110" t="str">
            <v>Garcez Comercio Ltda - Epp</v>
          </cell>
          <cell r="D1110" t="str">
            <v>Pregão</v>
          </cell>
          <cell r="E1110" t="str">
            <v>83.334.904</v>
          </cell>
          <cell r="F1110" t="str">
            <v>83.334.904/0001-80</v>
          </cell>
          <cell r="G1110" t="str">
            <v>PREGÃO</v>
          </cell>
        </row>
        <row r="1111">
          <cell r="A1111">
            <v>29168</v>
          </cell>
          <cell r="B1111" t="str">
            <v>CORPORATION</v>
          </cell>
          <cell r="C1111" t="str">
            <v>Ewertools Ferramentas E Acessorios Ltda</v>
          </cell>
          <cell r="D1111" t="str">
            <v>Price Tools Acessorios E Ferramentas</v>
          </cell>
          <cell r="E1111" t="str">
            <v>30.499.025</v>
          </cell>
          <cell r="F1111" t="str">
            <v>30.499.025/0001-42</v>
          </cell>
        </row>
        <row r="1112">
          <cell r="A1112">
            <v>29169</v>
          </cell>
          <cell r="B1112" t="str">
            <v>CORPORATION</v>
          </cell>
          <cell r="C1112" t="str">
            <v>S A Comercio De Materiais De Construcao Ltda</v>
          </cell>
          <cell r="D1112" t="str">
            <v>Casafer</v>
          </cell>
          <cell r="E1112" t="str">
            <v>28.137.691</v>
          </cell>
          <cell r="F1112" t="str">
            <v>28.137.691/0001-99</v>
          </cell>
        </row>
        <row r="1113">
          <cell r="A1113">
            <v>29170</v>
          </cell>
          <cell r="B1113" t="str">
            <v>CORPORATION</v>
          </cell>
          <cell r="C1113" t="str">
            <v>Vilmar Kovalski &amp; Cia Ltda - Me</v>
          </cell>
          <cell r="D1113" t="str">
            <v>Vilmar Ferramentas</v>
          </cell>
          <cell r="E1113" t="str">
            <v>14.226.510</v>
          </cell>
          <cell r="F1113" t="str">
            <v>14.226.510/0001-96</v>
          </cell>
        </row>
        <row r="1114">
          <cell r="A1114">
            <v>29171</v>
          </cell>
          <cell r="B1114" t="str">
            <v>CORPORATION</v>
          </cell>
          <cell r="C1114" t="str">
            <v>Sos Parafusos &amp; Ferramentas Ltda</v>
          </cell>
          <cell r="D1114" t="str">
            <v>Sos Parafusos &amp; Ferramentas</v>
          </cell>
          <cell r="E1114" t="str">
            <v>40.146.547</v>
          </cell>
          <cell r="F1114" t="str">
            <v>40.146.547/0001-14</v>
          </cell>
        </row>
        <row r="1115">
          <cell r="A1115">
            <v>29172</v>
          </cell>
          <cell r="B1115" t="str">
            <v>CORPORATION</v>
          </cell>
          <cell r="C1115" t="str">
            <v>Dinamac - Distribuidora Nacional De Maquinas Ltda - Epp</v>
          </cell>
          <cell r="D1115" t="str">
            <v>Dinamac - Distribuidora Nacional De Maquinas Ltda - Epp</v>
          </cell>
          <cell r="E1115" t="str">
            <v>09.642.526</v>
          </cell>
          <cell r="F1115" t="str">
            <v>09.642.526/0001-40</v>
          </cell>
        </row>
        <row r="1116">
          <cell r="A1116">
            <v>29173</v>
          </cell>
          <cell r="B1116" t="str">
            <v>CORPORATION</v>
          </cell>
          <cell r="C1116" t="str">
            <v>Am Epi Equipamento De Seguranca Ltda</v>
          </cell>
          <cell r="D1116" t="str">
            <v>Am Epi Equipamentos De Seguranca</v>
          </cell>
          <cell r="E1116" t="str">
            <v>37.374.365</v>
          </cell>
          <cell r="F1116" t="str">
            <v>37.374.365/0001-96</v>
          </cell>
        </row>
        <row r="1117">
          <cell r="A1117">
            <v>29174</v>
          </cell>
          <cell r="B1117" t="str">
            <v>CORPORATION</v>
          </cell>
          <cell r="C1117" t="str">
            <v>Apslog Logistica Ltda - Epp</v>
          </cell>
          <cell r="D1117" t="str">
            <v>Apslog</v>
          </cell>
          <cell r="E1117" t="str">
            <v>07.883.423</v>
          </cell>
          <cell r="F1117" t="str">
            <v>07.883.423/0001-46</v>
          </cell>
        </row>
        <row r="1118">
          <cell r="A1118">
            <v>29175</v>
          </cell>
          <cell r="B1118" t="str">
            <v>CORPORATION</v>
          </cell>
          <cell r="C1118" t="str">
            <v>Gurgelmix Maquinas E Ferramentas S.A.</v>
          </cell>
          <cell r="D1118" t="str">
            <v>Loja Do Mecanico (Cabo De Santo)</v>
          </cell>
          <cell r="E1118" t="str">
            <v>29.302.348</v>
          </cell>
          <cell r="F1118" t="str">
            <v>29.302.348/0005-49</v>
          </cell>
          <cell r="G1118" t="str">
            <v>GURGEL</v>
          </cell>
        </row>
        <row r="1119">
          <cell r="A1119">
            <v>29176</v>
          </cell>
          <cell r="B1119" t="str">
            <v>CORPORATION</v>
          </cell>
          <cell r="C1119" t="str">
            <v>O Ponto Das Ferragens Ltda</v>
          </cell>
          <cell r="D1119" t="str">
            <v>O Ponto Das Ferragens</v>
          </cell>
          <cell r="E1119" t="str">
            <v>06.313.101</v>
          </cell>
          <cell r="F1119" t="str">
            <v>06.313.101/0001-07</v>
          </cell>
        </row>
        <row r="1120">
          <cell r="A1120">
            <v>29177</v>
          </cell>
          <cell r="B1120" t="str">
            <v>CORPORATION</v>
          </cell>
          <cell r="C1120" t="str">
            <v>Mauro Antonio Miranda &amp; Cia Ltda - Me</v>
          </cell>
          <cell r="D1120" t="str">
            <v>Gassolda</v>
          </cell>
          <cell r="E1120" t="str">
            <v>96.450.655</v>
          </cell>
          <cell r="F1120" t="str">
            <v>96.450.655/0001-30</v>
          </cell>
        </row>
        <row r="1121">
          <cell r="A1121">
            <v>29179</v>
          </cell>
          <cell r="B1121" t="str">
            <v>CORPORATION</v>
          </cell>
          <cell r="C1121" t="str">
            <v>Opcao Ferraz Ferragista Ltda</v>
          </cell>
          <cell r="D1121" t="str">
            <v>Opcao Ferraz Ferragista</v>
          </cell>
          <cell r="E1121" t="str">
            <v>04.588.580</v>
          </cell>
          <cell r="F1121" t="str">
            <v>04.588.580/0001-30</v>
          </cell>
        </row>
        <row r="1122">
          <cell r="A1122">
            <v>29180</v>
          </cell>
          <cell r="B1122" t="str">
            <v>CORPORATION</v>
          </cell>
          <cell r="C1122" t="str">
            <v>Ac Parafusos Ltda</v>
          </cell>
          <cell r="D1122" t="str">
            <v>Ac Parafusos</v>
          </cell>
          <cell r="E1122" t="str">
            <v>70.985.361</v>
          </cell>
          <cell r="F1122" t="str">
            <v>70.985.361/0001-10</v>
          </cell>
        </row>
        <row r="1123">
          <cell r="A1123">
            <v>29186</v>
          </cell>
          <cell r="B1123" t="str">
            <v>CORPORATION</v>
          </cell>
          <cell r="C1123" t="str">
            <v>Usefix Universal Soldas E Fixacao Ltda</v>
          </cell>
          <cell r="D1123" t="str">
            <v>Usefix</v>
          </cell>
          <cell r="E1123" t="str">
            <v>00.492.387</v>
          </cell>
          <cell r="F1123" t="str">
            <v>00.492.387/0001-40</v>
          </cell>
        </row>
        <row r="1124">
          <cell r="A1124">
            <v>29188</v>
          </cell>
          <cell r="B1124" t="str">
            <v>CORPORATION</v>
          </cell>
          <cell r="C1124" t="str">
            <v>Mancel Eletromecanica Ltda - Me</v>
          </cell>
          <cell r="D1124" t="str">
            <v>Mancel Eletromecanica Ltda - Me</v>
          </cell>
          <cell r="E1124" t="str">
            <v>06.235.861</v>
          </cell>
          <cell r="F1124" t="str">
            <v>06.235.861/0001-35</v>
          </cell>
        </row>
        <row r="1125">
          <cell r="A1125">
            <v>29189</v>
          </cell>
          <cell r="B1125" t="str">
            <v>CORPORATION</v>
          </cell>
          <cell r="C1125" t="str">
            <v>Francisco De Assis Freires De Paulo 69071578453</v>
          </cell>
          <cell r="D1125" t="str">
            <v>Gemac</v>
          </cell>
          <cell r="E1125" t="str">
            <v>41.259.800</v>
          </cell>
          <cell r="F1125" t="str">
            <v>41.259.800/0001-09</v>
          </cell>
          <cell r="G1125" t="str">
            <v>GEMAC</v>
          </cell>
        </row>
        <row r="1126">
          <cell r="A1126">
            <v>29191</v>
          </cell>
          <cell r="B1126" t="str">
            <v>CORPORATION</v>
          </cell>
          <cell r="C1126" t="str">
            <v>Comercial Do E.P.I E Soldas Ltda - Me</v>
          </cell>
          <cell r="D1126" t="str">
            <v>Loja Do E.P.I. E Soldas</v>
          </cell>
          <cell r="E1126" t="str">
            <v>12.293.834</v>
          </cell>
          <cell r="F1126" t="str">
            <v>12.293.834/0001-11</v>
          </cell>
        </row>
        <row r="1127">
          <cell r="A1127">
            <v>29194</v>
          </cell>
          <cell r="B1127" t="str">
            <v>CORPORATION</v>
          </cell>
          <cell r="C1127" t="str">
            <v>Icm - Integracao Comercial De Materiais E Produtos Ltda - Me</v>
          </cell>
          <cell r="D1127" t="str">
            <v>Icm Comercio De Metais</v>
          </cell>
          <cell r="E1127" t="str">
            <v>00.138.062</v>
          </cell>
          <cell r="F1127" t="str">
            <v>00.138.062/0001-64</v>
          </cell>
        </row>
        <row r="1128">
          <cell r="A1128">
            <v>29197</v>
          </cell>
          <cell r="B1128" t="str">
            <v>CORPORATION</v>
          </cell>
          <cell r="C1128" t="str">
            <v>Soldamil Gases E Equipamentos Ltda - Epp</v>
          </cell>
          <cell r="D1128" t="str">
            <v>Soldamil</v>
          </cell>
          <cell r="E1128" t="str">
            <v>84.813.021</v>
          </cell>
          <cell r="F1128" t="str">
            <v>84.813.021/0001-16</v>
          </cell>
        </row>
        <row r="1129">
          <cell r="A1129">
            <v>29200</v>
          </cell>
          <cell r="B1129" t="str">
            <v>CORPORATION</v>
          </cell>
          <cell r="C1129" t="str">
            <v>Oxitecnica Ltda - Me</v>
          </cell>
          <cell r="D1129" t="str">
            <v>Oxitecnica Ltda</v>
          </cell>
          <cell r="E1129" t="str">
            <v>02.533.533</v>
          </cell>
          <cell r="F1129" t="str">
            <v>02.533.533/0001-64</v>
          </cell>
        </row>
        <row r="1130">
          <cell r="A1130">
            <v>29203</v>
          </cell>
          <cell r="B1130" t="str">
            <v>CORPORATION</v>
          </cell>
          <cell r="C1130" t="str">
            <v>Soldaseg Equipamentos De Solda E Seguranca Ltda - Epp</v>
          </cell>
          <cell r="D1130" t="str">
            <v>Soldaseg</v>
          </cell>
          <cell r="E1130" t="str">
            <v>05.325.559</v>
          </cell>
          <cell r="F1130" t="str">
            <v>05.325.559/0001-05</v>
          </cell>
        </row>
        <row r="1131">
          <cell r="A1131">
            <v>29206</v>
          </cell>
          <cell r="B1131" t="str">
            <v>CORPORATION</v>
          </cell>
          <cell r="C1131" t="str">
            <v>Comprimir Comercial Ltda - Me</v>
          </cell>
          <cell r="D1131" t="str">
            <v>Comprimir Comercial Ltda - Me</v>
          </cell>
          <cell r="E1131" t="str">
            <v>71.421.838</v>
          </cell>
          <cell r="F1131" t="str">
            <v>71.421.838/0001-05</v>
          </cell>
        </row>
        <row r="1132">
          <cell r="A1132">
            <v>29209</v>
          </cell>
          <cell r="B1132" t="str">
            <v>CORPORATION</v>
          </cell>
          <cell r="C1132" t="str">
            <v>Euro Tintas Ltda - Me</v>
          </cell>
          <cell r="D1132" t="str">
            <v>Euro Tintas</v>
          </cell>
          <cell r="E1132" t="str">
            <v>05.694.712</v>
          </cell>
          <cell r="F1132" t="str">
            <v>05.694.712/0001-71</v>
          </cell>
        </row>
        <row r="1133">
          <cell r="A1133">
            <v>29212</v>
          </cell>
          <cell r="B1133" t="str">
            <v>CORPORATION</v>
          </cell>
          <cell r="C1133" t="str">
            <v>Mundifer Distribuidora De Ferramentas E Parafusos Ltda - Me</v>
          </cell>
          <cell r="D1133" t="str">
            <v>Mundifer Distribuidora De Ferramentas E Parafusos Ltda</v>
          </cell>
          <cell r="E1133" t="str">
            <v>12.346.710</v>
          </cell>
          <cell r="F1133" t="str">
            <v>12.346.710/0001-57</v>
          </cell>
        </row>
        <row r="1134">
          <cell r="A1134">
            <v>29215</v>
          </cell>
          <cell r="B1134" t="str">
            <v>CORPORATION</v>
          </cell>
          <cell r="C1134" t="str">
            <v>Powdertech Comercio De Pecas E Equipamentos Para Pintura E Importacao E Fabricacao Ltda - Me</v>
          </cell>
          <cell r="D1134" t="str">
            <v>Powdertech Comercio De Pecas E Equipamentos Para Pintura E Importacao E Fabricacao Ltda - Me</v>
          </cell>
          <cell r="E1134" t="str">
            <v>06.997.610</v>
          </cell>
          <cell r="F1134" t="str">
            <v>06.997.610/0001-98</v>
          </cell>
        </row>
        <row r="1135">
          <cell r="A1135">
            <v>29217</v>
          </cell>
          <cell r="B1135" t="str">
            <v>CORPORATION</v>
          </cell>
          <cell r="C1135" t="str">
            <v>Anc Ferramentas Ltda</v>
          </cell>
          <cell r="D1135" t="str">
            <v>Casa Do Parafuso</v>
          </cell>
          <cell r="E1135" t="str">
            <v>31.318.553</v>
          </cell>
          <cell r="F1135" t="str">
            <v>31.318.553/0001-10</v>
          </cell>
        </row>
        <row r="1136">
          <cell r="A1136">
            <v>29218</v>
          </cell>
          <cell r="B1136" t="str">
            <v>CORPORATION</v>
          </cell>
          <cell r="C1136" t="str">
            <v>Pereira E Faversani Ltda - Me</v>
          </cell>
          <cell r="D1136" t="str">
            <v>Pereira E Faversani Ltda - Me</v>
          </cell>
          <cell r="E1136" t="str">
            <v>84.824.861</v>
          </cell>
          <cell r="F1136" t="str">
            <v>84.824.861/0001-84</v>
          </cell>
        </row>
        <row r="1137">
          <cell r="A1137">
            <v>29220</v>
          </cell>
          <cell r="B1137" t="str">
            <v>CORPORATION</v>
          </cell>
          <cell r="C1137" t="str">
            <v>Maria Do Socorro Faustina Silva 14500815767</v>
          </cell>
          <cell r="D1137" t="str">
            <v>Mecanica &amp; Autopecas Rizzi</v>
          </cell>
          <cell r="E1137" t="str">
            <v>33.548.867</v>
          </cell>
          <cell r="F1137" t="str">
            <v>33.548.867/0001-35</v>
          </cell>
        </row>
        <row r="1138">
          <cell r="A1138">
            <v>29221</v>
          </cell>
          <cell r="B1138" t="str">
            <v>CORPORATION</v>
          </cell>
          <cell r="C1138" t="str">
            <v>Premier Comercio De Parafusos E Ferragens Ltda. - Me</v>
          </cell>
          <cell r="D1138" t="str">
            <v>Premier Parafusos &amp; Ferragens</v>
          </cell>
          <cell r="E1138" t="str">
            <v>08.809.995</v>
          </cell>
          <cell r="F1138" t="str">
            <v>08.809.995/0001-48</v>
          </cell>
          <cell r="G1138" t="str">
            <v>PREMIER PARAFUSOS</v>
          </cell>
        </row>
        <row r="1139">
          <cell r="A1139">
            <v>29225</v>
          </cell>
          <cell r="B1139" t="str">
            <v>CORPORATION</v>
          </cell>
          <cell r="C1139" t="str">
            <v>Zaipo Equipamentos E Ferramentas Ltda</v>
          </cell>
          <cell r="D1139" t="str">
            <v>Zaipo Equipamentos E Ferramentas Ltda</v>
          </cell>
          <cell r="E1139" t="str">
            <v>08.858.579</v>
          </cell>
          <cell r="F1139" t="str">
            <v>08.858.579/0001-30</v>
          </cell>
        </row>
        <row r="1140">
          <cell r="A1140">
            <v>29226</v>
          </cell>
          <cell r="B1140" t="str">
            <v>CORPORATION</v>
          </cell>
          <cell r="C1140" t="str">
            <v>Java Comercial De Ferramentas Ltda</v>
          </cell>
          <cell r="D1140" t="str">
            <v>Java Comercial De Ferramentas Ltda</v>
          </cell>
          <cell r="E1140" t="str">
            <v>08.660.163</v>
          </cell>
          <cell r="F1140" t="str">
            <v>08.660.163/0001-02</v>
          </cell>
        </row>
        <row r="1141">
          <cell r="A1141">
            <v>29228</v>
          </cell>
          <cell r="B1141" t="str">
            <v>CORPORATION</v>
          </cell>
          <cell r="C1141" t="str">
            <v>Oximille Comercio De Gases Ltda - Me</v>
          </cell>
          <cell r="D1141" t="str">
            <v>Oximille Comercio De Gases Ltda - Me</v>
          </cell>
          <cell r="E1141" t="str">
            <v>68.851.401</v>
          </cell>
          <cell r="F1141" t="str">
            <v>68.851.401/0001-99</v>
          </cell>
        </row>
        <row r="1142">
          <cell r="A1142">
            <v>29231</v>
          </cell>
          <cell r="B1142" t="str">
            <v>CORPORATION</v>
          </cell>
          <cell r="C1142" t="str">
            <v>A.Bettega Comercial Eireli - Epp</v>
          </cell>
          <cell r="D1142" t="str">
            <v>A.Bettega Comercial Eireli - Epp</v>
          </cell>
          <cell r="E1142" t="str">
            <v>72.557.572</v>
          </cell>
          <cell r="F1142" t="str">
            <v>72.557.572/0001-87</v>
          </cell>
        </row>
        <row r="1143">
          <cell r="A1143">
            <v>29234</v>
          </cell>
          <cell r="B1143" t="str">
            <v>CORPORATION</v>
          </cell>
          <cell r="C1143" t="str">
            <v>Ed Soldas Comercio De Maquinas Ltda - Me</v>
          </cell>
          <cell r="D1143" t="str">
            <v>Ed Soldas</v>
          </cell>
          <cell r="E1143" t="str">
            <v>01.581.992</v>
          </cell>
          <cell r="F1143" t="str">
            <v>01.581.992/0001-50</v>
          </cell>
        </row>
        <row r="1144">
          <cell r="A1144">
            <v>29237</v>
          </cell>
          <cell r="B1144" t="str">
            <v>CORPORATION</v>
          </cell>
          <cell r="C1144" t="str">
            <v>Jm Industria E Comercio De Pecas Agricolas Eireli - Me</v>
          </cell>
          <cell r="D1144" t="str">
            <v>Jm Industria E Comercio De Pecas Agricola</v>
          </cell>
          <cell r="E1144" t="str">
            <v>19.837.243</v>
          </cell>
          <cell r="F1144" t="str">
            <v>19.837.243/0001-07</v>
          </cell>
        </row>
        <row r="1145">
          <cell r="A1145">
            <v>29240</v>
          </cell>
          <cell r="B1145" t="str">
            <v>CORPORATION</v>
          </cell>
          <cell r="C1145" t="str">
            <v>Distribuidora Grande Rio Ltda - Epp</v>
          </cell>
          <cell r="D1145" t="str">
            <v>Distribuidora Grande Rio</v>
          </cell>
          <cell r="E1145" t="str">
            <v>04.960.609</v>
          </cell>
          <cell r="F1145" t="str">
            <v>04.960.609/0001-63</v>
          </cell>
        </row>
        <row r="1146">
          <cell r="A1146">
            <v>29243</v>
          </cell>
          <cell r="B1146" t="str">
            <v>CORPORATION</v>
          </cell>
          <cell r="C1146" t="str">
            <v>Mega Mottim Tools Ltda - Me</v>
          </cell>
          <cell r="D1146" t="str">
            <v>Mega Ferramentas</v>
          </cell>
          <cell r="E1146" t="str">
            <v>10.282.054</v>
          </cell>
          <cell r="F1146" t="str">
            <v>10.282.054/0001-40</v>
          </cell>
        </row>
        <row r="1147">
          <cell r="A1147">
            <v>29245</v>
          </cell>
          <cell r="B1147" t="str">
            <v>CORPORATION</v>
          </cell>
          <cell r="C1147" t="str">
            <v>Macol Acessorios Industriais Ltda</v>
          </cell>
          <cell r="D1147" t="str">
            <v>Macol</v>
          </cell>
          <cell r="E1147" t="str">
            <v>06.012.334</v>
          </cell>
          <cell r="F1147" t="str">
            <v>06.012.334/0001-61</v>
          </cell>
        </row>
        <row r="1148">
          <cell r="A1148">
            <v>29246</v>
          </cell>
          <cell r="B1148" t="str">
            <v>CORPORATION</v>
          </cell>
          <cell r="C1148" t="str">
            <v>T.J.M. Ferramentas E Locacoes Ltda - Epp</v>
          </cell>
          <cell r="D1148" t="str">
            <v>Vendasloc</v>
          </cell>
          <cell r="E1148" t="str">
            <v>12.124.313</v>
          </cell>
          <cell r="F1148" t="str">
            <v>12.124.313/0001-30</v>
          </cell>
        </row>
        <row r="1149">
          <cell r="A1149">
            <v>29248</v>
          </cell>
          <cell r="B1149" t="str">
            <v>CORPORATION</v>
          </cell>
          <cell r="C1149" t="str">
            <v>Jotin Comercio De Soldas E Maquinas Ltda - Me</v>
          </cell>
          <cell r="D1149" t="str">
            <v>Soldas E Maquinas Jotin</v>
          </cell>
          <cell r="E1149" t="str">
            <v>81.900.359</v>
          </cell>
          <cell r="F1149" t="str">
            <v>81.900.359/0001-17</v>
          </cell>
        </row>
        <row r="1150">
          <cell r="A1150">
            <v>29249</v>
          </cell>
          <cell r="B1150" t="str">
            <v>CORPORATION</v>
          </cell>
          <cell r="C1150" t="str">
            <v>Gs Comercial Ltda</v>
          </cell>
          <cell r="D1150" t="str">
            <v>Gs Distribuidora</v>
          </cell>
          <cell r="E1150" t="str">
            <v>41.394.384</v>
          </cell>
          <cell r="F1150" t="str">
            <v>41.394.384/0001-51</v>
          </cell>
        </row>
        <row r="1151">
          <cell r="A1151">
            <v>29251</v>
          </cell>
          <cell r="B1151" t="str">
            <v>CORPORATION</v>
          </cell>
          <cell r="C1151" t="str">
            <v>Ferragens Metrofer Ltda - Epp</v>
          </cell>
          <cell r="D1151" t="str">
            <v>Ferragens Metrofer Ltda - Epp</v>
          </cell>
          <cell r="E1151" t="str">
            <v>02.030.045</v>
          </cell>
          <cell r="F1151" t="str">
            <v>02.030.045/0001-34</v>
          </cell>
        </row>
        <row r="1152">
          <cell r="A1152">
            <v>29256</v>
          </cell>
          <cell r="B1152" t="str">
            <v>CORPORATION</v>
          </cell>
          <cell r="C1152" t="str">
            <v>Sos Soldas - Eireli</v>
          </cell>
          <cell r="D1152" t="str">
            <v>Sos Solucoes Em Soldas</v>
          </cell>
          <cell r="E1152" t="str">
            <v>27.522.362</v>
          </cell>
          <cell r="F1152" t="str">
            <v>27.522.362/0001-07</v>
          </cell>
        </row>
        <row r="1153">
          <cell r="A1153">
            <v>29257</v>
          </cell>
          <cell r="B1153" t="str">
            <v>CORPORATION</v>
          </cell>
          <cell r="C1153" t="str">
            <v>Cefeq Ferramentas Ltda</v>
          </cell>
          <cell r="D1153" t="str">
            <v>Cefeq</v>
          </cell>
          <cell r="E1153" t="str">
            <v>01.569.856</v>
          </cell>
          <cell r="F1153" t="str">
            <v>01.569.856/0001-45</v>
          </cell>
        </row>
        <row r="1154">
          <cell r="A1154">
            <v>29259</v>
          </cell>
          <cell r="B1154" t="str">
            <v>CORPORATION</v>
          </cell>
          <cell r="C1154" t="str">
            <v>Cardoso &amp; Saito Ltda</v>
          </cell>
          <cell r="D1154" t="str">
            <v>Ferramentas Londrina - Ferralon</v>
          </cell>
          <cell r="E1154" t="str">
            <v>01.949.116</v>
          </cell>
          <cell r="F1154" t="str">
            <v>01.949.116/0001-34</v>
          </cell>
        </row>
        <row r="1155">
          <cell r="A1155">
            <v>29262</v>
          </cell>
          <cell r="B1155" t="str">
            <v>CORPORATION</v>
          </cell>
          <cell r="C1155" t="str">
            <v>Comercial De Ferragens Cofebral Ltda</v>
          </cell>
          <cell r="D1155" t="str">
            <v>Cofebral</v>
          </cell>
          <cell r="E1155" t="str">
            <v>79.146.742</v>
          </cell>
          <cell r="F1155" t="str">
            <v>79.146.742/0001-80</v>
          </cell>
        </row>
        <row r="1156">
          <cell r="A1156">
            <v>29263</v>
          </cell>
          <cell r="B1156" t="str">
            <v>CORPORATION</v>
          </cell>
          <cell r="C1156" t="str">
            <v>Caroline De F. F. C. Penteado Equipamentos De Protecao Individual</v>
          </cell>
          <cell r="D1156" t="str">
            <v>Crivelenti Penteado Distribuidora De Epi</v>
          </cell>
          <cell r="E1156" t="str">
            <v>36.987.464</v>
          </cell>
          <cell r="F1156" t="str">
            <v>36.987.464/0001-80</v>
          </cell>
        </row>
        <row r="1157">
          <cell r="A1157">
            <v>29265</v>
          </cell>
          <cell r="B1157" t="str">
            <v>CORPORATION</v>
          </cell>
          <cell r="C1157" t="str">
            <v>Balaroti - Comercio De Materiais De Construcao S.A</v>
          </cell>
          <cell r="D1157" t="str">
            <v>Balaroti</v>
          </cell>
          <cell r="E1157" t="str">
            <v>77.044.618</v>
          </cell>
          <cell r="F1157" t="str">
            <v>77.044.618/0001-88</v>
          </cell>
        </row>
        <row r="1158">
          <cell r="A1158">
            <v>29267</v>
          </cell>
          <cell r="B1158" t="str">
            <v>CORPORATION</v>
          </cell>
          <cell r="C1158" t="str">
            <v>Solda Mig Comercio E Servicos Ltda</v>
          </cell>
          <cell r="D1158" t="str">
            <v>Soldamig</v>
          </cell>
          <cell r="E1158" t="str">
            <v>02.321.765</v>
          </cell>
          <cell r="F1158" t="str">
            <v>02.321.765/0001-59</v>
          </cell>
        </row>
        <row r="1159">
          <cell r="A1159">
            <v>29268</v>
          </cell>
          <cell r="B1159" t="str">
            <v>CORPORATION</v>
          </cell>
          <cell r="C1159" t="str">
            <v>Fixxopar Distribuidora De Parafusos Ltda - Epp</v>
          </cell>
          <cell r="D1159" t="str">
            <v>Fixxopar Distribuidora</v>
          </cell>
          <cell r="E1159" t="str">
            <v>01.927.507</v>
          </cell>
          <cell r="F1159" t="str">
            <v>01.927.507/0001-58</v>
          </cell>
        </row>
        <row r="1160">
          <cell r="A1160">
            <v>29271</v>
          </cell>
          <cell r="B1160" t="str">
            <v>CORPORATION</v>
          </cell>
          <cell r="C1160" t="str">
            <v>Lmv Maquinas E Servicos Ltda</v>
          </cell>
          <cell r="D1160" t="str">
            <v>Maqcenter</v>
          </cell>
          <cell r="E1160" t="str">
            <v>10.228.231</v>
          </cell>
          <cell r="F1160" t="str">
            <v>10.228.231/0001-00</v>
          </cell>
          <cell r="G1160" t="str">
            <v>MAQSERV</v>
          </cell>
        </row>
        <row r="1161">
          <cell r="A1161">
            <v>29273</v>
          </cell>
          <cell r="B1161" t="str">
            <v>CORPORATION</v>
          </cell>
          <cell r="C1161" t="str">
            <v>Ferragista Resende Ltda</v>
          </cell>
          <cell r="D1161" t="str">
            <v>Ferragista Resende Ltda</v>
          </cell>
          <cell r="E1161" t="str">
            <v>00.424.719</v>
          </cell>
          <cell r="F1161" t="str">
            <v>00.424.719/0001-50</v>
          </cell>
        </row>
        <row r="1162">
          <cell r="A1162">
            <v>29275</v>
          </cell>
          <cell r="B1162" t="str">
            <v>CORPORATION</v>
          </cell>
          <cell r="C1162" t="str">
            <v>Lmv Maquinas E Servicos Ltda</v>
          </cell>
          <cell r="D1162" t="str">
            <v>Maqserv</v>
          </cell>
          <cell r="E1162" t="str">
            <v>10.228.231</v>
          </cell>
          <cell r="F1162" t="str">
            <v>10.228.231/0002-91</v>
          </cell>
          <cell r="G1162" t="str">
            <v>MAQSERV</v>
          </cell>
        </row>
        <row r="1163">
          <cell r="A1163">
            <v>29276</v>
          </cell>
          <cell r="B1163" t="str">
            <v>CORPORATION</v>
          </cell>
          <cell r="C1163" t="str">
            <v>Cesario &amp; Carvalho Comercio Ltda - Me</v>
          </cell>
          <cell r="D1163" t="str">
            <v>Casa Forte</v>
          </cell>
          <cell r="E1163" t="str">
            <v>04.781.567</v>
          </cell>
          <cell r="F1163" t="str">
            <v>04.781.567/0001-01</v>
          </cell>
        </row>
        <row r="1164">
          <cell r="A1164">
            <v>29279</v>
          </cell>
          <cell r="B1164" t="str">
            <v>CORPORATION</v>
          </cell>
          <cell r="C1164" t="str">
            <v>Imperio Ferragens E Parafusos Ltda - Epp</v>
          </cell>
          <cell r="D1164" t="str">
            <v>Imperio Ferragens E Parafusos Ltda - Epp</v>
          </cell>
          <cell r="E1164" t="str">
            <v>71.023.048</v>
          </cell>
          <cell r="F1164" t="str">
            <v>71.023.048/0001-63</v>
          </cell>
        </row>
        <row r="1165">
          <cell r="A1165">
            <v>29281</v>
          </cell>
          <cell r="B1165" t="str">
            <v>CORPORATION</v>
          </cell>
          <cell r="C1165" t="str">
            <v>Lojas Quero-Quero S.A.</v>
          </cell>
          <cell r="D1165" t="str">
            <v>Lojas Quero-Quero</v>
          </cell>
          <cell r="E1165" t="str">
            <v>96.418.264</v>
          </cell>
          <cell r="F1165" t="str">
            <v>96.418.264/0509-00</v>
          </cell>
          <cell r="G1165" t="str">
            <v>QUERO-QUERO</v>
          </cell>
        </row>
        <row r="1166">
          <cell r="A1166">
            <v>29282</v>
          </cell>
          <cell r="B1166" t="str">
            <v>CORPORATION</v>
          </cell>
          <cell r="C1166" t="str">
            <v>Bracht Maquinas E Ferramentas Ltda</v>
          </cell>
          <cell r="D1166" t="str">
            <v>Bracht Maquinas E Ferramentas Ltda</v>
          </cell>
          <cell r="E1166" t="str">
            <v>93.678.548</v>
          </cell>
          <cell r="F1166" t="str">
            <v>93.678.548/0001-76</v>
          </cell>
        </row>
        <row r="1167">
          <cell r="A1167">
            <v>29283</v>
          </cell>
          <cell r="B1167" t="str">
            <v>CORPORATION</v>
          </cell>
          <cell r="C1167" t="str">
            <v>Barreto E Silva Ferragista Ltda</v>
          </cell>
          <cell r="D1167" t="str">
            <v>Parafusao 2 Ferragista</v>
          </cell>
          <cell r="E1167" t="str">
            <v>48.440.454</v>
          </cell>
          <cell r="F1167" t="str">
            <v>48.440.454/0001-00</v>
          </cell>
          <cell r="G1167" t="str">
            <v>PARAFUSÃO FERRAGISTA</v>
          </cell>
        </row>
        <row r="1168">
          <cell r="A1168">
            <v>29284</v>
          </cell>
          <cell r="B1168" t="str">
            <v>CORPORATION</v>
          </cell>
          <cell r="C1168" t="str">
            <v>Milenium Equipamentos De Seguranca, Soldas E Abrasivos Ltda - Epp</v>
          </cell>
          <cell r="D1168" t="str">
            <v>Milenium Equipamentos De Seguranca, Soldas E Abrasivos Ltda - Epp</v>
          </cell>
          <cell r="E1168" t="str">
            <v>03.582.193</v>
          </cell>
          <cell r="F1168" t="str">
            <v>03.582.193/0001-24</v>
          </cell>
        </row>
        <row r="1169">
          <cell r="A1169">
            <v>29287</v>
          </cell>
          <cell r="B1169" t="str">
            <v>CORPORATION</v>
          </cell>
          <cell r="C1169" t="str">
            <v>Tb - Comercio De Gases &amp; Soldas Eireli - Epp</v>
          </cell>
          <cell r="D1169" t="str">
            <v>Tb Gases &amp; Soldas</v>
          </cell>
          <cell r="E1169" t="str">
            <v>07.656.657</v>
          </cell>
          <cell r="F1169" t="str">
            <v>07.656.657/0001-50</v>
          </cell>
        </row>
        <row r="1170">
          <cell r="A1170">
            <v>29288</v>
          </cell>
          <cell r="B1170" t="str">
            <v>CORPORATION</v>
          </cell>
          <cell r="C1170" t="str">
            <v>Luciano Gomes Teixeira 02810020612</v>
          </cell>
          <cell r="D1170" t="str">
            <v>Central Calha</v>
          </cell>
          <cell r="E1170" t="str">
            <v>19.050.138</v>
          </cell>
          <cell r="F1170" t="str">
            <v>19.050.138/0001-23</v>
          </cell>
        </row>
        <row r="1171">
          <cell r="A1171">
            <v>29290</v>
          </cell>
          <cell r="B1171" t="str">
            <v>CORPORATION</v>
          </cell>
          <cell r="C1171" t="str">
            <v>Master Soldas Ltda</v>
          </cell>
          <cell r="D1171" t="str">
            <v>Master Soldas Ltda</v>
          </cell>
          <cell r="E1171" t="str">
            <v>25.179.607</v>
          </cell>
          <cell r="F1171" t="str">
            <v>25.179.607/0001-01</v>
          </cell>
        </row>
        <row r="1172">
          <cell r="A1172">
            <v>29293</v>
          </cell>
          <cell r="B1172" t="str">
            <v>CORPORATION</v>
          </cell>
          <cell r="C1172" t="str">
            <v>Jiordana Sousa Braga</v>
          </cell>
          <cell r="D1172" t="str">
            <v>Bezerra Construcao E Irrigacao</v>
          </cell>
          <cell r="E1172" t="str">
            <v>04.048.445</v>
          </cell>
          <cell r="F1172" t="str">
            <v>04.048.445/0001-00</v>
          </cell>
        </row>
        <row r="1173">
          <cell r="A1173">
            <v>29294</v>
          </cell>
          <cell r="B1173" t="str">
            <v>CORPORATION</v>
          </cell>
          <cell r="C1173" t="str">
            <v>Antonio Jose Machado &amp; Cia Ltda - Epp</v>
          </cell>
          <cell r="D1173" t="str">
            <v>Eletrotec</v>
          </cell>
          <cell r="E1173" t="str">
            <v>05.286.164</v>
          </cell>
          <cell r="F1173" t="str">
            <v>05.286.164/0001-40</v>
          </cell>
        </row>
        <row r="1174">
          <cell r="A1174">
            <v>29296</v>
          </cell>
          <cell r="B1174" t="str">
            <v>CORPORATION</v>
          </cell>
          <cell r="C1174" t="str">
            <v>Dtm Ferramentas Ltda - Me</v>
          </cell>
          <cell r="D1174" t="str">
            <v>Dtm Ferramentas Ltda - Me</v>
          </cell>
          <cell r="E1174" t="str">
            <v>10.332.167</v>
          </cell>
          <cell r="F1174" t="str">
            <v>10.332.167/0001-03</v>
          </cell>
        </row>
        <row r="1175">
          <cell r="A1175">
            <v>29297</v>
          </cell>
          <cell r="B1175" t="str">
            <v>CORPORATION</v>
          </cell>
          <cell r="C1175" t="str">
            <v>Distribuidora Roberto J.Couto Ltda</v>
          </cell>
          <cell r="D1175" t="str">
            <v>Distribuidora Couto</v>
          </cell>
          <cell r="E1175" t="str">
            <v>04.837.641</v>
          </cell>
          <cell r="F1175" t="str">
            <v>04.837.641/0001-56</v>
          </cell>
        </row>
        <row r="1176">
          <cell r="A1176">
            <v>29299</v>
          </cell>
          <cell r="B1176" t="str">
            <v>CORPORATION</v>
          </cell>
          <cell r="C1176" t="str">
            <v>Appel, Rocha &amp; Cia Ltda - Me</v>
          </cell>
          <cell r="D1176" t="str">
            <v>Appel, Rocha &amp; Cia Ltda - Me</v>
          </cell>
          <cell r="E1176" t="str">
            <v>04.197.242</v>
          </cell>
          <cell r="F1176" t="str">
            <v>04.197.242/0001-78</v>
          </cell>
        </row>
        <row r="1177">
          <cell r="A1177">
            <v>29302</v>
          </cell>
          <cell r="B1177" t="str">
            <v>CORPORATION</v>
          </cell>
          <cell r="C1177" t="str">
            <v>Zampar Comercio De Ferramentas E Equipamentos Ltda - Me</v>
          </cell>
          <cell r="D1177" t="str">
            <v>Zampar</v>
          </cell>
          <cell r="E1177" t="str">
            <v>06.989.547</v>
          </cell>
          <cell r="F1177" t="str">
            <v>06.989.547/0001-48</v>
          </cell>
        </row>
        <row r="1178">
          <cell r="A1178">
            <v>29308</v>
          </cell>
          <cell r="B1178" t="str">
            <v>CORPORATION</v>
          </cell>
          <cell r="C1178" t="str">
            <v>Extinsolda Maquinas E Ferramentas Ltda</v>
          </cell>
          <cell r="D1178" t="str">
            <v>Extinsolda Maquinas E Ferramentas Ltda</v>
          </cell>
          <cell r="E1178" t="str">
            <v>90.150.376</v>
          </cell>
          <cell r="F1178" t="str">
            <v>90.150.376/0001-75</v>
          </cell>
        </row>
        <row r="1179">
          <cell r="A1179">
            <v>29311</v>
          </cell>
          <cell r="B1179" t="str">
            <v>CORPORATION</v>
          </cell>
          <cell r="C1179" t="str">
            <v>Comatel Comercial De Materiais Eletricos Ltda - Epp</v>
          </cell>
          <cell r="D1179" t="str">
            <v>Comatel</v>
          </cell>
          <cell r="E1179" t="str">
            <v>01.495.650</v>
          </cell>
          <cell r="F1179" t="str">
            <v>01.495.650/0001-18</v>
          </cell>
        </row>
        <row r="1180">
          <cell r="A1180">
            <v>29314</v>
          </cell>
          <cell r="B1180" t="str">
            <v>CORPORATION</v>
          </cell>
          <cell r="C1180" t="str">
            <v>Hermanns Insumos E Equipamentos Ltda - Epp</v>
          </cell>
          <cell r="D1180" t="str">
            <v>Hermanns Insumos E Equipamentos Ltda - Epp</v>
          </cell>
          <cell r="E1180" t="str">
            <v>00.119.981</v>
          </cell>
          <cell r="F1180" t="str">
            <v>00.119.981/0001-90</v>
          </cell>
        </row>
        <row r="1181">
          <cell r="A1181">
            <v>29318</v>
          </cell>
          <cell r="B1181" t="str">
            <v>CORPORATION</v>
          </cell>
          <cell r="C1181" t="str">
            <v>Kld - Comercio De Maquinas E Ferramentas - Eireli</v>
          </cell>
          <cell r="D1181" t="str">
            <v>Kld - Comercio De Maquinas E Ferramentas - Eireli</v>
          </cell>
          <cell r="E1181" t="str">
            <v>90.391.475</v>
          </cell>
          <cell r="F1181" t="str">
            <v>90.391.475/0001-49</v>
          </cell>
        </row>
        <row r="1182">
          <cell r="A1182">
            <v>29321</v>
          </cell>
          <cell r="B1182" t="str">
            <v>CORPORATION</v>
          </cell>
          <cell r="C1182" t="str">
            <v>Ferragem Pons Ltda - Me</v>
          </cell>
          <cell r="D1182" t="str">
            <v>Ferragem Pons Ltda - Me</v>
          </cell>
          <cell r="E1182" t="str">
            <v>92.181.866</v>
          </cell>
          <cell r="F1182" t="str">
            <v>92.181.866/0001-64</v>
          </cell>
        </row>
        <row r="1183">
          <cell r="A1183">
            <v>29324</v>
          </cell>
          <cell r="B1183" t="str">
            <v>CORPORATION</v>
          </cell>
          <cell r="C1183" t="str">
            <v>Mario M. De Souza Peças - Me</v>
          </cell>
          <cell r="D1183" t="str">
            <v>Casa Das Bombas E Compressores</v>
          </cell>
          <cell r="E1183" t="str">
            <v>07.689.741</v>
          </cell>
          <cell r="F1183" t="str">
            <v>07.689.741/0001-70</v>
          </cell>
        </row>
        <row r="1184">
          <cell r="A1184">
            <v>29327</v>
          </cell>
          <cell r="B1184" t="str">
            <v>CORPORATION</v>
          </cell>
          <cell r="C1184" t="str">
            <v>J Lenzi Comercio De Ferramentas Em Geral Ltda - Me</v>
          </cell>
          <cell r="D1184" t="str">
            <v>Eletrolenzi</v>
          </cell>
          <cell r="E1184" t="str">
            <v>25.441.932</v>
          </cell>
          <cell r="F1184" t="str">
            <v>25.441.932/0001-09</v>
          </cell>
        </row>
        <row r="1185">
          <cell r="A1185">
            <v>29330</v>
          </cell>
          <cell r="B1185" t="str">
            <v>CORPORATION</v>
          </cell>
          <cell r="C1185" t="str">
            <v>Comercial Eletro Mecanica Cervi Ltda - Me</v>
          </cell>
          <cell r="D1185" t="str">
            <v>Comercial Eletro Mecanica Cervi</v>
          </cell>
          <cell r="E1185" t="str">
            <v>77.910.438</v>
          </cell>
          <cell r="F1185" t="str">
            <v>77.910.438/0002-12</v>
          </cell>
        </row>
        <row r="1186">
          <cell r="A1186">
            <v>29333</v>
          </cell>
          <cell r="B1186" t="str">
            <v>CORPORATION</v>
          </cell>
          <cell r="C1186" t="str">
            <v>Santana Equipamentos Ltda</v>
          </cell>
          <cell r="D1186" t="str">
            <v>Santana Equipamentos</v>
          </cell>
          <cell r="E1186" t="str">
            <v>01.015.060</v>
          </cell>
          <cell r="F1186" t="str">
            <v>01.015.060/0001-40</v>
          </cell>
        </row>
        <row r="1187">
          <cell r="A1187">
            <v>29334</v>
          </cell>
          <cell r="B1187" t="str">
            <v>CORPORATION</v>
          </cell>
          <cell r="C1187" t="str">
            <v>Th Max Comercio De Ferramentas Ltda</v>
          </cell>
          <cell r="D1187" t="str">
            <v>Th Max Ferramentas</v>
          </cell>
          <cell r="E1187" t="str">
            <v>06.044.151</v>
          </cell>
          <cell r="F1187" t="str">
            <v>06.044.151/0001-28</v>
          </cell>
        </row>
        <row r="1188">
          <cell r="A1188">
            <v>29335</v>
          </cell>
          <cell r="B1188" t="str">
            <v>CORPORATION</v>
          </cell>
          <cell r="C1188" t="str">
            <v>Comercio Agro Tech Sj Ltda</v>
          </cell>
          <cell r="D1188" t="str">
            <v>Agro Tech</v>
          </cell>
          <cell r="E1188" t="str">
            <v>42.591.819</v>
          </cell>
          <cell r="F1188" t="str">
            <v>42.591.819/0001-10</v>
          </cell>
        </row>
        <row r="1189">
          <cell r="A1189">
            <v>29336</v>
          </cell>
          <cell r="B1189" t="str">
            <v>CORPORATION</v>
          </cell>
          <cell r="C1189" t="str">
            <v>Julycasa Materiais De Construcao Ltda - Epp</v>
          </cell>
          <cell r="D1189" t="str">
            <v>Julycasa</v>
          </cell>
          <cell r="E1189" t="str">
            <v>81.378.002</v>
          </cell>
          <cell r="F1189" t="str">
            <v>81.378.002/0001-10</v>
          </cell>
        </row>
        <row r="1190">
          <cell r="A1190">
            <v>29339</v>
          </cell>
          <cell r="B1190" t="str">
            <v>CORPORATION</v>
          </cell>
          <cell r="C1190" t="str">
            <v>Imperio Dos Eletrodos Ltda - Me</v>
          </cell>
          <cell r="D1190" t="str">
            <v>Imperio Dos Eletrodos Ltda - Me</v>
          </cell>
          <cell r="E1190" t="str">
            <v>20.629.812</v>
          </cell>
          <cell r="F1190" t="str">
            <v>20.629.812/0001-08</v>
          </cell>
        </row>
        <row r="1191">
          <cell r="A1191">
            <v>29341</v>
          </cell>
          <cell r="B1191" t="str">
            <v>CORPORATION</v>
          </cell>
          <cell r="C1191" t="str">
            <v>Totalmix Comercio Online Ltda</v>
          </cell>
          <cell r="D1191" t="str">
            <v>Totalmix</v>
          </cell>
          <cell r="E1191" t="str">
            <v>45.629.823</v>
          </cell>
          <cell r="F1191" t="str">
            <v>45.629.823/0001-19</v>
          </cell>
        </row>
        <row r="1192">
          <cell r="A1192">
            <v>29342</v>
          </cell>
          <cell r="B1192" t="str">
            <v>CORPORATION</v>
          </cell>
          <cell r="C1192" t="str">
            <v>Tania Maria Alves Dos Reis - Me</v>
          </cell>
          <cell r="D1192" t="str">
            <v>Casa Reis</v>
          </cell>
          <cell r="E1192" t="str">
            <v>12.857.796</v>
          </cell>
          <cell r="F1192" t="str">
            <v>12.857.796/0001-82</v>
          </cell>
        </row>
        <row r="1193">
          <cell r="A1193">
            <v>29345</v>
          </cell>
          <cell r="B1193" t="str">
            <v>CORPORATION</v>
          </cell>
          <cell r="C1193" t="str">
            <v>Rei Da Solda Distribuidora De Abrasivos E Maquinas Eireli - Epp</v>
          </cell>
          <cell r="D1193" t="str">
            <v>Rei Da Solda</v>
          </cell>
          <cell r="E1193" t="str">
            <v>04.401.189</v>
          </cell>
          <cell r="F1193" t="str">
            <v>04.401.189/0001-85</v>
          </cell>
        </row>
        <row r="1194">
          <cell r="A1194">
            <v>29348</v>
          </cell>
          <cell r="B1194" t="str">
            <v>CORPORATION</v>
          </cell>
          <cell r="C1194" t="str">
            <v>S. A. Fonteles Comercio E Servicos - Me</v>
          </cell>
          <cell r="D1194" t="str">
            <v>Tr7 Servicos</v>
          </cell>
          <cell r="E1194" t="str">
            <v>16.690.086</v>
          </cell>
          <cell r="F1194" t="str">
            <v>16.690.086/0001-61</v>
          </cell>
        </row>
        <row r="1195">
          <cell r="A1195">
            <v>29351</v>
          </cell>
          <cell r="B1195" t="str">
            <v>CORPORATION</v>
          </cell>
          <cell r="C1195" t="str">
            <v>Tatufer Comercio De Ferro E Acessorios Ltda</v>
          </cell>
          <cell r="D1195" t="str">
            <v>Tatufer Ferragens</v>
          </cell>
          <cell r="E1195" t="str">
            <v>11.362.565</v>
          </cell>
          <cell r="F1195" t="str">
            <v>11.362.565/0001-35</v>
          </cell>
        </row>
        <row r="1196">
          <cell r="A1196">
            <v>29354</v>
          </cell>
          <cell r="B1196" t="str">
            <v>CORPORATION</v>
          </cell>
          <cell r="C1196" t="str">
            <v>Itafer Comercio De Ferramentas E Maquinas Inds Ltda</v>
          </cell>
          <cell r="D1196" t="str">
            <v>Itafer</v>
          </cell>
          <cell r="E1196" t="str">
            <v>53.847.406</v>
          </cell>
          <cell r="F1196" t="str">
            <v>53.847.406/0001-70</v>
          </cell>
        </row>
        <row r="1197">
          <cell r="A1197">
            <v>29357</v>
          </cell>
          <cell r="B1197" t="str">
            <v>CORPORATION</v>
          </cell>
          <cell r="C1197" t="str">
            <v>Ferragem Piva Ltda</v>
          </cell>
          <cell r="D1197" t="str">
            <v>Ferragem Piva Ltda</v>
          </cell>
          <cell r="E1197" t="str">
            <v>88.210.539</v>
          </cell>
          <cell r="F1197" t="str">
            <v>88.210.539/0001-16</v>
          </cell>
        </row>
        <row r="1198">
          <cell r="A1198">
            <v>29360</v>
          </cell>
          <cell r="B1198" t="str">
            <v>CORPORATION</v>
          </cell>
          <cell r="C1198" t="str">
            <v>Bismark Comercial Ferragens Ltda</v>
          </cell>
          <cell r="D1198" t="str">
            <v>Bismark Comercial Ferragens Ltda</v>
          </cell>
          <cell r="E1198" t="str">
            <v>43.470.608</v>
          </cell>
          <cell r="F1198" t="str">
            <v>43.470.608/0003-54</v>
          </cell>
          <cell r="G1198" t="str">
            <v>BISMARK</v>
          </cell>
        </row>
        <row r="1199">
          <cell r="A1199">
            <v>29363</v>
          </cell>
          <cell r="B1199" t="str">
            <v>CORPORATION</v>
          </cell>
          <cell r="C1199" t="str">
            <v>Luzetti &amp; Cia Ltda</v>
          </cell>
          <cell r="D1199" t="str">
            <v>Wb Parafusos E Ferramentas</v>
          </cell>
          <cell r="E1199" t="str">
            <v>20.385.822</v>
          </cell>
          <cell r="F1199" t="str">
            <v>20.385.822/0001-45</v>
          </cell>
        </row>
        <row r="1200">
          <cell r="A1200">
            <v>29364</v>
          </cell>
          <cell r="B1200" t="str">
            <v>CORPORATION</v>
          </cell>
          <cell r="C1200" t="str">
            <v>Bismark Comercial Ferragens Ltda</v>
          </cell>
          <cell r="D1200" t="str">
            <v>Bismark Comercial Ferragens Ltda</v>
          </cell>
          <cell r="E1200" t="str">
            <v>43.470.608</v>
          </cell>
          <cell r="F1200" t="str">
            <v>43.470.608/0001-92</v>
          </cell>
          <cell r="G1200" t="str">
            <v>BISMARK</v>
          </cell>
        </row>
        <row r="1201">
          <cell r="A1201">
            <v>29366</v>
          </cell>
          <cell r="B1201" t="str">
            <v>CORPORATION</v>
          </cell>
          <cell r="C1201" t="str">
            <v>Metalmaquinas Comercio E Representacoes Ltda - Epp</v>
          </cell>
          <cell r="D1201" t="str">
            <v>Metalmaquinas Comercio E Representacoes Ltda - Epp</v>
          </cell>
          <cell r="E1201" t="str">
            <v>68.992.734</v>
          </cell>
          <cell r="F1201" t="str">
            <v>68.992.734/0001-38</v>
          </cell>
        </row>
        <row r="1202">
          <cell r="A1202">
            <v>29369</v>
          </cell>
          <cell r="B1202" t="str">
            <v>CORPORATION</v>
          </cell>
          <cell r="C1202" t="str">
            <v>Ariovaldo Batista - Me</v>
          </cell>
          <cell r="D1202" t="str">
            <v>Batista Comercio E Representacoes</v>
          </cell>
          <cell r="E1202" t="str">
            <v>49.861.941</v>
          </cell>
          <cell r="F1202" t="str">
            <v>49.861.941/0001-09</v>
          </cell>
        </row>
        <row r="1203">
          <cell r="A1203">
            <v>29371</v>
          </cell>
          <cell r="B1203" t="str">
            <v>CORPORATION</v>
          </cell>
          <cell r="C1203" t="str">
            <v>Ajato Extintores Ltda</v>
          </cell>
          <cell r="D1203" t="str">
            <v>Ajato Extintores Ltda</v>
          </cell>
          <cell r="E1203" t="str">
            <v>04.555.822</v>
          </cell>
          <cell r="F1203" t="str">
            <v>04.555.822/0001-90</v>
          </cell>
        </row>
        <row r="1204">
          <cell r="A1204">
            <v>29372</v>
          </cell>
          <cell r="B1204" t="str">
            <v>CORPORATION</v>
          </cell>
          <cell r="C1204" t="str">
            <v>E C Da Fonseca - Epp</v>
          </cell>
          <cell r="D1204" t="str">
            <v>Incospel</v>
          </cell>
          <cell r="E1204" t="str">
            <v>07.518.727</v>
          </cell>
          <cell r="F1204" t="str">
            <v>07.518.727/0001-04</v>
          </cell>
        </row>
        <row r="1205">
          <cell r="A1205">
            <v>29375</v>
          </cell>
          <cell r="B1205" t="str">
            <v>CORPORATION</v>
          </cell>
          <cell r="C1205" t="str">
            <v>G. M. Rabelo - Epp</v>
          </cell>
          <cell r="D1205" t="str">
            <v>G. M. Rabelo - Epp</v>
          </cell>
          <cell r="E1205" t="str">
            <v>03.891.663</v>
          </cell>
          <cell r="F1205" t="str">
            <v>03.891.663/0001-31</v>
          </cell>
        </row>
        <row r="1206">
          <cell r="A1206">
            <v>29378</v>
          </cell>
          <cell r="B1206" t="str">
            <v>CORPORATION</v>
          </cell>
          <cell r="C1206" t="str">
            <v>Jefferson Ortega - Epp</v>
          </cell>
          <cell r="D1206" t="str">
            <v>Jefferson Ortega - Epp</v>
          </cell>
          <cell r="E1206" t="str">
            <v>03.571.637</v>
          </cell>
          <cell r="F1206" t="str">
            <v>03.571.637/0001-26</v>
          </cell>
        </row>
        <row r="1207">
          <cell r="A1207">
            <v>29381</v>
          </cell>
          <cell r="B1207" t="str">
            <v>CORPORATION</v>
          </cell>
          <cell r="C1207" t="str">
            <v>Nelpar Com De Parafusos Ferragens E Ferramentas Ltda - Me</v>
          </cell>
          <cell r="D1207" t="str">
            <v>Casa Dos Parafusos Nelpar</v>
          </cell>
          <cell r="E1207" t="str">
            <v>55.511.646</v>
          </cell>
          <cell r="F1207" t="str">
            <v>55.511.646/0001-25</v>
          </cell>
        </row>
        <row r="1208">
          <cell r="A1208">
            <v>29382</v>
          </cell>
          <cell r="B1208" t="str">
            <v>CORPORATION</v>
          </cell>
          <cell r="C1208" t="str">
            <v>Andrade E Sousa Com. De Pecas E Ferramentas Ltda</v>
          </cell>
          <cell r="D1208" t="str">
            <v>Casa Dos Parafusos Xingu</v>
          </cell>
          <cell r="E1208" t="str">
            <v>05.893.668</v>
          </cell>
          <cell r="F1208" t="str">
            <v>05.893.668/0002-00</v>
          </cell>
        </row>
        <row r="1209">
          <cell r="A1209">
            <v>29384</v>
          </cell>
          <cell r="B1209" t="str">
            <v>CORPORATION</v>
          </cell>
          <cell r="C1209" t="str">
            <v>Agelberto Da Silva - Me</v>
          </cell>
          <cell r="D1209" t="str">
            <v>Norberto Construcoes</v>
          </cell>
          <cell r="E1209" t="str">
            <v>40.504.607</v>
          </cell>
          <cell r="F1209" t="str">
            <v>40.504.607/0001-23</v>
          </cell>
        </row>
        <row r="1210">
          <cell r="A1210">
            <v>29387</v>
          </cell>
          <cell r="B1210" t="str">
            <v>CORPORATION</v>
          </cell>
          <cell r="C1210" t="str">
            <v>Lucas Eletromoveis E Construcao Ltda - Epp</v>
          </cell>
          <cell r="D1210" t="str">
            <v>Lucas Eletromoveis</v>
          </cell>
          <cell r="E1210" t="str">
            <v>02.996.693</v>
          </cell>
          <cell r="F1210" t="str">
            <v>02.996.693/0001-40</v>
          </cell>
        </row>
        <row r="1211">
          <cell r="A1211">
            <v>29389</v>
          </cell>
          <cell r="B1211" t="str">
            <v>CORPORATION</v>
          </cell>
          <cell r="C1211" t="str">
            <v>Ciotto E Ferro Ltda. - Epp</v>
          </cell>
          <cell r="D1211" t="str">
            <v>Lb Parafusos E Ferramentas</v>
          </cell>
          <cell r="E1211" t="str">
            <v>00.943.750</v>
          </cell>
          <cell r="F1211" t="str">
            <v>00.943.750/0001-05</v>
          </cell>
        </row>
        <row r="1212">
          <cell r="A1212">
            <v>29390</v>
          </cell>
          <cell r="B1212" t="str">
            <v>CORPORATION</v>
          </cell>
          <cell r="C1212" t="str">
            <v>Rstools Comercio De Ferramentas Ltda</v>
          </cell>
          <cell r="D1212" t="str">
            <v>Rstools</v>
          </cell>
          <cell r="E1212" t="str">
            <v>36.988.938</v>
          </cell>
          <cell r="F1212" t="str">
            <v>36.988.938/0001-09</v>
          </cell>
        </row>
        <row r="1213">
          <cell r="A1213">
            <v>29391</v>
          </cell>
          <cell r="B1213" t="str">
            <v>CORPORATION</v>
          </cell>
          <cell r="C1213" t="str">
            <v>Casa Das Maquinas Ltda</v>
          </cell>
          <cell r="D1213" t="str">
            <v>Casa Das Maquinas</v>
          </cell>
          <cell r="E1213" t="str">
            <v>40.759.878</v>
          </cell>
          <cell r="F1213" t="str">
            <v>40.759.878/0001-20</v>
          </cell>
        </row>
        <row r="1214">
          <cell r="A1214">
            <v>29392</v>
          </cell>
          <cell r="B1214" t="str">
            <v>CORPORATION</v>
          </cell>
          <cell r="C1214" t="str">
            <v>Plinio Vieira Holtz Cia Ltda - Me</v>
          </cell>
          <cell r="D1214" t="str">
            <v>Casa Do Lavrador</v>
          </cell>
          <cell r="E1214" t="str">
            <v>49.790.611</v>
          </cell>
          <cell r="F1214" t="str">
            <v>49.790.611/0001-70</v>
          </cell>
        </row>
        <row r="1215">
          <cell r="A1215">
            <v>29394</v>
          </cell>
          <cell r="B1215" t="str">
            <v>CORPORATION</v>
          </cell>
          <cell r="C1215" t="str">
            <v>Sebastiao Barbosa Leme - Me</v>
          </cell>
          <cell r="D1215" t="str">
            <v>Sebastiao Barbosa Leme - Me</v>
          </cell>
          <cell r="E1215" t="str">
            <v>52.669.959</v>
          </cell>
          <cell r="F1215" t="str">
            <v>52.669.959/0001-18</v>
          </cell>
        </row>
        <row r="1216">
          <cell r="A1216">
            <v>29397</v>
          </cell>
          <cell r="B1216" t="str">
            <v>CORPORATION</v>
          </cell>
          <cell r="C1216" t="str">
            <v>Musa Husein Isa Abdalla Hamad</v>
          </cell>
          <cell r="D1216" t="str">
            <v>Musa Husein Isa Abdalla Hamad</v>
          </cell>
          <cell r="E1216" t="str">
            <v>41.904.092</v>
          </cell>
          <cell r="F1216" t="str">
            <v>41.904.092/0001-11</v>
          </cell>
        </row>
        <row r="1217">
          <cell r="A1217">
            <v>29398</v>
          </cell>
          <cell r="B1217" t="str">
            <v>CORPORATION</v>
          </cell>
          <cell r="C1217" t="str">
            <v>Vera Lucia Pegoraro - Epp</v>
          </cell>
          <cell r="D1217" t="str">
            <v>Tornearia Pegoraro</v>
          </cell>
          <cell r="E1217" t="str">
            <v>01.425.640</v>
          </cell>
          <cell r="F1217" t="str">
            <v>01.425.640/0001-06</v>
          </cell>
        </row>
        <row r="1218">
          <cell r="A1218">
            <v>29400</v>
          </cell>
          <cell r="B1218" t="str">
            <v>CORPORATION</v>
          </cell>
          <cell r="C1218" t="str">
            <v>Unitec - Comercio De Ferramentas Ltda - Epp</v>
          </cell>
          <cell r="D1218" t="str">
            <v>Unitec - Comercio De Ferramentas Ltda - Epp</v>
          </cell>
          <cell r="E1218" t="str">
            <v>46.352.571</v>
          </cell>
          <cell r="F1218" t="str">
            <v>46.352.571/0001-96</v>
          </cell>
        </row>
        <row r="1219">
          <cell r="A1219">
            <v>29403</v>
          </cell>
          <cell r="B1219" t="str">
            <v>CORPORATION</v>
          </cell>
          <cell r="C1219" t="str">
            <v>Vanderlei A Anselmo &amp; Cia Ltda - Epp</v>
          </cell>
          <cell r="D1219" t="str">
            <v>Planalto Materiais Para Construcao</v>
          </cell>
          <cell r="E1219" t="str">
            <v>65.994.998</v>
          </cell>
          <cell r="F1219" t="str">
            <v>65.994.998/0001-32</v>
          </cell>
        </row>
        <row r="1220">
          <cell r="A1220">
            <v>29406</v>
          </cell>
          <cell r="B1220" t="str">
            <v>CORPORATION</v>
          </cell>
          <cell r="C1220" t="str">
            <v>Ferragens Cavalcante De Souza Ltda - Epp</v>
          </cell>
          <cell r="D1220" t="str">
            <v>Ferragens Cavalcante De Souza Ltda - Epp</v>
          </cell>
          <cell r="E1220" t="str">
            <v>04.467.129</v>
          </cell>
          <cell r="F1220" t="str">
            <v>04.467.129/0001-65</v>
          </cell>
        </row>
        <row r="1221">
          <cell r="A1221">
            <v>29409</v>
          </cell>
          <cell r="B1221" t="str">
            <v>CORPORATION</v>
          </cell>
          <cell r="C1221" t="str">
            <v>Eletrosolda Comercio De Equipamentos De Seguranca Ltda - Me</v>
          </cell>
          <cell r="D1221" t="str">
            <v>Eletrosolda Comercio De Equipamentos De Seguranca Ltda - Me</v>
          </cell>
          <cell r="E1221" t="str">
            <v>15.228.231</v>
          </cell>
          <cell r="F1221" t="str">
            <v>15.228.231/0001-24</v>
          </cell>
        </row>
        <row r="1222">
          <cell r="A1222">
            <v>29412</v>
          </cell>
          <cell r="B1222" t="str">
            <v>CORPORATION</v>
          </cell>
          <cell r="C1222" t="str">
            <v>Gilson Andre Brugnerotto - Epp</v>
          </cell>
          <cell r="D1222" t="str">
            <v>Raiapar Maquinas E Ferramentas</v>
          </cell>
          <cell r="E1222" t="str">
            <v>64.833.403</v>
          </cell>
          <cell r="F1222" t="str">
            <v>64.833.403/0001-02</v>
          </cell>
        </row>
        <row r="1223">
          <cell r="A1223">
            <v>29416</v>
          </cell>
          <cell r="B1223" t="str">
            <v>CORPORATION</v>
          </cell>
          <cell r="C1223" t="str">
            <v>Eletro Tecnica Zimar Ltda - Me</v>
          </cell>
          <cell r="D1223" t="str">
            <v>Eletro Tecnica Zimar Ltda - Me</v>
          </cell>
          <cell r="E1223" t="str">
            <v>64.737.802</v>
          </cell>
          <cell r="F1223" t="str">
            <v>64.737.802/0001-61</v>
          </cell>
        </row>
        <row r="1224">
          <cell r="A1224">
            <v>29420</v>
          </cell>
          <cell r="B1224" t="str">
            <v>CORPORATION</v>
          </cell>
          <cell r="C1224" t="str">
            <v>Dieter Thomas Moses - Me</v>
          </cell>
          <cell r="D1224" t="str">
            <v>Dieter Ferramentas</v>
          </cell>
          <cell r="E1224" t="str">
            <v>07.109.922</v>
          </cell>
          <cell r="F1224" t="str">
            <v>07.109.922/0001-80</v>
          </cell>
        </row>
        <row r="1225">
          <cell r="A1225">
            <v>29423</v>
          </cell>
          <cell r="B1225" t="str">
            <v>CORPORATION</v>
          </cell>
          <cell r="C1225" t="str">
            <v>Ademir Favero E Cia Ltda - Epp</v>
          </cell>
          <cell r="D1225" t="str">
            <v>Agro Pecuaria Sao Pedro</v>
          </cell>
          <cell r="E1225" t="str">
            <v>50.084.037</v>
          </cell>
          <cell r="F1225" t="str">
            <v>50.084.037/0001-13</v>
          </cell>
        </row>
        <row r="1226">
          <cell r="A1226">
            <v>29425</v>
          </cell>
          <cell r="B1226" t="str">
            <v>CORPORATION</v>
          </cell>
          <cell r="C1226" t="str">
            <v>Martelao Com. De Ferramentas Ltda</v>
          </cell>
          <cell r="D1226" t="str">
            <v>Martelao</v>
          </cell>
          <cell r="E1226" t="str">
            <v>34.820.046</v>
          </cell>
          <cell r="F1226" t="str">
            <v>34.820.046/0001-79</v>
          </cell>
        </row>
        <row r="1227">
          <cell r="A1227">
            <v>29429</v>
          </cell>
          <cell r="B1227" t="str">
            <v>CORPORATION</v>
          </cell>
          <cell r="C1227" t="str">
            <v>Nikkeypar Comercial Ltda</v>
          </cell>
          <cell r="D1227" t="str">
            <v>Nikkeypar</v>
          </cell>
          <cell r="E1227" t="str">
            <v>01.488.575</v>
          </cell>
          <cell r="F1227" t="str">
            <v>01.488.575/0001-68</v>
          </cell>
        </row>
        <row r="1228">
          <cell r="A1228">
            <v>29435</v>
          </cell>
          <cell r="B1228" t="str">
            <v>CORPORATION</v>
          </cell>
          <cell r="C1228" t="str">
            <v>Servi-Mig Comercio De Maquinas Ltda - Epp</v>
          </cell>
          <cell r="D1228" t="str">
            <v>Servi-Mig</v>
          </cell>
          <cell r="E1228" t="str">
            <v>62.000.369</v>
          </cell>
          <cell r="F1228" t="str">
            <v>62.000.369/0001-51</v>
          </cell>
        </row>
        <row r="1229">
          <cell r="A1229">
            <v>29438</v>
          </cell>
          <cell r="B1229" t="str">
            <v>CORPORATION</v>
          </cell>
          <cell r="C1229" t="str">
            <v>Walter Antonio Rossler - Me</v>
          </cell>
          <cell r="D1229" t="str">
            <v>Center Comercial 2000</v>
          </cell>
          <cell r="E1229" t="str">
            <v>03.751.267</v>
          </cell>
          <cell r="F1229" t="str">
            <v>03.751.267/0001-09</v>
          </cell>
        </row>
        <row r="1230">
          <cell r="A1230">
            <v>29441</v>
          </cell>
          <cell r="B1230" t="str">
            <v>CORPORATION</v>
          </cell>
          <cell r="C1230" t="str">
            <v>Multsoldas Gases Especiais Ltda</v>
          </cell>
          <cell r="D1230" t="str">
            <v>Multsoldas Gases Especiais</v>
          </cell>
          <cell r="E1230" t="str">
            <v>04.543.630</v>
          </cell>
          <cell r="F1230" t="str">
            <v>04.543.630/0001-63</v>
          </cell>
          <cell r="G1230" t="str">
            <v>MULTSOLDAS GASES</v>
          </cell>
        </row>
        <row r="1231">
          <cell r="A1231">
            <v>29445</v>
          </cell>
          <cell r="B1231" t="str">
            <v>CORPORATION</v>
          </cell>
          <cell r="C1231" t="str">
            <v>Ferragem Juka Batista Ltda - Epp</v>
          </cell>
          <cell r="D1231" t="str">
            <v>Ferragem Juka Batista Ltda - Epp</v>
          </cell>
          <cell r="E1231" t="str">
            <v>92.770.452</v>
          </cell>
          <cell r="F1231" t="str">
            <v>92.770.452/0001-70</v>
          </cell>
        </row>
        <row r="1232">
          <cell r="A1232">
            <v>29446</v>
          </cell>
          <cell r="B1232" t="str">
            <v>CORPORATION</v>
          </cell>
          <cell r="C1232" t="str">
            <v>C Da Conceicao Ribeiro Torneadora</v>
          </cell>
          <cell r="D1232" t="str">
            <v>Torneadora Estrela</v>
          </cell>
          <cell r="E1232" t="str">
            <v>13.169.319</v>
          </cell>
          <cell r="F1232" t="str">
            <v>13.169.319/0001-97</v>
          </cell>
        </row>
        <row r="1233">
          <cell r="A1233">
            <v>29448</v>
          </cell>
          <cell r="B1233" t="str">
            <v>CORPORATION</v>
          </cell>
          <cell r="C1233" t="str">
            <v>Nova Meta Distribuidora De Ferragens Ltda - Me</v>
          </cell>
          <cell r="D1233" t="str">
            <v>Nova Meta</v>
          </cell>
          <cell r="E1233" t="str">
            <v>01.603.400</v>
          </cell>
          <cell r="F1233" t="str">
            <v>01.603.400/0001-54</v>
          </cell>
        </row>
        <row r="1234">
          <cell r="A1234">
            <v>29451</v>
          </cell>
          <cell r="B1234" t="str">
            <v>CORPORATION</v>
          </cell>
          <cell r="C1234" t="str">
            <v>Nova Casa De Ferragens Ltda - Me</v>
          </cell>
          <cell r="D1234" t="str">
            <v>Nova Casa De Ferragens</v>
          </cell>
          <cell r="E1234" t="str">
            <v>02.776.011</v>
          </cell>
          <cell r="F1234" t="str">
            <v>02.776.011/0001-93</v>
          </cell>
        </row>
        <row r="1235">
          <cell r="A1235">
            <v>29454</v>
          </cell>
          <cell r="B1235" t="str">
            <v>CORPORATION</v>
          </cell>
          <cell r="C1235" t="str">
            <v>A. N. T - Ferramentas Comercial E Importadora Ltda</v>
          </cell>
          <cell r="D1235" t="str">
            <v>A. N. T - Ferramentas</v>
          </cell>
          <cell r="E1235" t="str">
            <v>74.671.991</v>
          </cell>
          <cell r="F1235" t="str">
            <v>74.671.991/0003-32</v>
          </cell>
        </row>
        <row r="1236">
          <cell r="A1236">
            <v>29457</v>
          </cell>
          <cell r="B1236" t="str">
            <v>CORPORATION</v>
          </cell>
          <cell r="C1236" t="str">
            <v>Cervone Comercio De Maquinas E Ferramentas Ltda - Epp</v>
          </cell>
          <cell r="D1236" t="str">
            <v>Mig Solda</v>
          </cell>
          <cell r="E1236" t="str">
            <v>50.407.097</v>
          </cell>
          <cell r="F1236" t="str">
            <v>50.407.097/0003-91</v>
          </cell>
        </row>
        <row r="1237">
          <cell r="A1237">
            <v>29460</v>
          </cell>
          <cell r="B1237" t="str">
            <v>CORPORATION</v>
          </cell>
          <cell r="C1237" t="str">
            <v>Cervone Comercio De Maquinas E Ferramentas Ltda - Epp</v>
          </cell>
          <cell r="D1237" t="str">
            <v>Mig Solda</v>
          </cell>
          <cell r="E1237" t="str">
            <v>50.407.097</v>
          </cell>
          <cell r="F1237" t="str">
            <v>50.407.097/0001-20</v>
          </cell>
        </row>
        <row r="1238">
          <cell r="A1238">
            <v>29463</v>
          </cell>
          <cell r="B1238" t="str">
            <v>CORPORATION</v>
          </cell>
          <cell r="C1238" t="str">
            <v>Comercial De Borracha Uba Ltda - Me</v>
          </cell>
          <cell r="D1238" t="str">
            <v>Comercial De Borracha Uba Ltda - Me</v>
          </cell>
          <cell r="E1238" t="str">
            <v>11.207.740</v>
          </cell>
          <cell r="F1238" t="str">
            <v>11.207.740/0001-10</v>
          </cell>
        </row>
        <row r="1239">
          <cell r="A1239">
            <v>29465</v>
          </cell>
          <cell r="B1239" t="str">
            <v>CORPORATION</v>
          </cell>
          <cell r="C1239" t="str">
            <v>L.L.Ramos Equipamentos Hospitalares</v>
          </cell>
          <cell r="D1239" t="str">
            <v>Padrin &amp; Galeazi</v>
          </cell>
          <cell r="E1239" t="str">
            <v>11.223.835</v>
          </cell>
          <cell r="F1239" t="str">
            <v>11.223.835/0001-27</v>
          </cell>
        </row>
        <row r="1240">
          <cell r="A1240">
            <v>29466</v>
          </cell>
          <cell r="B1240" t="str">
            <v>CORPORATION</v>
          </cell>
          <cell r="C1240" t="str">
            <v>Ep Seguranca E Soldagem Ltda. - Me</v>
          </cell>
          <cell r="D1240" t="str">
            <v>Protessolda</v>
          </cell>
          <cell r="E1240" t="str">
            <v>13.141.561</v>
          </cell>
          <cell r="F1240" t="str">
            <v>13.141.561/0001-52</v>
          </cell>
        </row>
        <row r="1241">
          <cell r="A1241">
            <v>29469</v>
          </cell>
          <cell r="B1241" t="str">
            <v>CORPORATION</v>
          </cell>
          <cell r="C1241" t="str">
            <v>Luiz Felipe Machado Pereira</v>
          </cell>
          <cell r="D1241" t="str">
            <v>Luiz Felipe Machado Pereira</v>
          </cell>
          <cell r="E1241" t="str">
            <v>02.682.977</v>
          </cell>
          <cell r="F1241" t="str">
            <v>02.682.977/0001-61</v>
          </cell>
        </row>
        <row r="1242">
          <cell r="A1242">
            <v>29470</v>
          </cell>
          <cell r="B1242" t="str">
            <v>CORPORATION</v>
          </cell>
          <cell r="C1242" t="str">
            <v>Soldas Brasil Comercial Importadora Ltda</v>
          </cell>
          <cell r="D1242" t="str">
            <v>Soldas Brasil</v>
          </cell>
          <cell r="E1242" t="str">
            <v>05.218.030</v>
          </cell>
          <cell r="F1242" t="str">
            <v>05.218.030/0001-92</v>
          </cell>
        </row>
        <row r="1243">
          <cell r="A1243">
            <v>29472</v>
          </cell>
          <cell r="B1243" t="str">
            <v>CORPORATION</v>
          </cell>
          <cell r="C1243" t="str">
            <v>Jose Pedro Cavalcante Filho 43460097191</v>
          </cell>
          <cell r="D1243" t="str">
            <v>Jose Pedro Cavalcante Filho 43460097191</v>
          </cell>
          <cell r="E1243" t="str">
            <v>97.531.231</v>
          </cell>
          <cell r="F1243" t="str">
            <v>97.531.231/0001-63</v>
          </cell>
        </row>
        <row r="1244">
          <cell r="A1244">
            <v>29475</v>
          </cell>
          <cell r="B1244" t="str">
            <v>CORPORATION</v>
          </cell>
          <cell r="C1244" t="str">
            <v>Crisogomo Policena Rosa - Me</v>
          </cell>
          <cell r="D1244" t="str">
            <v>Policena Tintas</v>
          </cell>
          <cell r="E1244" t="str">
            <v>03.950.125</v>
          </cell>
          <cell r="F1244" t="str">
            <v>03.950.125/0001-70</v>
          </cell>
        </row>
        <row r="1245">
          <cell r="A1245">
            <v>29476</v>
          </cell>
          <cell r="B1245" t="str">
            <v>CORPORATION</v>
          </cell>
          <cell r="C1245" t="str">
            <v>Mecapar Produtos Para Manutencao Industrial Ltda.</v>
          </cell>
          <cell r="D1245" t="str">
            <v>Mecapar Produtos Para Manutencao Industrial</v>
          </cell>
          <cell r="E1245" t="str">
            <v>28.614.320</v>
          </cell>
          <cell r="F1245" t="str">
            <v>28.614.320/0001-50</v>
          </cell>
        </row>
        <row r="1246">
          <cell r="A1246">
            <v>29477</v>
          </cell>
          <cell r="B1246" t="str">
            <v>CORPORATION</v>
          </cell>
          <cell r="C1246" t="str">
            <v>Fgh Comercio E Distribuidora Ltda</v>
          </cell>
          <cell r="D1246" t="str">
            <v>Terramar</v>
          </cell>
          <cell r="E1246" t="str">
            <v>21.092.682</v>
          </cell>
          <cell r="F1246" t="str">
            <v>21.092.682/0001-80</v>
          </cell>
          <cell r="G1246" t="str">
            <v>TERRAMAR</v>
          </cell>
        </row>
        <row r="1247">
          <cell r="A1247">
            <v>29478</v>
          </cell>
          <cell r="B1247" t="str">
            <v>CORPORATION</v>
          </cell>
          <cell r="C1247" t="str">
            <v>Spj Comercial Ltda - Me</v>
          </cell>
          <cell r="D1247" t="str">
            <v>S P J Comercial</v>
          </cell>
          <cell r="E1247" t="str">
            <v>14.547.833</v>
          </cell>
          <cell r="F1247" t="str">
            <v>14.547.833/0001-81</v>
          </cell>
        </row>
        <row r="1248">
          <cell r="A1248">
            <v>29481</v>
          </cell>
          <cell r="B1248" t="str">
            <v>CORPORATION</v>
          </cell>
          <cell r="C1248" t="str">
            <v>Ingelauto Centro Automotivo Ltda - Me</v>
          </cell>
          <cell r="D1248" t="str">
            <v>Ingelauto Centro Automotivo Ltda - Me</v>
          </cell>
          <cell r="E1248" t="str">
            <v>03.060.072</v>
          </cell>
          <cell r="F1248" t="str">
            <v>03.060.072/0001-12</v>
          </cell>
        </row>
        <row r="1249">
          <cell r="A1249">
            <v>29482</v>
          </cell>
          <cell r="B1249" t="str">
            <v>CORPORATION</v>
          </cell>
          <cell r="C1249" t="str">
            <v>Parafusoferr Ferragens Ltda</v>
          </cell>
          <cell r="D1249" t="str">
            <v>Parafusoferr</v>
          </cell>
          <cell r="E1249" t="str">
            <v>41.420.847</v>
          </cell>
          <cell r="F1249" t="str">
            <v>41.420.847/0001-02</v>
          </cell>
        </row>
        <row r="1250">
          <cell r="A1250">
            <v>29484</v>
          </cell>
          <cell r="B1250" t="str">
            <v>CORPORATION</v>
          </cell>
          <cell r="C1250" t="str">
            <v>O Baratekx Lar E Construcao Importadora Ltda - Epp</v>
          </cell>
          <cell r="D1250" t="str">
            <v>O Barateiro</v>
          </cell>
          <cell r="E1250" t="str">
            <v>13.267.194</v>
          </cell>
          <cell r="F1250" t="str">
            <v>13.267.194/0001-38</v>
          </cell>
        </row>
        <row r="1251">
          <cell r="A1251">
            <v>29489</v>
          </cell>
          <cell r="B1251" t="str">
            <v>CORPORATION</v>
          </cell>
          <cell r="C1251" t="str">
            <v>Unyteki Comercio E Construcoes Ltda</v>
          </cell>
          <cell r="D1251" t="str">
            <v>Unyteki</v>
          </cell>
          <cell r="E1251" t="str">
            <v>07.695.558</v>
          </cell>
          <cell r="F1251" t="str">
            <v>07.695.558/0001-88</v>
          </cell>
        </row>
        <row r="1252">
          <cell r="A1252">
            <v>29490</v>
          </cell>
          <cell r="B1252" t="str">
            <v>CORPORATION</v>
          </cell>
          <cell r="C1252" t="str">
            <v>Luiz Goncalves Da Cunha - Me</v>
          </cell>
          <cell r="D1252" t="str">
            <v>Lg Soldas</v>
          </cell>
          <cell r="E1252" t="str">
            <v>09.516.844</v>
          </cell>
          <cell r="F1252" t="str">
            <v>09.516.844/0001-64</v>
          </cell>
        </row>
        <row r="1253">
          <cell r="A1253">
            <v>29492</v>
          </cell>
          <cell r="B1253" t="str">
            <v>CORPORATION</v>
          </cell>
          <cell r="C1253" t="str">
            <v>Fabricio Ferrazza Palharini - Me</v>
          </cell>
          <cell r="D1253" t="str">
            <v>Fabricio Ferrazza Palharini - Me</v>
          </cell>
          <cell r="E1253" t="str">
            <v>08.010.932</v>
          </cell>
          <cell r="F1253" t="str">
            <v>08.010.932/0001-27</v>
          </cell>
        </row>
        <row r="1254">
          <cell r="A1254">
            <v>29495</v>
          </cell>
          <cell r="B1254" t="str">
            <v>CORPORATION</v>
          </cell>
          <cell r="C1254" t="str">
            <v>Persico Ferramentas Serv Tecnicos Lt</v>
          </cell>
          <cell r="D1254" t="str">
            <v>Persico Ferramentas</v>
          </cell>
          <cell r="E1254" t="str">
            <v>00.314.564</v>
          </cell>
          <cell r="F1254" t="str">
            <v>00.314.564/0001-07</v>
          </cell>
        </row>
        <row r="1255">
          <cell r="A1255">
            <v>29496</v>
          </cell>
          <cell r="B1255" t="str">
            <v>CORPORATION</v>
          </cell>
          <cell r="C1255" t="str">
            <v>G D A Distribuidora De Pecas Automotivas Ltda</v>
          </cell>
          <cell r="D1255" t="str">
            <v>Gda Distribuidora</v>
          </cell>
          <cell r="E1255" t="str">
            <v>10.756.486</v>
          </cell>
          <cell r="F1255" t="str">
            <v>10.756.486/0001-46</v>
          </cell>
        </row>
        <row r="1256">
          <cell r="A1256">
            <v>29498</v>
          </cell>
          <cell r="B1256" t="str">
            <v>CORPORATION</v>
          </cell>
          <cell r="C1256" t="str">
            <v>Sergio Dias De Oliveira - Me</v>
          </cell>
          <cell r="D1256" t="str">
            <v>Sergio Dias De Oliveira - Me</v>
          </cell>
          <cell r="E1256" t="str">
            <v>97.049.548</v>
          </cell>
          <cell r="F1256" t="str">
            <v>97.049.548/0001-68</v>
          </cell>
        </row>
        <row r="1257">
          <cell r="A1257">
            <v>29501</v>
          </cell>
          <cell r="B1257" t="str">
            <v>CORPORATION</v>
          </cell>
          <cell r="C1257" t="str">
            <v>Edmar Pinto Dos Santos - Me</v>
          </cell>
          <cell r="D1257" t="str">
            <v>Episan Servicos Tecnicos</v>
          </cell>
          <cell r="E1257" t="str">
            <v>21.649.967</v>
          </cell>
          <cell r="F1257" t="str">
            <v>21.649.967/0001-79</v>
          </cell>
        </row>
        <row r="1258">
          <cell r="A1258">
            <v>29504</v>
          </cell>
          <cell r="B1258" t="str">
            <v>CORPORATION</v>
          </cell>
          <cell r="C1258" t="str">
            <v>Mercado Dos Parafusos Ltda</v>
          </cell>
          <cell r="D1258" t="str">
            <v>Mercado Dos Parafusos</v>
          </cell>
          <cell r="E1258" t="str">
            <v>37.365.483</v>
          </cell>
          <cell r="F1258" t="str">
            <v>37.365.483/0001-38</v>
          </cell>
          <cell r="G1258" t="str">
            <v>MERCADO GO</v>
          </cell>
        </row>
        <row r="1259">
          <cell r="A1259">
            <v>29509</v>
          </cell>
          <cell r="B1259" t="str">
            <v>CORPORATION</v>
          </cell>
          <cell r="C1259" t="str">
            <v>Sol Material De Construcao Ltda</v>
          </cell>
          <cell r="D1259" t="str">
            <v>Sol Material De Construcao Ltda</v>
          </cell>
          <cell r="E1259" t="str">
            <v>04.566.508</v>
          </cell>
          <cell r="F1259" t="str">
            <v>04.566.508/0001-02</v>
          </cell>
        </row>
        <row r="1260">
          <cell r="A1260">
            <v>29513</v>
          </cell>
          <cell r="B1260" t="str">
            <v>CORPORATION</v>
          </cell>
          <cell r="C1260" t="str">
            <v>Superpesa Transportes, Projetos E Fabricacao S.A.</v>
          </cell>
          <cell r="D1260" t="str">
            <v>Superpesa</v>
          </cell>
          <cell r="E1260" t="str">
            <v>37.513.014</v>
          </cell>
          <cell r="F1260" t="str">
            <v>37.513.014/0001-19</v>
          </cell>
          <cell r="G1260" t="str">
            <v>SUPERPESA</v>
          </cell>
        </row>
        <row r="1261">
          <cell r="A1261">
            <v>29515</v>
          </cell>
          <cell r="B1261" t="str">
            <v>CORPORATION</v>
          </cell>
          <cell r="C1261" t="str">
            <v>Macro Soldas Comercio De Ferramentas Ltda - Me</v>
          </cell>
          <cell r="D1261" t="str">
            <v>Macro Soldas Comercio De Ferramentas Ltda - Me</v>
          </cell>
          <cell r="E1261" t="str">
            <v>91.788.307</v>
          </cell>
          <cell r="F1261" t="str">
            <v>91.788.307/0001-54</v>
          </cell>
        </row>
        <row r="1262">
          <cell r="A1262">
            <v>29518</v>
          </cell>
          <cell r="B1262" t="str">
            <v>CORPORATION</v>
          </cell>
          <cell r="C1262" t="str">
            <v>Multiparts Ferramentas E Pecas Automotivas Ltda - Epp</v>
          </cell>
          <cell r="D1262" t="str">
            <v>Multiparts</v>
          </cell>
          <cell r="E1262" t="str">
            <v>04.936.406</v>
          </cell>
          <cell r="F1262" t="str">
            <v>04.936.406/0001-31</v>
          </cell>
        </row>
        <row r="1263">
          <cell r="A1263">
            <v>29520</v>
          </cell>
          <cell r="B1263" t="str">
            <v>CORPORATION</v>
          </cell>
          <cell r="C1263" t="str">
            <v>Maria Da Paz Araujo De Souza</v>
          </cell>
          <cell r="D1263" t="str">
            <v>Comercial Mael</v>
          </cell>
          <cell r="E1263" t="str">
            <v>03.492.813</v>
          </cell>
          <cell r="F1263" t="str">
            <v>03.492.813/0001-34</v>
          </cell>
        </row>
        <row r="1264">
          <cell r="A1264">
            <v>29523</v>
          </cell>
          <cell r="B1264" t="str">
            <v>CORPORATION</v>
          </cell>
          <cell r="C1264" t="str">
            <v>Soldasinos Gases E Equipamentos Ltda - Epp</v>
          </cell>
          <cell r="D1264" t="str">
            <v>Soldasinos Gases E Equipamentos Ltda - Epp</v>
          </cell>
          <cell r="E1264" t="str">
            <v>90.082.108</v>
          </cell>
          <cell r="F1264" t="str">
            <v>90.082.108/0001-63</v>
          </cell>
        </row>
        <row r="1265">
          <cell r="A1265">
            <v>29525</v>
          </cell>
          <cell r="B1265" t="str">
            <v>CORPORATION</v>
          </cell>
          <cell r="C1265" t="str">
            <v>Rene Edson Rech - Me</v>
          </cell>
          <cell r="D1265" t="str">
            <v>Ferramentas Primus</v>
          </cell>
          <cell r="E1265" t="str">
            <v>93.971.620</v>
          </cell>
          <cell r="F1265" t="str">
            <v>93.971.620/0001-59</v>
          </cell>
        </row>
        <row r="1266">
          <cell r="A1266">
            <v>29528</v>
          </cell>
          <cell r="B1266" t="str">
            <v>CORPORATION</v>
          </cell>
          <cell r="C1266" t="str">
            <v>Dumetal Comercio De Soldas Ltda</v>
          </cell>
          <cell r="D1266" t="str">
            <v>Dumetal Comercio De Soldas Ltda</v>
          </cell>
          <cell r="E1266" t="str">
            <v>92.508.639</v>
          </cell>
          <cell r="F1266" t="str">
            <v>92.508.639/0001-09</v>
          </cell>
        </row>
        <row r="1267">
          <cell r="A1267">
            <v>29529</v>
          </cell>
          <cell r="B1267" t="str">
            <v>CORPORATION</v>
          </cell>
          <cell r="C1267" t="str">
            <v>Toledo &amp; Delaporta Ltda</v>
          </cell>
          <cell r="D1267" t="str">
            <v>Cia Soldas</v>
          </cell>
          <cell r="E1267" t="str">
            <v>13.767.331</v>
          </cell>
          <cell r="F1267" t="str">
            <v>13.767.331/0001-01</v>
          </cell>
        </row>
        <row r="1268">
          <cell r="A1268">
            <v>29531</v>
          </cell>
          <cell r="B1268" t="str">
            <v>CORPORATION</v>
          </cell>
          <cell r="C1268" t="str">
            <v>Passarin Distribuidor De Suprimentos Industriais Ltda. - Epp</v>
          </cell>
          <cell r="D1268" t="str">
            <v>Passarin Distribuidor De Suprimentos Industriais Ltda. - Epp</v>
          </cell>
          <cell r="E1268" t="str">
            <v>06.925.017</v>
          </cell>
          <cell r="F1268" t="str">
            <v>06.925.017/0001-36</v>
          </cell>
        </row>
        <row r="1269">
          <cell r="A1269">
            <v>29534</v>
          </cell>
          <cell r="B1269" t="str">
            <v>CORPORATION</v>
          </cell>
          <cell r="C1269" t="str">
            <v>Eletro Mecanica J K Ltda - Me</v>
          </cell>
          <cell r="D1269" t="str">
            <v>Eletro Mecanica J K Ltda - Me</v>
          </cell>
          <cell r="E1269" t="str">
            <v>73.422.495</v>
          </cell>
          <cell r="F1269" t="str">
            <v>73.422.495/0001-10</v>
          </cell>
        </row>
        <row r="1270">
          <cell r="A1270">
            <v>29536</v>
          </cell>
          <cell r="B1270" t="str">
            <v>CORPORATION</v>
          </cell>
          <cell r="C1270" t="str">
            <v>Comercial Ferragem G F Ltda - Epp</v>
          </cell>
          <cell r="D1270" t="str">
            <v>Beuren</v>
          </cell>
          <cell r="E1270" t="str">
            <v>02.705.442</v>
          </cell>
          <cell r="F1270" t="str">
            <v>02.705.442/0001-69</v>
          </cell>
        </row>
        <row r="1271">
          <cell r="A1271">
            <v>29539</v>
          </cell>
          <cell r="B1271" t="str">
            <v>CORPORATION</v>
          </cell>
          <cell r="C1271" t="str">
            <v>Oxi-Fragata Equipamentos Para Soldas Em Geral Ltda - Me</v>
          </cell>
          <cell r="D1271" t="str">
            <v>Oxi-Fragata</v>
          </cell>
          <cell r="E1271" t="str">
            <v>13.791.185</v>
          </cell>
          <cell r="F1271" t="str">
            <v>13.791.185/0001-41</v>
          </cell>
        </row>
        <row r="1272">
          <cell r="A1272">
            <v>29541</v>
          </cell>
          <cell r="B1272" t="str">
            <v>CORPORATION</v>
          </cell>
          <cell r="C1272" t="str">
            <v>Proerge Materiais Eletricos Ltda</v>
          </cell>
          <cell r="D1272" t="str">
            <v>Proerge Materiais</v>
          </cell>
          <cell r="E1272" t="str">
            <v>53.561.841</v>
          </cell>
          <cell r="F1272" t="str">
            <v>53.561.841/0001-34</v>
          </cell>
        </row>
        <row r="1273">
          <cell r="A1273">
            <v>29545</v>
          </cell>
          <cell r="B1273" t="str">
            <v>CORPORATION</v>
          </cell>
          <cell r="C1273" t="str">
            <v>Hidrobombas Goioere Ltda - Me</v>
          </cell>
          <cell r="D1273" t="str">
            <v>Hidrobombas Goioere Ltda - Me</v>
          </cell>
          <cell r="E1273" t="str">
            <v>11.926.173</v>
          </cell>
          <cell r="F1273" t="str">
            <v>11.926.173/0001-51</v>
          </cell>
        </row>
        <row r="1274">
          <cell r="A1274">
            <v>29548</v>
          </cell>
          <cell r="B1274" t="str">
            <v>CORPORATION</v>
          </cell>
          <cell r="C1274" t="str">
            <v>Ildemar Garcia Da Silva - Me</v>
          </cell>
          <cell r="D1274" t="str">
            <v>Ildemar Garcia Da Silva - Me</v>
          </cell>
          <cell r="E1274" t="str">
            <v>07.868.604</v>
          </cell>
          <cell r="F1274" t="str">
            <v>07.868.604/0001-01</v>
          </cell>
        </row>
        <row r="1275">
          <cell r="A1275">
            <v>29550</v>
          </cell>
          <cell r="B1275" t="str">
            <v>CORPORATION</v>
          </cell>
          <cell r="C1275" t="str">
            <v>Eletrus Frank Automacao E Comercio De Pecas Ltda - Epp</v>
          </cell>
          <cell r="D1275" t="str">
            <v>Eletrus Frank Automacao E Comercio De Pecas Ltda - Epp</v>
          </cell>
        </row>
        <row r="1276">
          <cell r="A1276">
            <v>29553</v>
          </cell>
          <cell r="B1276" t="str">
            <v>CORPORATION</v>
          </cell>
          <cell r="C1276" t="str">
            <v>Comercial Fercomase Ltda - Epp</v>
          </cell>
          <cell r="D1276" t="str">
            <v>Comercial Fercomase</v>
          </cell>
          <cell r="E1276" t="str">
            <v>BR_CNPJ</v>
          </cell>
          <cell r="F1276" t="str">
            <v>61.074.670/0001-47</v>
          </cell>
        </row>
        <row r="1277">
          <cell r="A1277">
            <v>29555</v>
          </cell>
          <cell r="B1277" t="str">
            <v>CORPORATION</v>
          </cell>
          <cell r="C1277" t="str">
            <v>Felipe Caio Correa Gomes 01554981697</v>
          </cell>
          <cell r="D1277" t="str">
            <v>Wf Tornearia &amp; Mecanica Diesel (Gemac)</v>
          </cell>
          <cell r="E1277" t="str">
            <v>BR_CNPJ</v>
          </cell>
          <cell r="F1277" t="str">
            <v>44.995.577/0001-56</v>
          </cell>
          <cell r="G1277" t="str">
            <v>GEMAC</v>
          </cell>
        </row>
        <row r="1278">
          <cell r="A1278">
            <v>29561</v>
          </cell>
          <cell r="B1278" t="str">
            <v>CORPORATION</v>
          </cell>
          <cell r="C1278" t="str">
            <v>Parana Soldas Com De Equip E Materiais Para Solda Ltda</v>
          </cell>
          <cell r="D1278" t="str">
            <v>Parana Soldas Com De Equip E Materiais Para Solda Ltda</v>
          </cell>
          <cell r="E1278" t="str">
            <v>BR_CNPJ</v>
          </cell>
          <cell r="F1278" t="str">
            <v>04.066.728/0001-77</v>
          </cell>
        </row>
        <row r="1279">
          <cell r="A1279">
            <v>29564</v>
          </cell>
          <cell r="B1279" t="str">
            <v>CORPORATION</v>
          </cell>
          <cell r="C1279" t="str">
            <v>Osmar Rodrigues Dos Santos Ferragens &amp; Ferramentas - Me</v>
          </cell>
          <cell r="D1279" t="str">
            <v>Rs Ferragens &amp; Ferramentas</v>
          </cell>
          <cell r="E1279" t="str">
            <v>BR_CNPJ</v>
          </cell>
          <cell r="F1279" t="str">
            <v>13.018.699/0001-69</v>
          </cell>
        </row>
        <row r="1280">
          <cell r="A1280">
            <v>29567</v>
          </cell>
          <cell r="B1280" t="str">
            <v>CORPORATION</v>
          </cell>
          <cell r="C1280" t="str">
            <v>Jose Paulo Giombelli - Me</v>
          </cell>
          <cell r="D1280" t="str">
            <v>Centralfer Maquinas E Ferramentas</v>
          </cell>
          <cell r="E1280" t="str">
            <v>BR_CNPJ</v>
          </cell>
          <cell r="F1280" t="str">
            <v>13.073.685/0001-48</v>
          </cell>
        </row>
        <row r="1281">
          <cell r="A1281">
            <v>29572</v>
          </cell>
          <cell r="B1281" t="str">
            <v>CORPORATION</v>
          </cell>
          <cell r="C1281" t="str">
            <v>Central Import Distribuicao De Ferragens Eireli</v>
          </cell>
          <cell r="D1281" t="str">
            <v>Central Do Epi</v>
          </cell>
          <cell r="E1281" t="str">
            <v>BR_CNPJ</v>
          </cell>
          <cell r="F1281" t="str">
            <v>11.558.207/0001-00</v>
          </cell>
          <cell r="G1281" t="str">
            <v>CENTRAL DO EPI</v>
          </cell>
        </row>
        <row r="1282">
          <cell r="A1282">
            <v>29574</v>
          </cell>
          <cell r="B1282" t="str">
            <v>CORPORATION</v>
          </cell>
          <cell r="C1282" t="str">
            <v>Carloni Comercio De Materiais De Construcao Em Geral - Eireli - Epp</v>
          </cell>
          <cell r="D1282" t="str">
            <v>Organizacoes Carloni</v>
          </cell>
          <cell r="E1282" t="str">
            <v>BR_CNPJ</v>
          </cell>
          <cell r="F1282" t="str">
            <v>18.621.870/0001-43</v>
          </cell>
        </row>
        <row r="1283">
          <cell r="A1283">
            <v>29577</v>
          </cell>
          <cell r="B1283" t="str">
            <v>CORPORATION</v>
          </cell>
          <cell r="C1283" t="str">
            <v>Maqfase Maquinas E Ferramentas Ltda - Me</v>
          </cell>
          <cell r="D1283" t="str">
            <v>Maqfase</v>
          </cell>
          <cell r="E1283" t="str">
            <v>BR_CNPJ</v>
          </cell>
          <cell r="F1283" t="str">
            <v>10.761.548/0001-08</v>
          </cell>
        </row>
        <row r="1284">
          <cell r="A1284">
            <v>29578</v>
          </cell>
          <cell r="B1284" t="str">
            <v>CORPORATION</v>
          </cell>
          <cell r="C1284" t="str">
            <v>Oximig Industria E Comercio Ltda</v>
          </cell>
          <cell r="D1284" t="str">
            <v>Oximig Industria E Comercio</v>
          </cell>
          <cell r="E1284" t="str">
            <v>BR_CNPJ</v>
          </cell>
          <cell r="F1284" t="str">
            <v>51.568.921/0002-77</v>
          </cell>
          <cell r="G1284" t="str">
            <v>OXIMIG</v>
          </cell>
        </row>
        <row r="1285">
          <cell r="A1285">
            <v>29580</v>
          </cell>
          <cell r="B1285" t="str">
            <v>CORPORATION</v>
          </cell>
          <cell r="C1285" t="str">
            <v>Crm Produtos E Servicos Industriais Ltda</v>
          </cell>
          <cell r="D1285" t="str">
            <v>Crm Produtos E Servicos</v>
          </cell>
          <cell r="E1285" t="str">
            <v>BR_CNPJ</v>
          </cell>
          <cell r="F1285" t="str">
            <v>06.023.566/0002-04</v>
          </cell>
        </row>
        <row r="1286">
          <cell r="A1286">
            <v>29583</v>
          </cell>
          <cell r="B1286" t="str">
            <v>CORPORATION</v>
          </cell>
          <cell r="C1286" t="str">
            <v>Powermig Automacao E Soldagem Ltda</v>
          </cell>
          <cell r="D1286" t="str">
            <v>Powermig Automacao E Soldagem Ltda</v>
          </cell>
          <cell r="E1286" t="str">
            <v>BR_CNPJ</v>
          </cell>
          <cell r="F1286" t="str">
            <v>08.380.295/0001-80</v>
          </cell>
        </row>
        <row r="1287">
          <cell r="A1287">
            <v>29584</v>
          </cell>
          <cell r="B1287" t="str">
            <v>CORPORATION</v>
          </cell>
          <cell r="C1287" t="str">
            <v>Candeias Comercio Varejista De Ferragens - Eireli</v>
          </cell>
          <cell r="D1287" t="str">
            <v>Ferragens Centro Oeste</v>
          </cell>
          <cell r="E1287" t="str">
            <v>BR_CNPJ</v>
          </cell>
          <cell r="F1287" t="str">
            <v>36.834.099/0001-74</v>
          </cell>
          <cell r="G1287" t="str">
            <v>FERRAGEM CENTRO OESTE</v>
          </cell>
        </row>
        <row r="1288">
          <cell r="A1288">
            <v>29587</v>
          </cell>
          <cell r="B1288" t="str">
            <v>CORPORATION</v>
          </cell>
          <cell r="C1288" t="str">
            <v>Mendes E Borges Ltda</v>
          </cell>
          <cell r="D1288" t="str">
            <v>Eletroagil</v>
          </cell>
          <cell r="E1288" t="str">
            <v>BR_CNPJ</v>
          </cell>
          <cell r="F1288" t="str">
            <v>08.935.826/0001-54</v>
          </cell>
        </row>
        <row r="1289">
          <cell r="A1289">
            <v>29592</v>
          </cell>
          <cell r="B1289" t="str">
            <v>CORPORATION</v>
          </cell>
          <cell r="C1289" t="str">
            <v>Premoltex Com Mat.Construcao Ltda</v>
          </cell>
          <cell r="D1289" t="str">
            <v>Premoltex Com Mat.Construcao Ltda</v>
          </cell>
          <cell r="E1289" t="str">
            <v>BR_CNPJ</v>
          </cell>
          <cell r="F1289" t="str">
            <v>48.332.696/0001-80</v>
          </cell>
        </row>
        <row r="1290">
          <cell r="A1290">
            <v>29595</v>
          </cell>
          <cell r="B1290" t="str">
            <v>CORPORATION</v>
          </cell>
          <cell r="C1290" t="str">
            <v>Estofer Acl Comercial Ltda</v>
          </cell>
          <cell r="D1290" t="str">
            <v>Estofer Acl Comercial Ltda</v>
          </cell>
          <cell r="E1290" t="str">
            <v>BR_CNPJ</v>
          </cell>
          <cell r="F1290" t="str">
            <v>21.691.407/0001-82</v>
          </cell>
        </row>
        <row r="1291">
          <cell r="A1291">
            <v>29598</v>
          </cell>
          <cell r="B1291" t="str">
            <v>CORPORATION</v>
          </cell>
          <cell r="C1291" t="str">
            <v>Copafe Comercio De Parafusos E Ferramentas Ltda - Epp</v>
          </cell>
          <cell r="D1291" t="str">
            <v>D&amp;S Parafusos</v>
          </cell>
          <cell r="E1291" t="str">
            <v>BR_CNPJ</v>
          </cell>
          <cell r="F1291" t="str">
            <v>37.410.131/0001-57</v>
          </cell>
        </row>
        <row r="1292">
          <cell r="A1292">
            <v>29601</v>
          </cell>
          <cell r="B1292" t="str">
            <v>CORPORATION</v>
          </cell>
          <cell r="C1292" t="str">
            <v>Pandulo Ferramentas Maquinas E Servicos Ltda</v>
          </cell>
          <cell r="D1292" t="str">
            <v>Pandulo Ferramentas Maquinas E Servicos Ltda</v>
          </cell>
          <cell r="E1292" t="str">
            <v>BR_CNPJ</v>
          </cell>
          <cell r="F1292" t="str">
            <v>12.712.461/0001-76</v>
          </cell>
        </row>
        <row r="1293">
          <cell r="A1293">
            <v>29602</v>
          </cell>
          <cell r="B1293" t="str">
            <v>CORPORATION</v>
          </cell>
          <cell r="C1293" t="str">
            <v>Andrade &amp; Oliveira Junior Ltda</v>
          </cell>
          <cell r="D1293" t="str">
            <v>Casa Das Mangueiras</v>
          </cell>
          <cell r="E1293" t="str">
            <v>BR_CNPJ</v>
          </cell>
          <cell r="F1293" t="str">
            <v>09.521.316/0001-01</v>
          </cell>
        </row>
        <row r="1294">
          <cell r="A1294">
            <v>29603</v>
          </cell>
          <cell r="B1294" t="str">
            <v>CORPORATION</v>
          </cell>
          <cell r="C1294" t="str">
            <v>Nortel Suprimentos Industriais Ltda</v>
          </cell>
          <cell r="D1294" t="str">
            <v>Nortel</v>
          </cell>
          <cell r="E1294" t="str">
            <v>BR_CNPJ</v>
          </cell>
          <cell r="F1294" t="str">
            <v>46.044.053/0046-07</v>
          </cell>
          <cell r="G1294" t="str">
            <v>NORTEL</v>
          </cell>
        </row>
        <row r="1295">
          <cell r="A1295">
            <v>29604</v>
          </cell>
          <cell r="B1295" t="str">
            <v>CORPORATION</v>
          </cell>
          <cell r="C1295" t="str">
            <v>Ivan Ferradoza</v>
          </cell>
          <cell r="D1295" t="str">
            <v>Monte Santo Distribuidora Agropecas</v>
          </cell>
          <cell r="E1295" t="str">
            <v>BR_CNPJ</v>
          </cell>
          <cell r="F1295" t="str">
            <v>23.392.253/0001-53</v>
          </cell>
        </row>
        <row r="1296">
          <cell r="A1296">
            <v>29605</v>
          </cell>
          <cell r="B1296" t="str">
            <v>CORPORATION</v>
          </cell>
          <cell r="C1296" t="str">
            <v>Luz Materiais Eletricos Ltda - Me</v>
          </cell>
          <cell r="D1296" t="str">
            <v>Luz Materiais Eletricos Ltda - Me</v>
          </cell>
          <cell r="E1296" t="str">
            <v>BR_CNPJ</v>
          </cell>
          <cell r="F1296" t="str">
            <v>10.190.466/0001-50</v>
          </cell>
        </row>
        <row r="1297">
          <cell r="A1297">
            <v>29606</v>
          </cell>
          <cell r="B1297" t="str">
            <v>CORPORATION</v>
          </cell>
          <cell r="C1297" t="str">
            <v>Israel Marcelo Louza Peres - Me</v>
          </cell>
          <cell r="D1297" t="str">
            <v>Total Componentes</v>
          </cell>
          <cell r="E1297" t="str">
            <v>BR_CNPJ</v>
          </cell>
          <cell r="F1297" t="str">
            <v>11.364.358/0001-10</v>
          </cell>
        </row>
        <row r="1298">
          <cell r="A1298">
            <v>29607</v>
          </cell>
          <cell r="B1298" t="str">
            <v>CORPORATION</v>
          </cell>
          <cell r="C1298" t="str">
            <v>Conexao Eletrico E Hidraulico Ltda</v>
          </cell>
          <cell r="D1298" t="str">
            <v>Conexao Eletrico, Hidraulico E Acabamento</v>
          </cell>
          <cell r="E1298" t="str">
            <v>BR_CNPJ</v>
          </cell>
          <cell r="F1298" t="str">
            <v>04.787.393/0002-67</v>
          </cell>
        </row>
        <row r="1299">
          <cell r="A1299">
            <v>29609</v>
          </cell>
          <cell r="B1299" t="str">
            <v>CORPORATION</v>
          </cell>
          <cell r="C1299" t="str">
            <v>Coimbra Materiais Para Construcao Ltda - Me</v>
          </cell>
          <cell r="D1299" t="str">
            <v>Tintas &amp; Cia</v>
          </cell>
          <cell r="E1299" t="str">
            <v>BR_CNPJ</v>
          </cell>
          <cell r="F1299" t="str">
            <v>07.018.414/0001-97</v>
          </cell>
        </row>
        <row r="1300">
          <cell r="A1300">
            <v>29611</v>
          </cell>
          <cell r="B1300" t="str">
            <v>CORPORATION</v>
          </cell>
          <cell r="C1300" t="str">
            <v>Mangabras Mangueiras E Acessorios Ltda - Me</v>
          </cell>
          <cell r="D1300" t="str">
            <v>Ribermaq Maquinas E Ferramentas</v>
          </cell>
          <cell r="E1300" t="str">
            <v>BR_CNPJ</v>
          </cell>
          <cell r="F1300" t="str">
            <v>08.744.883/0001-56</v>
          </cell>
        </row>
        <row r="1301">
          <cell r="A1301">
            <v>29613</v>
          </cell>
          <cell r="B1301" t="str">
            <v>CORPORATION</v>
          </cell>
          <cell r="C1301" t="str">
            <v>Bruno De Souza May</v>
          </cell>
          <cell r="D1301" t="str">
            <v>Stark Atacado</v>
          </cell>
          <cell r="E1301" t="str">
            <v>BR_CNPJ</v>
          </cell>
          <cell r="F1301" t="str">
            <v>30.750.445/0001-50</v>
          </cell>
        </row>
        <row r="1302">
          <cell r="A1302">
            <v>29614</v>
          </cell>
          <cell r="B1302" t="str">
            <v>CORPORATION</v>
          </cell>
          <cell r="C1302" t="str">
            <v>Beltrao Comercio De Parafusos Ltda</v>
          </cell>
          <cell r="D1302" t="str">
            <v>Beltrao Comercio De Parafusos Ltda</v>
          </cell>
          <cell r="E1302" t="str">
            <v>BR_CNPJ</v>
          </cell>
          <cell r="F1302" t="str">
            <v>07.910.196/0001-09</v>
          </cell>
        </row>
        <row r="1303">
          <cell r="A1303">
            <v>29616</v>
          </cell>
          <cell r="B1303" t="str">
            <v>CORPORATION</v>
          </cell>
          <cell r="C1303" t="str">
            <v>N.R Ferragens Ltda</v>
          </cell>
          <cell r="D1303" t="str">
            <v>Br Parafusos</v>
          </cell>
          <cell r="E1303" t="str">
            <v>BR_CNPJ</v>
          </cell>
          <cell r="F1303" t="str">
            <v>11.627.035/0001-71</v>
          </cell>
          <cell r="G1303" t="str">
            <v>BR PARAFUSOS</v>
          </cell>
        </row>
        <row r="1304">
          <cell r="A1304">
            <v>29617</v>
          </cell>
          <cell r="B1304" t="str">
            <v>CORPORATION</v>
          </cell>
          <cell r="C1304" t="str">
            <v>Mandimaq - Comercio De Maquinas Ltda - Epp</v>
          </cell>
          <cell r="D1304" t="str">
            <v>Mandimaq</v>
          </cell>
          <cell r="E1304" t="str">
            <v>BR_CNPJ</v>
          </cell>
          <cell r="F1304" t="str">
            <v>07.050.604/0001-91</v>
          </cell>
        </row>
        <row r="1305">
          <cell r="A1305">
            <v>29620</v>
          </cell>
          <cell r="B1305" t="str">
            <v>CORPORATION</v>
          </cell>
          <cell r="C1305" t="str">
            <v>Laguna Distribuição Ltda-Me</v>
          </cell>
          <cell r="D1305" t="str">
            <v>Laguna Distribuição</v>
          </cell>
          <cell r="E1305" t="str">
            <v>BR_CNPJ</v>
          </cell>
          <cell r="F1305" t="str">
            <v>82.596.792/0002-54</v>
          </cell>
        </row>
        <row r="1306">
          <cell r="A1306">
            <v>29624</v>
          </cell>
          <cell r="B1306" t="str">
            <v>CORPORATION</v>
          </cell>
          <cell r="C1306" t="str">
            <v>Columbia Comercial De Equipamentos Ltda - Me</v>
          </cell>
          <cell r="D1306" t="str">
            <v>Columbia Equipamentos</v>
          </cell>
          <cell r="E1306" t="str">
            <v>BR_CNPJ</v>
          </cell>
          <cell r="F1306" t="str">
            <v>10.378.106/0001-87</v>
          </cell>
        </row>
        <row r="1307">
          <cell r="A1307">
            <v>29627</v>
          </cell>
          <cell r="B1307" t="str">
            <v>CORPORATION</v>
          </cell>
          <cell r="C1307" t="str">
            <v>Bg Ferramentas Industria Comercio Importacao E Exp Ltda</v>
          </cell>
          <cell r="D1307" t="str">
            <v>Bg Ferramentas</v>
          </cell>
          <cell r="E1307" t="str">
            <v>BR_CNPJ</v>
          </cell>
          <cell r="F1307" t="str">
            <v>89.340.616/0001-15</v>
          </cell>
        </row>
        <row r="1308">
          <cell r="A1308">
            <v>29630</v>
          </cell>
          <cell r="B1308" t="str">
            <v>CORPORATION</v>
          </cell>
          <cell r="C1308" t="str">
            <v>Maxxi Soldas Comercio E Servicos Ltda Me</v>
          </cell>
          <cell r="D1308" t="str">
            <v>Maxxi Soldas Comercio E Servicos Ltda Me</v>
          </cell>
          <cell r="E1308" t="str">
            <v>BR_CNPJ</v>
          </cell>
          <cell r="F1308" t="str">
            <v>14.491.253/0001-10</v>
          </cell>
        </row>
        <row r="1309">
          <cell r="A1309">
            <v>29637</v>
          </cell>
          <cell r="B1309" t="str">
            <v>CORPORATION</v>
          </cell>
          <cell r="C1309" t="str">
            <v>Ferrasoldas Comercio De Soldas E Ferramentas Ltda - Epp</v>
          </cell>
          <cell r="D1309" t="str">
            <v>Ferrasoldas</v>
          </cell>
          <cell r="E1309" t="str">
            <v>BR_CNPJ</v>
          </cell>
          <cell r="F1309" t="str">
            <v>82.204.108/0001-60</v>
          </cell>
        </row>
        <row r="1310">
          <cell r="A1310">
            <v>29643</v>
          </cell>
          <cell r="B1310" t="str">
            <v>CORPORATION</v>
          </cell>
          <cell r="C1310" t="str">
            <v>Adolfo Keunecke E Cia Ltda</v>
          </cell>
          <cell r="D1310" t="str">
            <v>Adolfo Keunecke</v>
          </cell>
          <cell r="E1310" t="str">
            <v>BR_CNPJ</v>
          </cell>
          <cell r="F1310" t="str">
            <v>83.439.471/0001-28</v>
          </cell>
        </row>
        <row r="1311">
          <cell r="A1311">
            <v>29645</v>
          </cell>
          <cell r="B1311" t="str">
            <v>CORPORATION</v>
          </cell>
          <cell r="C1311" t="str">
            <v>Ferrari &amp; Ferrari Comercio E Representacoes Ltda - Epp</v>
          </cell>
          <cell r="D1311" t="str">
            <v>Ferrari &amp; Ferrari Equipamentos</v>
          </cell>
          <cell r="E1311" t="str">
            <v>BR_CNPJ</v>
          </cell>
          <cell r="F1311" t="str">
            <v>02.259.171/0001-65</v>
          </cell>
        </row>
        <row r="1312">
          <cell r="A1312">
            <v>29648</v>
          </cell>
          <cell r="B1312" t="str">
            <v>CORPORATION</v>
          </cell>
          <cell r="C1312" t="str">
            <v>Nogueira Comercial Ltda - Me</v>
          </cell>
          <cell r="D1312" t="str">
            <v>Nogueira Comercial</v>
          </cell>
          <cell r="E1312" t="str">
            <v>BR_CNPJ</v>
          </cell>
          <cell r="F1312" t="str">
            <v>10.586.427/0001-77</v>
          </cell>
        </row>
        <row r="1313">
          <cell r="A1313">
            <v>29649</v>
          </cell>
          <cell r="B1313" t="str">
            <v>CORPORATION</v>
          </cell>
          <cell r="C1313" t="str">
            <v>Cia De Utilidades Eireli</v>
          </cell>
          <cell r="D1313" t="str">
            <v>Multi Outlet</v>
          </cell>
          <cell r="E1313" t="str">
            <v>BR_CNPJ</v>
          </cell>
          <cell r="F1313" t="str">
            <v>31.458.851/0001-06</v>
          </cell>
        </row>
        <row r="1314">
          <cell r="A1314">
            <v>29651</v>
          </cell>
          <cell r="B1314" t="str">
            <v>CORPORATION</v>
          </cell>
          <cell r="C1314" t="str">
            <v>Brasquip Comercial Ltda - Epp</v>
          </cell>
          <cell r="D1314" t="str">
            <v>Brasquip</v>
          </cell>
          <cell r="E1314" t="str">
            <v>BR_CNPJ</v>
          </cell>
          <cell r="F1314" t="str">
            <v>02.493.622/0001-24</v>
          </cell>
        </row>
        <row r="1315">
          <cell r="A1315">
            <v>29654</v>
          </cell>
          <cell r="B1315" t="str">
            <v>CORPORATION</v>
          </cell>
          <cell r="C1315" t="str">
            <v>C-Jau Comercio De Ferramentas E Parafusos Ltda</v>
          </cell>
          <cell r="D1315" t="str">
            <v>C-Jau Comercio De Ferramentas E Parafusos Ltda</v>
          </cell>
          <cell r="E1315" t="str">
            <v>BR_CNPJ</v>
          </cell>
          <cell r="F1315" t="str">
            <v>48.120.752/0001-12</v>
          </cell>
          <cell r="G1315" t="str">
            <v>C-JAU</v>
          </cell>
        </row>
        <row r="1316">
          <cell r="A1316">
            <v>29660</v>
          </cell>
          <cell r="B1316" t="str">
            <v>CORPORATION</v>
          </cell>
          <cell r="C1316" t="str">
            <v>Amerika Maquinas E Ferramentas Ltda</v>
          </cell>
          <cell r="D1316" t="str">
            <v>Amerika Maquinas E Ferramentas Ltda</v>
          </cell>
          <cell r="E1316" t="str">
            <v>BR_CNPJ</v>
          </cell>
          <cell r="F1316" t="str">
            <v>00.883.592/0001-37</v>
          </cell>
        </row>
        <row r="1317">
          <cell r="A1317">
            <v>29665</v>
          </cell>
          <cell r="B1317" t="str">
            <v>CORPORATION</v>
          </cell>
          <cell r="C1317" t="str">
            <v>Auto Tintas M B Ltda - Epp</v>
          </cell>
          <cell r="D1317" t="str">
            <v>Auto Tintas M B Ltda - Epp</v>
          </cell>
          <cell r="E1317" t="str">
            <v>BR_CNPJ</v>
          </cell>
          <cell r="F1317" t="str">
            <v>04.897.124/0001-72</v>
          </cell>
        </row>
        <row r="1318">
          <cell r="A1318">
            <v>29668</v>
          </cell>
          <cell r="B1318" t="str">
            <v>CORPORATION</v>
          </cell>
          <cell r="C1318" t="str">
            <v>Lojas Ene Esse Eireli - Epp</v>
          </cell>
          <cell r="D1318" t="str">
            <v>Lojas Ene Esse Eireli - Epp</v>
          </cell>
          <cell r="E1318" t="str">
            <v>BR_CNPJ</v>
          </cell>
          <cell r="F1318" t="str">
            <v>01.649.646/0001-67</v>
          </cell>
          <cell r="G1318" t="str">
            <v>LOJA ENE ESSE</v>
          </cell>
        </row>
        <row r="1319">
          <cell r="A1319">
            <v>29671</v>
          </cell>
          <cell r="B1319" t="str">
            <v>CORPORATION</v>
          </cell>
          <cell r="C1319" t="str">
            <v>Zass Comercial Ltda - Me</v>
          </cell>
          <cell r="D1319" t="str">
            <v>Diametro Comercial</v>
          </cell>
          <cell r="E1319" t="str">
            <v>BR_CNPJ</v>
          </cell>
          <cell r="F1319" t="str">
            <v>07.857.916/0001-01</v>
          </cell>
        </row>
        <row r="1320">
          <cell r="A1320">
            <v>29674</v>
          </cell>
          <cell r="B1320" t="str">
            <v>CORPORATION</v>
          </cell>
          <cell r="C1320" t="str">
            <v>Fercmaq Comercio De Maquinas E Ferramentas Ltda. - Epp</v>
          </cell>
          <cell r="D1320" t="str">
            <v>Fercmaq</v>
          </cell>
          <cell r="E1320" t="str">
            <v>BR_CNPJ</v>
          </cell>
          <cell r="F1320" t="str">
            <v>07.473.122/0001-44</v>
          </cell>
        </row>
        <row r="1321">
          <cell r="A1321">
            <v>29677</v>
          </cell>
          <cell r="B1321" t="str">
            <v>CORPORATION</v>
          </cell>
          <cell r="C1321" t="str">
            <v>Valmir Jose Cossetin - Me</v>
          </cell>
          <cell r="D1321" t="str">
            <v>Valmir Jose Cossetin - Me</v>
          </cell>
          <cell r="E1321" t="str">
            <v>BR_CNPJ</v>
          </cell>
          <cell r="F1321" t="str">
            <v>01.245.385/0001-10</v>
          </cell>
        </row>
        <row r="1322">
          <cell r="A1322">
            <v>29680</v>
          </cell>
          <cell r="B1322" t="str">
            <v>CORPORATION</v>
          </cell>
          <cell r="C1322" t="str">
            <v>Continental Ferramentas E Equipamentos Ltda</v>
          </cell>
          <cell r="D1322" t="str">
            <v>Continental Ferramentas E Equipamentos Ltda</v>
          </cell>
          <cell r="E1322" t="str">
            <v>BR_CNPJ</v>
          </cell>
          <cell r="F1322" t="str">
            <v>01.625.708/0001-09</v>
          </cell>
        </row>
        <row r="1323">
          <cell r="A1323">
            <v>29683</v>
          </cell>
          <cell r="B1323" t="str">
            <v>CORPORATION</v>
          </cell>
          <cell r="C1323" t="str">
            <v>Bringhenti &amp; Cia Ltda - Me</v>
          </cell>
          <cell r="D1323" t="str">
            <v>Bringhenti &amp; Cia Ltda - Me</v>
          </cell>
          <cell r="E1323" t="str">
            <v>BR_CNPJ</v>
          </cell>
          <cell r="F1323" t="str">
            <v>98.748.072/0001-16</v>
          </cell>
        </row>
        <row r="1324">
          <cell r="A1324">
            <v>29685</v>
          </cell>
          <cell r="B1324" t="str">
            <v>CORPORATION</v>
          </cell>
          <cell r="C1324" t="str">
            <v>V Da Silva Oliveira</v>
          </cell>
          <cell r="D1324" t="str">
            <v>Aroldo Bombas</v>
          </cell>
          <cell r="E1324" t="str">
            <v>BR_CNPJ</v>
          </cell>
          <cell r="F1324" t="str">
            <v>33.446.655/0001-47</v>
          </cell>
        </row>
        <row r="1325">
          <cell r="A1325">
            <v>29687</v>
          </cell>
          <cell r="B1325" t="str">
            <v>CORPORATION</v>
          </cell>
          <cell r="C1325" t="str">
            <v>Eder Henrique Mendes</v>
          </cell>
          <cell r="D1325" t="str">
            <v>Incospel</v>
          </cell>
          <cell r="E1325" t="str">
            <v>BR_CNPJ</v>
          </cell>
          <cell r="F1325" t="str">
            <v>12.700.534/0001-00</v>
          </cell>
        </row>
        <row r="1326">
          <cell r="A1326">
            <v>29689</v>
          </cell>
          <cell r="B1326" t="str">
            <v>CORPORATION</v>
          </cell>
          <cell r="C1326" t="str">
            <v>Tecni-Mig Equipamentos Para Solda Ltda - Epp</v>
          </cell>
          <cell r="D1326" t="str">
            <v>Tecni-Mig Equipamentos Para Solda Ltda - Epp</v>
          </cell>
          <cell r="E1326" t="str">
            <v>BR_CNPJ</v>
          </cell>
          <cell r="F1326" t="str">
            <v>90.504.754/0001-71</v>
          </cell>
        </row>
        <row r="1327">
          <cell r="A1327">
            <v>29690</v>
          </cell>
          <cell r="B1327" t="str">
            <v>CORPORATION</v>
          </cell>
          <cell r="C1327" t="str">
            <v>Carlos Vinicius Gama &amp; Cia Ltda</v>
          </cell>
          <cell r="D1327" t="str">
            <v>Gama Ferro E Aco</v>
          </cell>
          <cell r="E1327" t="str">
            <v>BR_CNPJ</v>
          </cell>
          <cell r="F1327" t="str">
            <v>08.726.773/0001-61</v>
          </cell>
        </row>
        <row r="1328">
          <cell r="A1328">
            <v>29692</v>
          </cell>
          <cell r="B1328" t="str">
            <v>CORPORATION</v>
          </cell>
          <cell r="C1328" t="str">
            <v>D. Caetano Comercial E Participacoes Ltda - Me</v>
          </cell>
          <cell r="D1328" t="str">
            <v>Agro Eletro</v>
          </cell>
          <cell r="E1328" t="str">
            <v>BR_CNPJ</v>
          </cell>
          <cell r="F1328" t="str">
            <v>04.484.698/0001-19</v>
          </cell>
        </row>
        <row r="1329">
          <cell r="A1329">
            <v>29693</v>
          </cell>
          <cell r="B1329" t="str">
            <v>CORPORATION</v>
          </cell>
          <cell r="C1329" t="str">
            <v>P H Barros Santana Comercio</v>
          </cell>
          <cell r="D1329" t="str">
            <v>Comercial Barros</v>
          </cell>
          <cell r="E1329" t="str">
            <v>BR_CNPJ</v>
          </cell>
          <cell r="F1329" t="str">
            <v>00.863.224/0001-27</v>
          </cell>
        </row>
        <row r="1330">
          <cell r="A1330">
            <v>29694</v>
          </cell>
          <cell r="B1330" t="str">
            <v>CORPORATION</v>
          </cell>
          <cell r="C1330" t="str">
            <v>49.361.638 Fabiano Da Costa Silva</v>
          </cell>
          <cell r="D1330" t="str">
            <v>Araend Servicos De Inspecao E Solda.</v>
          </cell>
          <cell r="E1330" t="str">
            <v>BR_CNPJ</v>
          </cell>
          <cell r="F1330" t="str">
            <v>49.361.638/0001-47</v>
          </cell>
        </row>
        <row r="1331">
          <cell r="A1331">
            <v>29695</v>
          </cell>
          <cell r="B1331" t="str">
            <v>CORPORATION</v>
          </cell>
          <cell r="C1331" t="str">
            <v>Rosalen Construcoes E Comercio De Tintas E Ferramentas Ltda - Epp</v>
          </cell>
          <cell r="D1331" t="str">
            <v>Rosalen Tintas E Ferramentas</v>
          </cell>
          <cell r="E1331" t="str">
            <v>BR_CNPJ</v>
          </cell>
          <cell r="F1331" t="str">
            <v>08.377.462/0001-34</v>
          </cell>
        </row>
        <row r="1332">
          <cell r="A1332">
            <v>29698</v>
          </cell>
          <cell r="B1332" t="str">
            <v>CORPORATION</v>
          </cell>
          <cell r="C1332" t="str">
            <v>J.W.-Ferramentas Abrasivos E Acos Ltda - Me</v>
          </cell>
          <cell r="D1332" t="str">
            <v>J.W.-Ferramentas Abrasivos E Acos Ltda - Me</v>
          </cell>
          <cell r="E1332" t="str">
            <v>BR_CNPJ</v>
          </cell>
          <cell r="F1332" t="str">
            <v>03.703.877/0001-37</v>
          </cell>
        </row>
        <row r="1333">
          <cell r="A1333">
            <v>29701</v>
          </cell>
          <cell r="B1333" t="str">
            <v>CORPORATION</v>
          </cell>
          <cell r="C1333" t="str">
            <v>Megatorc Comercio &amp; Representacoes Ltda - Me</v>
          </cell>
          <cell r="D1333" t="str">
            <v>Megatorc Comercio &amp; Representacoes Ltda - Me</v>
          </cell>
          <cell r="E1333" t="str">
            <v>BR_CNPJ</v>
          </cell>
          <cell r="F1333" t="str">
            <v>10.340.106/0001-98</v>
          </cell>
        </row>
        <row r="1334">
          <cell r="A1334">
            <v>29704</v>
          </cell>
          <cell r="B1334" t="str">
            <v>CORPORATION</v>
          </cell>
          <cell r="C1334" t="str">
            <v>Soldabras Coml De Soldas E Acos Ltda</v>
          </cell>
          <cell r="D1334" t="str">
            <v>Soldabras</v>
          </cell>
          <cell r="E1334" t="str">
            <v>BR_CNPJ</v>
          </cell>
          <cell r="F1334" t="str">
            <v>89.839.302/0001-61</v>
          </cell>
        </row>
        <row r="1335">
          <cell r="A1335">
            <v>29705</v>
          </cell>
          <cell r="B1335" t="str">
            <v>CORPORATION</v>
          </cell>
          <cell r="C1335" t="str">
            <v>Rsg Distribuidora De Maquinas E Equipamentos Industriais Ltda</v>
          </cell>
          <cell r="D1335" t="str">
            <v>Resseg Distribuidora</v>
          </cell>
          <cell r="E1335" t="str">
            <v>BR_CNPJ</v>
          </cell>
          <cell r="F1335" t="str">
            <v>30.229.316/0001-10</v>
          </cell>
        </row>
        <row r="1336">
          <cell r="A1336">
            <v>29707</v>
          </cell>
          <cell r="B1336" t="str">
            <v>CORPORATION</v>
          </cell>
          <cell r="C1336" t="str">
            <v>Sulmig Maquinas De Solda E Motores Ltda - Epp</v>
          </cell>
          <cell r="D1336" t="str">
            <v>Sulmig Maquinas De Solda E Motores Ltda - Epp</v>
          </cell>
          <cell r="E1336" t="str">
            <v>BR_CNPJ</v>
          </cell>
          <cell r="F1336" t="str">
            <v>91.083.428/0001-09</v>
          </cell>
        </row>
        <row r="1337">
          <cell r="A1337">
            <v>29710</v>
          </cell>
          <cell r="B1337" t="str">
            <v>CORPORATION</v>
          </cell>
          <cell r="C1337" t="str">
            <v>J. M. Goncalves &amp; L. M. B. Goncalves Ltda Me</v>
          </cell>
          <cell r="D1337" t="str">
            <v>J. M. Goncalves &amp; L. M. B. Goncalves Ltda Me</v>
          </cell>
          <cell r="E1337" t="str">
            <v>BR_CNPJ</v>
          </cell>
          <cell r="F1337" t="str">
            <v>05.343.326/0001-35</v>
          </cell>
        </row>
        <row r="1338">
          <cell r="A1338">
            <v>29715</v>
          </cell>
          <cell r="B1338" t="str">
            <v>CORPORATION</v>
          </cell>
          <cell r="C1338" t="str">
            <v>Caram Abrahim &amp; Companhia - Epp</v>
          </cell>
          <cell r="D1338" t="str">
            <v>Caram Abrahim &amp; Companhia - Epp</v>
          </cell>
          <cell r="E1338" t="str">
            <v>BR_CNPJ</v>
          </cell>
          <cell r="F1338" t="str">
            <v>04.565.701/0001-29</v>
          </cell>
        </row>
        <row r="1339">
          <cell r="A1339">
            <v>29716</v>
          </cell>
          <cell r="B1339" t="str">
            <v>CORPORATION</v>
          </cell>
          <cell r="C1339" t="str">
            <v>Fey Comercio De Ferramentas E Ferragens Ltda</v>
          </cell>
          <cell r="D1339" t="str">
            <v>De Bortoli Ferramentas</v>
          </cell>
          <cell r="E1339" t="str">
            <v>BR_CNPJ</v>
          </cell>
          <cell r="F1339" t="str">
            <v>82.048.596/0001-64</v>
          </cell>
        </row>
        <row r="1340">
          <cell r="A1340">
            <v>29718</v>
          </cell>
          <cell r="B1340" t="str">
            <v>CORPORATION</v>
          </cell>
          <cell r="C1340" t="str">
            <v>Gobras Goias Brasilia Comercio De Metais Ltda</v>
          </cell>
          <cell r="D1340" t="str">
            <v>Gobras</v>
          </cell>
          <cell r="E1340" t="str">
            <v>BR_CNPJ</v>
          </cell>
          <cell r="F1340" t="str">
            <v>01.472.364/0001-37</v>
          </cell>
        </row>
        <row r="1341">
          <cell r="A1341">
            <v>29719</v>
          </cell>
          <cell r="B1341" t="str">
            <v>CORPORATION</v>
          </cell>
          <cell r="C1341" t="str">
            <v>Renomar Distribuidora Ltda</v>
          </cell>
          <cell r="D1341" t="str">
            <v>Renomar Distribuidora Ltda</v>
          </cell>
          <cell r="E1341" t="str">
            <v>BR_CNPJ</v>
          </cell>
          <cell r="F1341" t="str">
            <v>34.079.703/0001-79</v>
          </cell>
        </row>
        <row r="1342">
          <cell r="A1342">
            <v>29721</v>
          </cell>
          <cell r="B1342" t="str">
            <v>CORPORATION</v>
          </cell>
          <cell r="C1342" t="str">
            <v>Inox Fer Comercial De Abrasivos E Eletrica Ltda - Epp</v>
          </cell>
          <cell r="D1342" t="str">
            <v>Inox Fer Comercial De Abrasivos E Eletrica Ltda - Epp</v>
          </cell>
          <cell r="E1342" t="str">
            <v>BR_CNPJ</v>
          </cell>
          <cell r="F1342" t="str">
            <v>15.053.337/0001-34</v>
          </cell>
        </row>
        <row r="1343">
          <cell r="A1343">
            <v>29723</v>
          </cell>
          <cell r="B1343" t="str">
            <v>CORPORATION</v>
          </cell>
          <cell r="C1343" t="str">
            <v>Alberto Carvalho De Araujo 57342253120</v>
          </cell>
          <cell r="D1343" t="str">
            <v>Ferragens Carvalho</v>
          </cell>
          <cell r="E1343" t="str">
            <v>BR_CNPJ</v>
          </cell>
          <cell r="F1343" t="str">
            <v>24.635.758/0001-64</v>
          </cell>
          <cell r="G1343" t="str">
            <v>AC MULTI MAQUINAS</v>
          </cell>
        </row>
        <row r="1344">
          <cell r="A1344">
            <v>29724</v>
          </cell>
          <cell r="B1344" t="str">
            <v>CORPORATION</v>
          </cell>
          <cell r="C1344" t="str">
            <v>Jambo-Comercio De Ferramentas E Parafusos Ltda. - Me</v>
          </cell>
          <cell r="D1344" t="str">
            <v>Jambo Ferragens</v>
          </cell>
          <cell r="E1344" t="str">
            <v>BR_CNPJ</v>
          </cell>
          <cell r="F1344" t="str">
            <v>09.350.089/0001-90</v>
          </cell>
        </row>
        <row r="1345">
          <cell r="A1345">
            <v>29727</v>
          </cell>
          <cell r="B1345" t="str">
            <v>CORPORATION</v>
          </cell>
          <cell r="C1345" t="str">
            <v>Joao De Barro Rio Claro Materiais P/Construcao Ltda - Me</v>
          </cell>
          <cell r="D1345" t="str">
            <v>Joao De Barro Rio Claro Materiais P/Construcao Ltda - Me</v>
          </cell>
          <cell r="E1345" t="str">
            <v>BR_CNPJ</v>
          </cell>
          <cell r="F1345" t="str">
            <v>00.027.100/0001-01</v>
          </cell>
        </row>
        <row r="1346">
          <cell r="A1346">
            <v>29729</v>
          </cell>
          <cell r="B1346" t="str">
            <v>CORPORATION</v>
          </cell>
          <cell r="C1346" t="str">
            <v>Ana Carolina De Melo Inacio 41622209800</v>
          </cell>
          <cell r="D1346" t="str">
            <v>Nr Ferramentas</v>
          </cell>
          <cell r="E1346" t="str">
            <v>BR_CNPJ</v>
          </cell>
          <cell r="F1346" t="str">
            <v>33.526.324/0001-17</v>
          </cell>
        </row>
        <row r="1347">
          <cell r="A1347">
            <v>29730</v>
          </cell>
          <cell r="B1347" t="str">
            <v>CORPORATION</v>
          </cell>
          <cell r="C1347" t="str">
            <v>L. G. Claudino Pedroso - Epp</v>
          </cell>
          <cell r="D1347" t="str">
            <v>Comercial De Parafusos</v>
          </cell>
          <cell r="E1347" t="str">
            <v>BR_CNPJ</v>
          </cell>
          <cell r="F1347" t="str">
            <v>08.037.439/0001-09</v>
          </cell>
        </row>
        <row r="1348">
          <cell r="A1348">
            <v>29731</v>
          </cell>
          <cell r="B1348" t="str">
            <v>CORPORATION</v>
          </cell>
          <cell r="C1348" t="str">
            <v>Concrenorte Comercial Ltda</v>
          </cell>
          <cell r="D1348" t="str">
            <v>Concrenorte</v>
          </cell>
          <cell r="E1348" t="str">
            <v>BR_CNPJ</v>
          </cell>
          <cell r="F1348" t="str">
            <v>05.126.605/0002-28</v>
          </cell>
        </row>
        <row r="1349">
          <cell r="A1349">
            <v>29733</v>
          </cell>
          <cell r="B1349" t="str">
            <v>CORPORATION</v>
          </cell>
          <cell r="C1349" t="str">
            <v>M &amp; N Investimentos Ltda - Me</v>
          </cell>
          <cell r="D1349" t="str">
            <v>Natal Ferros</v>
          </cell>
          <cell r="E1349" t="str">
            <v>BR_CNPJ</v>
          </cell>
          <cell r="F1349" t="str">
            <v>09.197.162/0001-36</v>
          </cell>
        </row>
        <row r="1350">
          <cell r="A1350">
            <v>29735</v>
          </cell>
          <cell r="B1350" t="str">
            <v>CORPORATION</v>
          </cell>
          <cell r="C1350" t="str">
            <v>Multiparafusos Comercial De Parafusos E Ferragens Ltda - Epp</v>
          </cell>
          <cell r="D1350" t="str">
            <v>Multiparafusos Comercial De Parafusos E Ferragens Ltda - Epp</v>
          </cell>
          <cell r="E1350" t="str">
            <v>BR_CNPJ</v>
          </cell>
          <cell r="F1350" t="str">
            <v>82.259.003/0001-09</v>
          </cell>
        </row>
        <row r="1351">
          <cell r="A1351">
            <v>29737</v>
          </cell>
          <cell r="B1351" t="str">
            <v>CORPORATION</v>
          </cell>
          <cell r="C1351" t="str">
            <v>Martimiano Parafusos Ltda - Me</v>
          </cell>
          <cell r="D1351" t="str">
            <v>Martimiano Parafusos Ltda - Me</v>
          </cell>
          <cell r="E1351" t="str">
            <v>BR_CNPJ</v>
          </cell>
          <cell r="F1351" t="str">
            <v>86.431.194/0001-03</v>
          </cell>
        </row>
        <row r="1352">
          <cell r="A1352">
            <v>29742</v>
          </cell>
          <cell r="B1352" t="str">
            <v>CORPORATION</v>
          </cell>
          <cell r="C1352" t="str">
            <v>Oxigenio Rio Pequeno Ltda - Me</v>
          </cell>
          <cell r="D1352" t="str">
            <v>Oxigenio Rio Pequeno Ltda - Me</v>
          </cell>
          <cell r="E1352" t="str">
            <v>BR_CNPJ</v>
          </cell>
          <cell r="F1352" t="str">
            <v>01.214.530/0001-03</v>
          </cell>
        </row>
        <row r="1353">
          <cell r="A1353">
            <v>29744</v>
          </cell>
          <cell r="B1353" t="str">
            <v>CORPORATION</v>
          </cell>
          <cell r="C1353" t="str">
            <v>Asa Maquinas Pecas E Implementos Eireli</v>
          </cell>
          <cell r="D1353" t="str">
            <v>Asa - Maquinas</v>
          </cell>
          <cell r="E1353" t="str">
            <v>BR_CNPJ</v>
          </cell>
          <cell r="F1353" t="str">
            <v>04.326.599/0001-09</v>
          </cell>
        </row>
        <row r="1354">
          <cell r="A1354">
            <v>29745</v>
          </cell>
          <cell r="B1354" t="str">
            <v>CORPORATION</v>
          </cell>
          <cell r="C1354" t="str">
            <v>Parceria Comercio E Servicos Ltda - Me</v>
          </cell>
          <cell r="D1354" t="str">
            <v>Parceria Comercio E Servicos Ltda - Me</v>
          </cell>
          <cell r="E1354" t="str">
            <v>BR_CNPJ</v>
          </cell>
          <cell r="F1354" t="str">
            <v>00.674.103/0001-37</v>
          </cell>
        </row>
        <row r="1355">
          <cell r="A1355">
            <v>29747</v>
          </cell>
          <cell r="B1355" t="str">
            <v>CORPORATION</v>
          </cell>
          <cell r="C1355" t="str">
            <v>Perandre, Perandre &amp; Cia. Ltda - Epp</v>
          </cell>
          <cell r="D1355" t="str">
            <v>Tintas &amp; Cia</v>
          </cell>
          <cell r="E1355" t="str">
            <v>BR_CNPJ</v>
          </cell>
          <cell r="F1355" t="str">
            <v>04.322.106/0001-62</v>
          </cell>
        </row>
        <row r="1356">
          <cell r="A1356">
            <v>29750</v>
          </cell>
          <cell r="B1356" t="str">
            <v>CORPORATION</v>
          </cell>
          <cell r="C1356" t="str">
            <v>Piata - Borrachas E Ferramentas Ltda.</v>
          </cell>
          <cell r="D1356" t="str">
            <v>Piata - Borrachas E Ferramentas Ltda.</v>
          </cell>
          <cell r="E1356" t="str">
            <v>BR_CNPJ</v>
          </cell>
          <cell r="F1356" t="str">
            <v>02.939.491/0001-66</v>
          </cell>
        </row>
        <row r="1357">
          <cell r="A1357">
            <v>29751</v>
          </cell>
          <cell r="B1357" t="str">
            <v>CORPORATION</v>
          </cell>
          <cell r="C1357" t="str">
            <v>Davilla Thuany Teles Araujo 04085979175</v>
          </cell>
          <cell r="D1357" t="str">
            <v>Ac Multi</v>
          </cell>
          <cell r="E1357" t="str">
            <v>BR_CNPJ</v>
          </cell>
          <cell r="F1357" t="str">
            <v>39.855.398/0001-83</v>
          </cell>
        </row>
        <row r="1358">
          <cell r="A1358">
            <v>29753</v>
          </cell>
          <cell r="B1358" t="str">
            <v>CORPORATION</v>
          </cell>
          <cell r="C1358" t="str">
            <v>Roberta H. P. Rabelo - Me</v>
          </cell>
          <cell r="D1358" t="str">
            <v>Roberta H. P. Rabelo - Me</v>
          </cell>
          <cell r="E1358" t="str">
            <v>BR_CNPJ</v>
          </cell>
          <cell r="F1358" t="str">
            <v>05.311.269/0001-02</v>
          </cell>
        </row>
        <row r="1359">
          <cell r="A1359">
            <v>29756</v>
          </cell>
          <cell r="B1359" t="str">
            <v>CORPORATION</v>
          </cell>
          <cell r="C1359" t="str">
            <v>Rodrigo Zillig Tatui - Me</v>
          </cell>
          <cell r="D1359" t="str">
            <v>Rk - Ferragens</v>
          </cell>
          <cell r="E1359" t="str">
            <v>BR_CNPJ</v>
          </cell>
          <cell r="F1359" t="str">
            <v>14.224.270/0001-90</v>
          </cell>
        </row>
        <row r="1360">
          <cell r="A1360">
            <v>29757</v>
          </cell>
          <cell r="B1360" t="str">
            <v>CORPORATION</v>
          </cell>
          <cell r="C1360" t="str">
            <v>Comercial Avan Ltda</v>
          </cell>
          <cell r="D1360" t="str">
            <v>Comercial Avan</v>
          </cell>
          <cell r="E1360" t="str">
            <v>BR_CNPJ</v>
          </cell>
          <cell r="F1360" t="str">
            <v>39.877.684/0001-40</v>
          </cell>
        </row>
        <row r="1361">
          <cell r="A1361">
            <v>29758</v>
          </cell>
          <cell r="B1361" t="str">
            <v>CORPORATION</v>
          </cell>
          <cell r="C1361" t="str">
            <v>Roferco - Comercio De Materiais Para Construcao Ltda - Epp</v>
          </cell>
          <cell r="D1361" t="str">
            <v>Roferco</v>
          </cell>
          <cell r="E1361" t="str">
            <v>BR_CNPJ</v>
          </cell>
          <cell r="F1361" t="str">
            <v>68.241.389/0001-09</v>
          </cell>
        </row>
        <row r="1362">
          <cell r="A1362">
            <v>29760</v>
          </cell>
          <cell r="B1362" t="str">
            <v>CORPORATION</v>
          </cell>
          <cell r="C1362" t="str">
            <v>Bwinx Comercial Ltda</v>
          </cell>
          <cell r="D1362" t="str">
            <v>Bwinx Comercial Ltda</v>
          </cell>
          <cell r="E1362" t="str">
            <v>BR_CNPJ</v>
          </cell>
          <cell r="F1362" t="str">
            <v>20.717.387/0001-09</v>
          </cell>
        </row>
        <row r="1363">
          <cell r="A1363">
            <v>29761</v>
          </cell>
          <cell r="B1363" t="str">
            <v>CORPORATION</v>
          </cell>
          <cell r="C1363" t="str">
            <v>Serbrasa Comercio De Material Industrial Ltda - Epp</v>
          </cell>
          <cell r="D1363" t="str">
            <v>Serbrasa</v>
          </cell>
          <cell r="E1363" t="str">
            <v>BR_CNPJ</v>
          </cell>
          <cell r="F1363" t="str">
            <v>09.533.686/0001-50</v>
          </cell>
        </row>
        <row r="1364">
          <cell r="A1364">
            <v>29762</v>
          </cell>
          <cell r="B1364" t="str">
            <v>CORPORATION</v>
          </cell>
          <cell r="C1364" t="str">
            <v>49.685.808 Alana Assis Marcelino</v>
          </cell>
          <cell r="D1364" t="str">
            <v>A&amp;M Total Ferramentas</v>
          </cell>
          <cell r="E1364" t="str">
            <v>BR_CNPJ</v>
          </cell>
          <cell r="F1364" t="str">
            <v>49.685.808/0001-49</v>
          </cell>
        </row>
        <row r="1365">
          <cell r="A1365">
            <v>29763</v>
          </cell>
          <cell r="B1365" t="str">
            <v>CORPORATION</v>
          </cell>
          <cell r="C1365" t="str">
            <v>Genesis Ferramentas Ltda</v>
          </cell>
          <cell r="D1365" t="str">
            <v>Genesis Ferramentas</v>
          </cell>
          <cell r="E1365" t="str">
            <v>BR_CNPJ</v>
          </cell>
          <cell r="F1365" t="str">
            <v>28.951.782/0001-63</v>
          </cell>
        </row>
        <row r="1366">
          <cell r="A1366">
            <v>29768</v>
          </cell>
          <cell r="B1366" t="str">
            <v>CORPORATION</v>
          </cell>
          <cell r="C1366" t="str">
            <v>Sudpar - Sudeste Parafusos E Fixadores Ltda - Epp</v>
          </cell>
          <cell r="D1366" t="str">
            <v>Sudpar</v>
          </cell>
          <cell r="E1366" t="str">
            <v>BR_CNPJ</v>
          </cell>
          <cell r="F1366" t="str">
            <v>35.954.452/0001-97</v>
          </cell>
        </row>
        <row r="1367">
          <cell r="A1367">
            <v>29771</v>
          </cell>
          <cell r="B1367" t="str">
            <v>CORPORATION</v>
          </cell>
          <cell r="C1367" t="str">
            <v>Tabarini Ferramentas Ltda - Me</v>
          </cell>
          <cell r="D1367" t="str">
            <v>Tabarini Ferramentas Ltda - Me</v>
          </cell>
          <cell r="E1367" t="str">
            <v>BR_CNPJ</v>
          </cell>
          <cell r="F1367" t="str">
            <v>65.903.825/0001-61</v>
          </cell>
        </row>
        <row r="1368">
          <cell r="A1368">
            <v>29775</v>
          </cell>
          <cell r="B1368" t="str">
            <v>CORPORATION</v>
          </cell>
          <cell r="C1368" t="str">
            <v>Tres Pontas Equipamentos E Ferramentas Agricolas Ltda - Me</v>
          </cell>
          <cell r="D1368" t="str">
            <v>Tres Pontas Equipamentos E Ferramentas Agricolas Ltda - Me</v>
          </cell>
          <cell r="E1368" t="str">
            <v>BR_CNPJ</v>
          </cell>
          <cell r="F1368" t="str">
            <v>02.671.683/0001-34</v>
          </cell>
        </row>
        <row r="1369">
          <cell r="A1369">
            <v>29778</v>
          </cell>
          <cell r="B1369" t="str">
            <v>CORPORATION</v>
          </cell>
          <cell r="C1369" t="str">
            <v>Bortoletto &amp; Bortoletto Comercio De Ferramentas Ltda - Me</v>
          </cell>
          <cell r="D1369" t="str">
            <v>Dj Ferramentas</v>
          </cell>
          <cell r="E1369" t="str">
            <v>BR_CNPJ</v>
          </cell>
          <cell r="F1369" t="str">
            <v>03.132.765/0001-73</v>
          </cell>
        </row>
        <row r="1370">
          <cell r="A1370">
            <v>29781</v>
          </cell>
          <cell r="B1370" t="str">
            <v>CORPORATION</v>
          </cell>
          <cell r="C1370" t="str">
            <v>Casa Giro Comercio De Ferramentas Ltda</v>
          </cell>
          <cell r="D1370" t="str">
            <v>Casa Giro Ferramentas E Parafusos</v>
          </cell>
          <cell r="E1370" t="str">
            <v>BR_CNPJ</v>
          </cell>
          <cell r="F1370" t="str">
            <v>12.585.812/0001-25</v>
          </cell>
        </row>
        <row r="1371">
          <cell r="A1371">
            <v>29784</v>
          </cell>
          <cell r="B1371" t="str">
            <v>CORPORATION</v>
          </cell>
          <cell r="C1371" t="str">
            <v>Casa Netto De Parafusos Ltda - Epp</v>
          </cell>
          <cell r="D1371" t="str">
            <v>Casa Netto De Parafusos Ltda - Epp</v>
          </cell>
          <cell r="E1371" t="str">
            <v>BR_CNPJ</v>
          </cell>
          <cell r="F1371" t="str">
            <v>50.070.549/0001-20</v>
          </cell>
        </row>
        <row r="1372">
          <cell r="A1372">
            <v>29787</v>
          </cell>
          <cell r="B1372" t="str">
            <v>CORPORATION</v>
          </cell>
          <cell r="C1372" t="str">
            <v>G.W.V. - Comercio De Pecas Agricolas Ltda - Me</v>
          </cell>
          <cell r="D1372" t="str">
            <v>G.W.V. - Comercio De Pecas Agricolas Ltda - Me</v>
          </cell>
          <cell r="E1372" t="str">
            <v>BR_CNPJ</v>
          </cell>
          <cell r="F1372" t="str">
            <v>07.818.211/0001-85</v>
          </cell>
        </row>
        <row r="1373">
          <cell r="A1373">
            <v>29790</v>
          </cell>
          <cell r="B1373" t="str">
            <v>CORPORATION</v>
          </cell>
          <cell r="C1373" t="str">
            <v>Commersul Parafusos Importacao E Exportacao Ltda.</v>
          </cell>
          <cell r="D1373" t="str">
            <v>Commersul Parafusos Importacao E Exportacao Ltda.</v>
          </cell>
          <cell r="E1373" t="str">
            <v>BR_CNPJ</v>
          </cell>
          <cell r="F1373" t="str">
            <v>00.333.669/0001-03</v>
          </cell>
        </row>
        <row r="1374">
          <cell r="A1374">
            <v>29794</v>
          </cell>
          <cell r="B1374" t="str">
            <v>CORPORATION</v>
          </cell>
          <cell r="C1374" t="str">
            <v>Cesar Luis Ferraretto - Me</v>
          </cell>
          <cell r="D1374" t="str">
            <v>Cesar Luis Ferraretto - Me</v>
          </cell>
          <cell r="E1374" t="str">
            <v>BR_CNPJ</v>
          </cell>
          <cell r="F1374" t="str">
            <v>04.985.218/0001-01</v>
          </cell>
        </row>
        <row r="1375">
          <cell r="A1375">
            <v>29797</v>
          </cell>
          <cell r="B1375" t="str">
            <v>CORPORATION</v>
          </cell>
          <cell r="C1375" t="str">
            <v>Comercio De Ferramentas Caminhauto Ltda - Me</v>
          </cell>
          <cell r="D1375" t="str">
            <v>Caminhauto Ferramentas</v>
          </cell>
          <cell r="E1375" t="str">
            <v>BR_CNPJ</v>
          </cell>
          <cell r="F1375" t="str">
            <v>78.327.863/0001-65</v>
          </cell>
        </row>
        <row r="1376">
          <cell r="A1376">
            <v>29800</v>
          </cell>
          <cell r="B1376" t="str">
            <v>CORPORATION</v>
          </cell>
          <cell r="C1376" t="str">
            <v>Didi - Comercial E Importadora De Ferragens E Ferramentas Ltda - Epp</v>
          </cell>
          <cell r="D1376" t="str">
            <v>Didi - Parafusos</v>
          </cell>
          <cell r="E1376" t="str">
            <v>BR_CNPJ</v>
          </cell>
          <cell r="F1376" t="str">
            <v>04.941.484/0001-24</v>
          </cell>
        </row>
        <row r="1377">
          <cell r="A1377">
            <v>29802</v>
          </cell>
          <cell r="B1377" t="str">
            <v>CORPORATION</v>
          </cell>
          <cell r="C1377" t="str">
            <v>Luana Cristina Santos Guimaraes 40477400809</v>
          </cell>
          <cell r="D1377" t="str">
            <v>Auto Gms</v>
          </cell>
          <cell r="E1377" t="str">
            <v>BR_CNPJ</v>
          </cell>
          <cell r="F1377" t="str">
            <v>42.250.929/0001-19</v>
          </cell>
        </row>
        <row r="1378">
          <cell r="A1378">
            <v>29803</v>
          </cell>
          <cell r="B1378" t="str">
            <v>CORPORATION</v>
          </cell>
          <cell r="C1378" t="str">
            <v>Alvaro Jose Straube Sampaio - Me</v>
          </cell>
          <cell r="D1378" t="str">
            <v>Fast Martelinho De Ouro</v>
          </cell>
          <cell r="E1378" t="str">
            <v>BR_CNPJ</v>
          </cell>
          <cell r="F1378" t="str">
            <v>11.299.105/0001-00</v>
          </cell>
        </row>
        <row r="1379">
          <cell r="A1379">
            <v>29806</v>
          </cell>
          <cell r="B1379" t="str">
            <v>CORPORATION</v>
          </cell>
          <cell r="C1379" t="str">
            <v>Agro-Manica Comercio E Representacoes De Produtos Agropecuarios Ltda</v>
          </cell>
          <cell r="D1379" t="str">
            <v>Clagil Agro Pecuaria E Representacoes</v>
          </cell>
          <cell r="E1379" t="str">
            <v>BR_CNPJ</v>
          </cell>
          <cell r="F1379" t="str">
            <v>80.310.147/0001-17</v>
          </cell>
        </row>
        <row r="1380">
          <cell r="A1380">
            <v>29807</v>
          </cell>
          <cell r="B1380" t="str">
            <v>CORPORATION</v>
          </cell>
          <cell r="C1380" t="str">
            <v>Hcm Comercio De Maquinas E Moteres Ltda</v>
          </cell>
          <cell r="D1380" t="str">
            <v>Tucuma Motores</v>
          </cell>
          <cell r="E1380" t="str">
            <v>BR_CNPJ</v>
          </cell>
          <cell r="F1380" t="str">
            <v>28.892.048/0001-70</v>
          </cell>
          <cell r="G1380" t="str">
            <v>TUCUMÃ</v>
          </cell>
        </row>
        <row r="1381">
          <cell r="A1381">
            <v>29808</v>
          </cell>
          <cell r="B1381" t="str">
            <v>CORPORATION</v>
          </cell>
          <cell r="C1381" t="str">
            <v>Souza Locacoes De Equipamentos Ltda</v>
          </cell>
          <cell r="D1381" t="str">
            <v>Souza Locacoes De Equipamentos Ltda</v>
          </cell>
          <cell r="E1381" t="str">
            <v>BR_CNPJ</v>
          </cell>
          <cell r="F1381" t="str">
            <v>04.966.505/0001-66</v>
          </cell>
        </row>
        <row r="1382">
          <cell r="A1382">
            <v>29809</v>
          </cell>
          <cell r="B1382" t="str">
            <v>CORPORATION</v>
          </cell>
          <cell r="C1382" t="str">
            <v>Total Soldas Ltda</v>
          </cell>
          <cell r="D1382" t="str">
            <v>Estofer</v>
          </cell>
          <cell r="E1382" t="str">
            <v>BR_CNPJ</v>
          </cell>
          <cell r="F1382" t="str">
            <v>31.432.324/0001-22</v>
          </cell>
        </row>
        <row r="1383">
          <cell r="A1383">
            <v>29811</v>
          </cell>
          <cell r="B1383" t="str">
            <v>CORPORATION</v>
          </cell>
          <cell r="C1383" t="str">
            <v>Chopinfer Comercio De Ferragens Ltda</v>
          </cell>
          <cell r="D1383" t="str">
            <v>Chopinfer Comercio De Ferragens</v>
          </cell>
          <cell r="E1383" t="str">
            <v>BR_CNPJ</v>
          </cell>
          <cell r="F1383" t="str">
            <v>16.979.573/0001-49</v>
          </cell>
        </row>
        <row r="1384">
          <cell r="A1384">
            <v>29812</v>
          </cell>
          <cell r="B1384" t="str">
            <v>CORPORATION</v>
          </cell>
          <cell r="C1384" t="str">
            <v>Ferbratex Comercio De Ferragens Ltda - Me</v>
          </cell>
          <cell r="D1384" t="str">
            <v>Ferbratex Comercio De Ferragens Ltda - Me</v>
          </cell>
          <cell r="E1384" t="str">
            <v>BR_CNPJ</v>
          </cell>
          <cell r="F1384" t="str">
            <v>10.794.529/0001-88</v>
          </cell>
        </row>
        <row r="1385">
          <cell r="A1385">
            <v>29815</v>
          </cell>
          <cell r="B1385" t="str">
            <v>CORPORATION</v>
          </cell>
          <cell r="C1385" t="str">
            <v>Valdeci Antunes Da Silva Ferragens - Epp</v>
          </cell>
          <cell r="D1385" t="str">
            <v>Top-Par - Protecao Epi'S, Ferramentas, Parafusos, Pro</v>
          </cell>
          <cell r="E1385" t="str">
            <v>BR_CNPJ</v>
          </cell>
          <cell r="F1385" t="str">
            <v>00.945.211/0001-05</v>
          </cell>
        </row>
        <row r="1386">
          <cell r="A1386">
            <v>29818</v>
          </cell>
          <cell r="B1386" t="str">
            <v>CORPORATION</v>
          </cell>
          <cell r="C1386" t="str">
            <v>Erenaldo Ferreira De Souza - Me</v>
          </cell>
          <cell r="D1386" t="str">
            <v>Agua Viva Equipamentos De Irrigacao</v>
          </cell>
          <cell r="E1386" t="str">
            <v>BR_CNPJ</v>
          </cell>
          <cell r="F1386" t="str">
            <v>06.274.309/0001-56</v>
          </cell>
        </row>
        <row r="1387">
          <cell r="A1387">
            <v>29820</v>
          </cell>
          <cell r="B1387" t="str">
            <v>CORPORATION</v>
          </cell>
          <cell r="C1387" t="str">
            <v>Fabio Roberto Diniz Sorocaba - Me</v>
          </cell>
          <cell r="D1387" t="str">
            <v>Mandufer</v>
          </cell>
          <cell r="E1387" t="str">
            <v>BR_CNPJ</v>
          </cell>
          <cell r="F1387" t="str">
            <v>05.210.388/0001-79</v>
          </cell>
        </row>
        <row r="1388">
          <cell r="A1388">
            <v>29821</v>
          </cell>
          <cell r="B1388" t="str">
            <v>CORPORATION</v>
          </cell>
          <cell r="C1388" t="str">
            <v>Eric De Lima Ribeiro</v>
          </cell>
          <cell r="D1388" t="str">
            <v>Cosind - Comercio De Suprimentos Industriais</v>
          </cell>
          <cell r="E1388" t="str">
            <v>BR_CNPJ</v>
          </cell>
          <cell r="F1388" t="str">
            <v>12.870.600/0001-90</v>
          </cell>
        </row>
        <row r="1389">
          <cell r="A1389">
            <v>29823</v>
          </cell>
          <cell r="B1389" t="str">
            <v>CORPORATION</v>
          </cell>
          <cell r="C1389" t="str">
            <v>Forte Acessorios Industriais Ltda - Me</v>
          </cell>
          <cell r="D1389" t="str">
            <v>Forte</v>
          </cell>
          <cell r="E1389" t="str">
            <v>BR_CNPJ</v>
          </cell>
          <cell r="F1389" t="str">
            <v>10.388.538/0001-79</v>
          </cell>
        </row>
        <row r="1390">
          <cell r="A1390">
            <v>29826</v>
          </cell>
          <cell r="B1390" t="str">
            <v>CORPORATION</v>
          </cell>
          <cell r="C1390" t="str">
            <v>Irmaos Yogui Ltda - Me</v>
          </cell>
          <cell r="D1390" t="str">
            <v>Irmaos Yogui Ltda - Me</v>
          </cell>
          <cell r="E1390" t="str">
            <v>BR_CNPJ</v>
          </cell>
          <cell r="F1390" t="str">
            <v>62.083.134/0001-70</v>
          </cell>
        </row>
        <row r="1391">
          <cell r="A1391">
            <v>29829</v>
          </cell>
          <cell r="B1391" t="str">
            <v>CORPORATION</v>
          </cell>
          <cell r="C1391" t="str">
            <v>J Casale Ltda - Me</v>
          </cell>
          <cell r="D1391" t="str">
            <v>J Casale Ltda - Me</v>
          </cell>
          <cell r="E1391" t="str">
            <v>BR_CNPJ</v>
          </cell>
          <cell r="F1391" t="str">
            <v>59.597.047/0001-27</v>
          </cell>
        </row>
        <row r="1392">
          <cell r="A1392">
            <v>29832</v>
          </cell>
          <cell r="B1392" t="str">
            <v>CORPORATION</v>
          </cell>
          <cell r="C1392" t="str">
            <v>J. V. S Comercio De Materiais Hidraulicos, Eletricas E Ferragens Ltda - Me</v>
          </cell>
          <cell r="D1392" t="str">
            <v>Jvs Com De Materias Hidraulicos, Eletricas E Ferragens</v>
          </cell>
          <cell r="E1392" t="str">
            <v>BR_CNPJ</v>
          </cell>
          <cell r="F1392" t="str">
            <v>13.362.584/0001-97</v>
          </cell>
        </row>
        <row r="1393">
          <cell r="A1393">
            <v>29834</v>
          </cell>
          <cell r="B1393" t="str">
            <v>CORPORATION</v>
          </cell>
          <cell r="C1393" t="str">
            <v>Ac Comercio Eireli</v>
          </cell>
          <cell r="D1393" t="str">
            <v>Colmaq</v>
          </cell>
          <cell r="E1393" t="str">
            <v>BR_CNPJ</v>
          </cell>
          <cell r="F1393" t="str">
            <v>30.197.775/0001-60</v>
          </cell>
        </row>
        <row r="1394">
          <cell r="A1394">
            <v>29835</v>
          </cell>
          <cell r="B1394" t="str">
            <v>CORPORATION</v>
          </cell>
          <cell r="C1394" t="str">
            <v>Donizete Vilela &amp; Pacheco Ltda - Me</v>
          </cell>
          <cell r="D1394" t="str">
            <v>Donizete Vilela &amp; Pacheco Ltda - Me</v>
          </cell>
          <cell r="E1394" t="str">
            <v>BR_CNPJ</v>
          </cell>
          <cell r="F1394" t="str">
            <v>14.009.957/0001-03</v>
          </cell>
        </row>
        <row r="1395">
          <cell r="A1395">
            <v>29836</v>
          </cell>
          <cell r="B1395" t="str">
            <v>CORPORATION</v>
          </cell>
          <cell r="C1395" t="str">
            <v>Jailson Reis De Oliveira Filho</v>
          </cell>
          <cell r="D1395" t="str">
            <v>Comercial Reis</v>
          </cell>
          <cell r="E1395" t="str">
            <v>BR_CNPJ</v>
          </cell>
          <cell r="F1395" t="str">
            <v>35.032.329/0001-19</v>
          </cell>
        </row>
        <row r="1396">
          <cell r="A1396">
            <v>29837</v>
          </cell>
          <cell r="B1396" t="str">
            <v>CORPORATION</v>
          </cell>
          <cell r="C1396" t="str">
            <v>Paulo Frances Santos 03858904198</v>
          </cell>
          <cell r="D1396" t="str">
            <v>Mafra</v>
          </cell>
          <cell r="E1396" t="str">
            <v>BR_CNPJ</v>
          </cell>
          <cell r="F1396" t="str">
            <v>22.451.730/0001-41</v>
          </cell>
        </row>
        <row r="1397">
          <cell r="A1397">
            <v>29838</v>
          </cell>
          <cell r="B1397" t="str">
            <v>CORPORATION</v>
          </cell>
          <cell r="C1397" t="str">
            <v>Maria Jose Gasparini Belotto - Me</v>
          </cell>
          <cell r="D1397" t="str">
            <v>Deposito De Materiais Para Construcao Belotto</v>
          </cell>
          <cell r="E1397" t="str">
            <v>BR_CNPJ</v>
          </cell>
          <cell r="F1397" t="str">
            <v>03.210.530/0001-52</v>
          </cell>
        </row>
        <row r="1398">
          <cell r="A1398">
            <v>29841</v>
          </cell>
          <cell r="B1398" t="str">
            <v>CORPORATION</v>
          </cell>
          <cell r="C1398" t="str">
            <v>Marina Ruiz Ferraz Penedo - Epp</v>
          </cell>
          <cell r="D1398" t="str">
            <v>Rodo Rancho</v>
          </cell>
          <cell r="E1398" t="str">
            <v>BR_CNPJ</v>
          </cell>
          <cell r="F1398" t="str">
            <v>01.817.380/0001-14</v>
          </cell>
        </row>
        <row r="1399">
          <cell r="A1399">
            <v>29843</v>
          </cell>
          <cell r="B1399" t="str">
            <v>CORPORATION</v>
          </cell>
          <cell r="C1399" t="str">
            <v>Miranda Ferragens Ltda - Me</v>
          </cell>
          <cell r="D1399" t="str">
            <v>Miranda Ferragens</v>
          </cell>
          <cell r="E1399" t="str">
            <v>BR_CNPJ</v>
          </cell>
          <cell r="F1399" t="str">
            <v>04.902.868/0001-38</v>
          </cell>
        </row>
        <row r="1400">
          <cell r="A1400">
            <v>29846</v>
          </cell>
          <cell r="B1400" t="str">
            <v>CORPORATION</v>
          </cell>
          <cell r="C1400" t="str">
            <v>Nds Eletrotecnica Ltda - Me</v>
          </cell>
          <cell r="D1400" t="str">
            <v>Nds Eletrotecnica</v>
          </cell>
          <cell r="E1400" t="str">
            <v>BR_CNPJ</v>
          </cell>
          <cell r="F1400" t="str">
            <v>10.355.760/0001-75</v>
          </cell>
        </row>
        <row r="1401">
          <cell r="A1401">
            <v>29847</v>
          </cell>
          <cell r="B1401" t="str">
            <v>CORPORATION</v>
          </cell>
          <cell r="C1401" t="str">
            <v>Cris Comercial Ltda</v>
          </cell>
          <cell r="D1401" t="str">
            <v>Cris Comercial</v>
          </cell>
          <cell r="E1401" t="str">
            <v>BR_CNPJ</v>
          </cell>
          <cell r="F1401" t="str">
            <v>22.091.919/0001-70</v>
          </cell>
        </row>
        <row r="1402">
          <cell r="A1402">
            <v>29848</v>
          </cell>
          <cell r="B1402" t="str">
            <v>CORPORATION</v>
          </cell>
          <cell r="C1402" t="str">
            <v>P &amp; B Comercial De Construcao 101 Ltda - Epp</v>
          </cell>
          <cell r="D1402" t="str">
            <v>Comercial 101</v>
          </cell>
          <cell r="E1402" t="str">
            <v>BR_CNPJ</v>
          </cell>
          <cell r="F1402" t="str">
            <v>03.655.605/0001-09</v>
          </cell>
        </row>
        <row r="1403">
          <cell r="A1403">
            <v>29850</v>
          </cell>
          <cell r="B1403" t="str">
            <v>CORPORATION</v>
          </cell>
          <cell r="C1403" t="str">
            <v>Distac Epis Ferramentas E Artefatos De Borrachas Ltda</v>
          </cell>
          <cell r="D1403" t="str">
            <v>Distac Epis Ferramentas E Artefatos De Borrachas Ltda</v>
          </cell>
          <cell r="E1403" t="str">
            <v>BR_CNPJ</v>
          </cell>
          <cell r="F1403" t="str">
            <v>18.438.140/0001-01</v>
          </cell>
        </row>
        <row r="1404">
          <cell r="A1404">
            <v>29851</v>
          </cell>
          <cell r="B1404" t="str">
            <v>CORPORATION</v>
          </cell>
          <cell r="C1404" t="str">
            <v>Serpel Servicos De Enrolamentos E Pecas Eletricas Ltda - Epp</v>
          </cell>
          <cell r="D1404" t="str">
            <v>Serpel</v>
          </cell>
          <cell r="E1404" t="str">
            <v>BR_CNPJ</v>
          </cell>
          <cell r="F1404" t="str">
            <v>78.365.541/0001-00</v>
          </cell>
        </row>
        <row r="1405">
          <cell r="A1405">
            <v>29854</v>
          </cell>
          <cell r="B1405" t="str">
            <v>CORPORATION</v>
          </cell>
          <cell r="C1405" t="str">
            <v>Macripar Distribuidora De Parafusos E Ferragens Ltda</v>
          </cell>
          <cell r="D1405" t="str">
            <v>Macripar Distribuidora De Parafusos E Ferragens Ltda</v>
          </cell>
          <cell r="E1405" t="str">
            <v>BR_CNPJ</v>
          </cell>
          <cell r="F1405" t="str">
            <v>85.013.282/0001-14</v>
          </cell>
        </row>
        <row r="1406">
          <cell r="A1406">
            <v>29856</v>
          </cell>
          <cell r="B1406" t="str">
            <v>CORPORATION</v>
          </cell>
          <cell r="C1406" t="str">
            <v>Anne Caroline D Zorzi Avila Eireli</v>
          </cell>
          <cell r="D1406" t="str">
            <v>M1 Ferramentas</v>
          </cell>
          <cell r="E1406" t="str">
            <v>BR_CNPJ</v>
          </cell>
          <cell r="F1406" t="str">
            <v>31.000.253/0001-99</v>
          </cell>
        </row>
        <row r="1407">
          <cell r="A1407">
            <v>29857</v>
          </cell>
          <cell r="B1407" t="str">
            <v>CORPORATION</v>
          </cell>
          <cell r="C1407" t="str">
            <v>Carvalho E Nery Avila Ltda - Me</v>
          </cell>
          <cell r="D1407" t="str">
            <v>Irrigar</v>
          </cell>
          <cell r="E1407" t="str">
            <v>BR_CNPJ</v>
          </cell>
          <cell r="F1407" t="str">
            <v>06.539.434/0001-40</v>
          </cell>
        </row>
        <row r="1408">
          <cell r="A1408">
            <v>29862</v>
          </cell>
          <cell r="B1408" t="str">
            <v>CORPORATION</v>
          </cell>
          <cell r="C1408" t="str">
            <v>Roferg Comercial Ltda - Me</v>
          </cell>
          <cell r="D1408" t="str">
            <v>Roferg Comercial</v>
          </cell>
          <cell r="E1408" t="str">
            <v>BR_CNPJ</v>
          </cell>
          <cell r="F1408" t="str">
            <v>04.662.716/0001-05</v>
          </cell>
        </row>
        <row r="1409">
          <cell r="A1409">
            <v>29866</v>
          </cell>
          <cell r="B1409" t="str">
            <v>CORPORATION</v>
          </cell>
          <cell r="C1409" t="str">
            <v>Casalar Alcantara Utilidades Domesticas Ltda - Me</v>
          </cell>
          <cell r="D1409" t="str">
            <v>Casalar Alcantara Utilidades Domesticas</v>
          </cell>
          <cell r="E1409" t="str">
            <v>BR_CNPJ</v>
          </cell>
          <cell r="F1409" t="str">
            <v>05.880.437/0001-80</v>
          </cell>
        </row>
        <row r="1410">
          <cell r="A1410">
            <v>29867</v>
          </cell>
          <cell r="B1410" t="str">
            <v>CORPORATION</v>
          </cell>
          <cell r="C1410" t="str">
            <v>Bruna Teixeira Silva 02092707132</v>
          </cell>
          <cell r="D1410" t="str">
            <v>Coferpa</v>
          </cell>
          <cell r="E1410" t="str">
            <v>BR_CNPJ</v>
          </cell>
          <cell r="F1410" t="str">
            <v>43.592.881/0001-90</v>
          </cell>
        </row>
        <row r="1411">
          <cell r="A1411">
            <v>29868</v>
          </cell>
          <cell r="B1411" t="str">
            <v>CORPORATION</v>
          </cell>
          <cell r="C1411" t="str">
            <v>Romer Air Center Industrial Ltda - Epp</v>
          </cell>
          <cell r="D1411" t="str">
            <v>Air Center</v>
          </cell>
          <cell r="E1411" t="str">
            <v>BR_CNPJ</v>
          </cell>
          <cell r="F1411" t="str">
            <v>11.037.219/0001-81</v>
          </cell>
        </row>
        <row r="1412">
          <cell r="A1412">
            <v>29870</v>
          </cell>
          <cell r="B1412" t="str">
            <v>CORPORATION</v>
          </cell>
          <cell r="C1412" t="str">
            <v>Casa Macanaiba De Ferragens E Acessorios Ltda - Me</v>
          </cell>
          <cell r="D1412" t="str">
            <v>Casa Dos Puchadores</v>
          </cell>
          <cell r="E1412" t="str">
            <v>BR_CNPJ</v>
          </cell>
          <cell r="F1412" t="str">
            <v>01.606.299/0001-95</v>
          </cell>
        </row>
        <row r="1413">
          <cell r="A1413">
            <v>29873</v>
          </cell>
          <cell r="B1413" t="str">
            <v>CORPORATION</v>
          </cell>
          <cell r="C1413" t="str">
            <v>Vagalume Do Brasil Ferragens Ltda - Me</v>
          </cell>
          <cell r="D1413" t="str">
            <v>Vagalume</v>
          </cell>
          <cell r="E1413" t="str">
            <v>BR_CNPJ</v>
          </cell>
          <cell r="F1413" t="str">
            <v>09.295.941/0001-74</v>
          </cell>
        </row>
        <row r="1414">
          <cell r="A1414">
            <v>29876</v>
          </cell>
          <cell r="B1414" t="str">
            <v>CORPORATION</v>
          </cell>
          <cell r="C1414" t="str">
            <v>Radax Do Brasil Comercio De Ferragens Ltda</v>
          </cell>
          <cell r="D1414" t="str">
            <v>Radax Do Brasil Comercio De Ferragens Ltda</v>
          </cell>
          <cell r="E1414" t="str">
            <v>BR_CNPJ</v>
          </cell>
          <cell r="F1414" t="str">
            <v>94.654.811/0001-50</v>
          </cell>
        </row>
        <row r="1415">
          <cell r="A1415">
            <v>29877</v>
          </cell>
          <cell r="B1415" t="str">
            <v>CORPORATION</v>
          </cell>
          <cell r="C1415" t="str">
            <v>C.De Souza Metalurgica</v>
          </cell>
          <cell r="D1415" t="str">
            <v>Soucar Metalurgica</v>
          </cell>
          <cell r="E1415" t="str">
            <v>BR_CNPJ</v>
          </cell>
          <cell r="F1415" t="str">
            <v>67.418.426/0001-30</v>
          </cell>
        </row>
        <row r="1416">
          <cell r="A1416">
            <v>29880</v>
          </cell>
          <cell r="B1416" t="str">
            <v>CORPORATION</v>
          </cell>
          <cell r="C1416" t="str">
            <v>Renato Ferramentas E Maquinas Ltda</v>
          </cell>
          <cell r="D1416" t="str">
            <v>Noroeste Ferramentas E Maquinas</v>
          </cell>
          <cell r="E1416" t="str">
            <v>BR_CNPJ</v>
          </cell>
          <cell r="F1416" t="str">
            <v>14.117.711/0001-55</v>
          </cell>
        </row>
        <row r="1417">
          <cell r="A1417">
            <v>29882</v>
          </cell>
          <cell r="B1417" t="str">
            <v>CORPORATION</v>
          </cell>
          <cell r="C1417" t="str">
            <v>Oxigenio Sao Bernardo Ltda</v>
          </cell>
          <cell r="D1417" t="str">
            <v>Oxigenio Sao Bernardo</v>
          </cell>
          <cell r="E1417" t="str">
            <v>BR_CNPJ</v>
          </cell>
          <cell r="F1417" t="str">
            <v>60.472.065/0001-61</v>
          </cell>
        </row>
        <row r="1418">
          <cell r="A1418">
            <v>29884</v>
          </cell>
          <cell r="B1418" t="str">
            <v>CORPORATION</v>
          </cell>
          <cell r="C1418" t="str">
            <v>Ferragem Presidente Vargas Ltda - Me</v>
          </cell>
          <cell r="D1418" t="str">
            <v>Ferragem Presidente Vargas</v>
          </cell>
          <cell r="E1418" t="str">
            <v>BR_CNPJ</v>
          </cell>
          <cell r="F1418" t="str">
            <v>90.750.340/0001-22</v>
          </cell>
        </row>
        <row r="1419">
          <cell r="A1419">
            <v>29886</v>
          </cell>
          <cell r="B1419" t="str">
            <v>CORPORATION</v>
          </cell>
          <cell r="C1419" t="str">
            <v>Joao Dos Santos Araujo Da Silva - Me</v>
          </cell>
          <cell r="D1419" t="str">
            <v>Comercio De Pecas Honorio Serpa</v>
          </cell>
          <cell r="E1419" t="str">
            <v>BR_CNPJ</v>
          </cell>
          <cell r="F1419" t="str">
            <v>79.110.417/0001-67</v>
          </cell>
        </row>
        <row r="1420">
          <cell r="A1420">
            <v>29889</v>
          </cell>
          <cell r="B1420" t="str">
            <v>CORPORATION</v>
          </cell>
          <cell r="C1420" t="str">
            <v>Green Med Soldas Ltda - Me</v>
          </cell>
          <cell r="D1420" t="str">
            <v>Green Med Soldas Ltda - Me</v>
          </cell>
          <cell r="E1420" t="str">
            <v>BR_CNPJ</v>
          </cell>
          <cell r="F1420" t="str">
            <v>94.645.090/0001-11</v>
          </cell>
        </row>
        <row r="1421">
          <cell r="A1421">
            <v>29892</v>
          </cell>
          <cell r="B1421" t="str">
            <v>CORPORATION</v>
          </cell>
          <cell r="C1421" t="str">
            <v>Rogopar Comercio De Parafusos Ltda - Epp</v>
          </cell>
          <cell r="D1421" t="str">
            <v>Rogopar Comercio De Parafusos Ltda - Epp</v>
          </cell>
          <cell r="E1421" t="str">
            <v>BR_CNPJ</v>
          </cell>
          <cell r="F1421" t="str">
            <v>91.954.883/0001-24</v>
          </cell>
        </row>
        <row r="1422">
          <cell r="A1422">
            <v>29894</v>
          </cell>
          <cell r="B1422" t="str">
            <v>CORPORATION</v>
          </cell>
          <cell r="C1422" t="str">
            <v>Mundo Dos Parafusos Comercio De Ferragens Ltda - Me</v>
          </cell>
          <cell r="D1422" t="str">
            <v>Mundo Dos Parafusos Comercio De Ferragens Ltda - Me</v>
          </cell>
          <cell r="E1422" t="str">
            <v>BR_CNPJ</v>
          </cell>
          <cell r="F1422" t="str">
            <v>81.404.097/0001-08</v>
          </cell>
        </row>
        <row r="1423">
          <cell r="A1423">
            <v>29896</v>
          </cell>
          <cell r="B1423" t="str">
            <v>CORPORATION</v>
          </cell>
          <cell r="C1423" t="str">
            <v>Everest Comercio Online Ltda</v>
          </cell>
          <cell r="D1423" t="str">
            <v>Olimpo 2</v>
          </cell>
          <cell r="E1423" t="str">
            <v>BR_CNPJ</v>
          </cell>
          <cell r="F1423" t="str">
            <v>47.235.913/0001-50</v>
          </cell>
        </row>
        <row r="1424">
          <cell r="A1424">
            <v>29898</v>
          </cell>
          <cell r="B1424" t="str">
            <v>CORPORATION</v>
          </cell>
          <cell r="C1424" t="str">
            <v>Ultra Maquinas Comercial De Ferramentas Ltda - Me</v>
          </cell>
          <cell r="D1424" t="str">
            <v>Ultra Maquinas Comercial De Ferramentas Ltda - Me</v>
          </cell>
          <cell r="E1424" t="str">
            <v>BR_CNPJ</v>
          </cell>
          <cell r="F1424" t="str">
            <v>00.314.550/0003-47</v>
          </cell>
          <cell r="G1424" t="str">
            <v>ULTRA MAQUINAS</v>
          </cell>
        </row>
        <row r="1425">
          <cell r="A1425">
            <v>29901</v>
          </cell>
          <cell r="B1425" t="str">
            <v>CORPORATION</v>
          </cell>
          <cell r="C1425" t="str">
            <v>Maxpo Comercio De Ferro E Aco Ltda</v>
          </cell>
          <cell r="D1425" t="str">
            <v>Maxpo Comercio De Ferro E Aco</v>
          </cell>
          <cell r="E1425" t="str">
            <v>BR_CNPJ</v>
          </cell>
          <cell r="F1425" t="str">
            <v>48.173.979/0001-26</v>
          </cell>
        </row>
        <row r="1426">
          <cell r="A1426">
            <v>29902</v>
          </cell>
          <cell r="B1426" t="str">
            <v>CORPORATION</v>
          </cell>
          <cell r="C1426" t="str">
            <v>Nova Parafer-Comercio De Ferragens Ltda - Epp</v>
          </cell>
          <cell r="D1426" t="str">
            <v>Nova Parafer-Comercio De Ferragens Ltda - Epp</v>
          </cell>
          <cell r="E1426" t="str">
            <v>BR_CNPJ</v>
          </cell>
          <cell r="F1426" t="str">
            <v>03.369.035/0001-90</v>
          </cell>
        </row>
        <row r="1427">
          <cell r="A1427">
            <v>29905</v>
          </cell>
          <cell r="B1427" t="str">
            <v>CORPORATION</v>
          </cell>
          <cell r="C1427" t="str">
            <v>S.M. Car Comercio De Ferramentas - Eireli</v>
          </cell>
          <cell r="D1427" t="str">
            <v>S.M. Car Comercio De Ferramentas - Eireli</v>
          </cell>
          <cell r="E1427" t="str">
            <v>BR_CNPJ</v>
          </cell>
          <cell r="F1427" t="str">
            <v>67.121.350/0001-87</v>
          </cell>
        </row>
        <row r="1428">
          <cell r="A1428">
            <v>29906</v>
          </cell>
          <cell r="B1428" t="str">
            <v>CORPORATION</v>
          </cell>
          <cell r="C1428" t="str">
            <v>V L Ribeiro Comercio E Servicos Eireli</v>
          </cell>
          <cell r="D1428" t="str">
            <v>V L Ribeiro Comercio E Servicos Eireli</v>
          </cell>
          <cell r="E1428" t="str">
            <v>BR_CNPJ</v>
          </cell>
          <cell r="F1428" t="str">
            <v>03.336.182/0001-64</v>
          </cell>
          <cell r="G1428" t="str">
            <v>REI DOS PARAFUSOS</v>
          </cell>
        </row>
        <row r="1429">
          <cell r="A1429">
            <v>29911</v>
          </cell>
          <cell r="B1429" t="str">
            <v>CORPORATION</v>
          </cell>
          <cell r="C1429" t="str">
            <v>Suplair Suplementos Para Ar Comprimido Ltda - Epp</v>
          </cell>
          <cell r="D1429" t="str">
            <v>Suplair Maquinas E Ferramentas</v>
          </cell>
          <cell r="E1429" t="str">
            <v>BR_CNPJ</v>
          </cell>
          <cell r="F1429" t="str">
            <v>11.735.158/0001-26</v>
          </cell>
        </row>
        <row r="1430">
          <cell r="A1430">
            <v>29915</v>
          </cell>
          <cell r="B1430" t="str">
            <v>CORPORATION</v>
          </cell>
          <cell r="C1430" t="str">
            <v>Gerais Maquinas E Ferramentas Ltda - Me</v>
          </cell>
          <cell r="D1430" t="str">
            <v>Gerais Maquinas</v>
          </cell>
          <cell r="E1430" t="str">
            <v>BR_CNPJ</v>
          </cell>
          <cell r="F1430" t="str">
            <v>10.744.631/0001-79</v>
          </cell>
        </row>
        <row r="1431">
          <cell r="A1431">
            <v>29919</v>
          </cell>
          <cell r="B1431" t="str">
            <v>CORPORATION</v>
          </cell>
          <cell r="C1431" t="str">
            <v>Comercial Agro-Tintas Sao Matheus Ltda</v>
          </cell>
          <cell r="D1431" t="str">
            <v>Comercial Agro-Tintas Sao Matheus Ltda</v>
          </cell>
          <cell r="E1431" t="str">
            <v>BR_CNPJ</v>
          </cell>
          <cell r="F1431" t="str">
            <v>67.200.618/0001-76</v>
          </cell>
        </row>
        <row r="1432">
          <cell r="A1432">
            <v>29922</v>
          </cell>
          <cell r="B1432" t="str">
            <v>CORPORATION</v>
          </cell>
          <cell r="C1432" t="str">
            <v>Ferragens Buenos Aires Ltda - Epp</v>
          </cell>
          <cell r="D1432" t="str">
            <v>Ferragens Buenos Aires Ltda - Epp</v>
          </cell>
          <cell r="E1432" t="str">
            <v>BR_CNPJ</v>
          </cell>
          <cell r="F1432" t="str">
            <v>34.172.353/0001-90</v>
          </cell>
        </row>
        <row r="1433">
          <cell r="A1433">
            <v>29925</v>
          </cell>
          <cell r="B1433" t="str">
            <v>CORPORATION</v>
          </cell>
          <cell r="C1433" t="str">
            <v>Campsoldas - Comercial De Soldagens Ltda - Epp</v>
          </cell>
          <cell r="D1433" t="str">
            <v>Campsoldas - Comercial De Soldagens Ltda - Epp</v>
          </cell>
          <cell r="E1433" t="str">
            <v>BR_CNPJ</v>
          </cell>
          <cell r="F1433" t="str">
            <v>00.501.898/0001-81</v>
          </cell>
        </row>
        <row r="1434">
          <cell r="A1434">
            <v>29929</v>
          </cell>
          <cell r="B1434" t="str">
            <v>CORPORATION</v>
          </cell>
          <cell r="C1434" t="str">
            <v>So Pecas Caxias Center Ltda - Epp</v>
          </cell>
          <cell r="D1434" t="str">
            <v>So Pecas</v>
          </cell>
          <cell r="E1434" t="str">
            <v>BR_CNPJ</v>
          </cell>
          <cell r="F1434" t="str">
            <v>11.572.119/0001-55</v>
          </cell>
        </row>
        <row r="1435">
          <cell r="A1435">
            <v>29931</v>
          </cell>
          <cell r="B1435" t="str">
            <v>CORPORATION</v>
          </cell>
          <cell r="C1435" t="str">
            <v>Rui De Melo</v>
          </cell>
          <cell r="D1435" t="str">
            <v>Loja Global</v>
          </cell>
          <cell r="E1435" t="str">
            <v>BR_CNPJ</v>
          </cell>
          <cell r="F1435" t="str">
            <v>21.044.029/0002-26</v>
          </cell>
          <cell r="G1435" t="str">
            <v>GLOBAL</v>
          </cell>
        </row>
        <row r="1436">
          <cell r="A1436">
            <v>29932</v>
          </cell>
          <cell r="B1436" t="str">
            <v>CORPORATION</v>
          </cell>
          <cell r="C1436" t="str">
            <v>America Acessorios Industriais Ltda - Epp</v>
          </cell>
          <cell r="D1436" t="str">
            <v>America Acessorios Industriais Ltda - Epp</v>
          </cell>
          <cell r="E1436" t="str">
            <v>BR_CNPJ</v>
          </cell>
          <cell r="F1436" t="str">
            <v>44.677.805/0001-40</v>
          </cell>
        </row>
        <row r="1437">
          <cell r="A1437">
            <v>29933</v>
          </cell>
          <cell r="B1437" t="str">
            <v>CORPORATION</v>
          </cell>
          <cell r="C1437" t="str">
            <v>Projek Comercial Eireli</v>
          </cell>
          <cell r="D1437" t="str">
            <v>Projek Comercial Eireli</v>
          </cell>
          <cell r="E1437" t="str">
            <v>BR_CNPJ</v>
          </cell>
          <cell r="F1437" t="str">
            <v>39.239.562/0001-28</v>
          </cell>
        </row>
        <row r="1438">
          <cell r="A1438">
            <v>29936</v>
          </cell>
          <cell r="B1438" t="str">
            <v>CORPORATION</v>
          </cell>
          <cell r="C1438" t="str">
            <v>Atd Instrumentacao E Controle Industrial Ltda - Me</v>
          </cell>
          <cell r="D1438" t="str">
            <v>Atd Instrumentacao E Controle Industrial Ltda - Me</v>
          </cell>
          <cell r="E1438" t="str">
            <v>BR_CNPJ</v>
          </cell>
          <cell r="F1438" t="str">
            <v>63.688.519/0001-24</v>
          </cell>
        </row>
        <row r="1439">
          <cell r="A1439">
            <v>29938</v>
          </cell>
          <cell r="B1439" t="str">
            <v>CORPORATION</v>
          </cell>
          <cell r="C1439" t="str">
            <v>Hwa &amp; Comaltty Representacao De Maquinas, Equipamentos E Assistencia Tecnica Ltda.</v>
          </cell>
          <cell r="D1439" t="str">
            <v>Comaltty Com Repres</v>
          </cell>
          <cell r="E1439" t="str">
            <v>BR_CNPJ</v>
          </cell>
          <cell r="F1439" t="str">
            <v>54.610.027/0001-25</v>
          </cell>
        </row>
        <row r="1440">
          <cell r="A1440">
            <v>29940</v>
          </cell>
          <cell r="B1440" t="str">
            <v>CORPORATION</v>
          </cell>
          <cell r="C1440" t="str">
            <v>Fermatec Ferramentas E Tecnicas Ltda</v>
          </cell>
          <cell r="D1440" t="str">
            <v>Fermatec Ferramentas E Tecnicas</v>
          </cell>
          <cell r="E1440" t="str">
            <v>BR_CNPJ</v>
          </cell>
          <cell r="F1440" t="str">
            <v>05.413.565/0001-14</v>
          </cell>
        </row>
        <row r="1441">
          <cell r="A1441">
            <v>29945</v>
          </cell>
          <cell r="B1441" t="str">
            <v>CORPORATION</v>
          </cell>
          <cell r="C1441" t="str">
            <v>C T Dos Santos - Me</v>
          </cell>
          <cell r="D1441" t="str">
            <v>Norte Ferro</v>
          </cell>
          <cell r="E1441" t="str">
            <v>BR_CNPJ</v>
          </cell>
          <cell r="F1441" t="str">
            <v>05.955.245/0002-77</v>
          </cell>
        </row>
        <row r="1442">
          <cell r="A1442">
            <v>29947</v>
          </cell>
          <cell r="B1442" t="str">
            <v>CORPORATION</v>
          </cell>
          <cell r="C1442" t="str">
            <v>Sistema De Solda Manutencao Tecnica Ltda</v>
          </cell>
          <cell r="D1442" t="str">
            <v>Sistema De Solda</v>
          </cell>
          <cell r="E1442" t="str">
            <v>BR_CNPJ</v>
          </cell>
          <cell r="F1442" t="str">
            <v>33.677.472/0001-32</v>
          </cell>
        </row>
        <row r="1443">
          <cell r="A1443">
            <v>29948</v>
          </cell>
          <cell r="B1443" t="str">
            <v>CORPORATION</v>
          </cell>
          <cell r="C1443" t="str">
            <v>Js Cia. Da Solda Ltda</v>
          </cell>
          <cell r="D1443" t="str">
            <v>Js Cia. Da Solda Ltda</v>
          </cell>
          <cell r="E1443" t="str">
            <v>BR_CNPJ</v>
          </cell>
          <cell r="F1443" t="str">
            <v>05.158.726/0001-70</v>
          </cell>
        </row>
        <row r="1444">
          <cell r="A1444">
            <v>29951</v>
          </cell>
          <cell r="B1444" t="str">
            <v>CORPORATION</v>
          </cell>
          <cell r="C1444" t="str">
            <v>Cruz &amp; Pascoal Ltda - Epp</v>
          </cell>
          <cell r="D1444" t="str">
            <v>Tapecaria Macapa</v>
          </cell>
          <cell r="E1444" t="str">
            <v>BR_CNPJ</v>
          </cell>
          <cell r="F1444" t="str">
            <v>34.871.368/0001-47</v>
          </cell>
        </row>
        <row r="1445">
          <cell r="A1445">
            <v>29953</v>
          </cell>
          <cell r="B1445" t="str">
            <v>CORPORATION</v>
          </cell>
          <cell r="C1445" t="str">
            <v>Juliana Schiehll De Araujo - Me</v>
          </cell>
          <cell r="D1445" t="str">
            <v>Oxy Lider Soldas Gases Maquinas E Assistencia Tecnica</v>
          </cell>
          <cell r="E1445" t="str">
            <v>BR_CNPJ</v>
          </cell>
          <cell r="F1445" t="str">
            <v>12.440.455/0001-07</v>
          </cell>
        </row>
        <row r="1446">
          <cell r="A1446">
            <v>29957</v>
          </cell>
          <cell r="B1446" t="str">
            <v>CORPORATION</v>
          </cell>
          <cell r="C1446" t="str">
            <v>Bitolandia Parafusos E Ferragens Ltda - Epp</v>
          </cell>
          <cell r="D1446" t="str">
            <v>Bitolandia Parafusos E Ferragens Ltda - Epp</v>
          </cell>
          <cell r="E1446" t="str">
            <v>BR_CNPJ</v>
          </cell>
          <cell r="F1446" t="str">
            <v>01.006.441/0001-63</v>
          </cell>
        </row>
        <row r="1447">
          <cell r="A1447">
            <v>29960</v>
          </cell>
          <cell r="B1447" t="str">
            <v>CORPORATION</v>
          </cell>
          <cell r="C1447" t="str">
            <v>Mek-Comercio De Parafusos E Ferragens Ltda - Epp</v>
          </cell>
          <cell r="D1447" t="str">
            <v>Alpar Ferramentas</v>
          </cell>
          <cell r="E1447" t="str">
            <v>BR_CNPJ</v>
          </cell>
          <cell r="F1447" t="str">
            <v>05.057.191/0001-41</v>
          </cell>
        </row>
        <row r="1448">
          <cell r="A1448">
            <v>29962</v>
          </cell>
          <cell r="B1448" t="str">
            <v>CORPORATION</v>
          </cell>
          <cell r="C1448" t="str">
            <v>Hc Eletro Assistencia Tecnica Ltda</v>
          </cell>
          <cell r="D1448" t="str">
            <v>Hc Eletro Assistencia Tecnica Ltda</v>
          </cell>
          <cell r="E1448" t="str">
            <v>BR_CNPJ</v>
          </cell>
          <cell r="F1448" t="str">
            <v>03.527.473/0001-30</v>
          </cell>
          <cell r="G1448" t="str">
            <v>SHOP HC</v>
          </cell>
        </row>
        <row r="1449">
          <cell r="A1449">
            <v>29967</v>
          </cell>
          <cell r="B1449" t="str">
            <v>CORPORATION</v>
          </cell>
          <cell r="C1449" t="str">
            <v>Hc Comercio E Serviços De Ferramentas Ltda</v>
          </cell>
          <cell r="D1449" t="str">
            <v>Hc Comercio E Serviços De Ferramentas Ltda</v>
          </cell>
          <cell r="E1449" t="str">
            <v>BR_CNPJ</v>
          </cell>
          <cell r="F1449" t="str">
            <v>08.889.336/0001-69</v>
          </cell>
          <cell r="G1449" t="str">
            <v>SHOP HC</v>
          </cell>
        </row>
        <row r="1450">
          <cell r="A1450">
            <v>29970</v>
          </cell>
          <cell r="B1450" t="str">
            <v>CORPORATION</v>
          </cell>
          <cell r="C1450" t="str">
            <v>Shophc Ferramentas E Maquinas Ltda</v>
          </cell>
          <cell r="D1450" t="str">
            <v>Shophc Ferramentas</v>
          </cell>
          <cell r="E1450" t="str">
            <v>BR_CNPJ</v>
          </cell>
          <cell r="F1450" t="str">
            <v>12.192.267/0001-07</v>
          </cell>
          <cell r="G1450" t="str">
            <v>SHOP HC</v>
          </cell>
        </row>
        <row r="1451">
          <cell r="A1451">
            <v>29972</v>
          </cell>
          <cell r="B1451" t="str">
            <v>CORPORATION</v>
          </cell>
          <cell r="C1451" t="str">
            <v>50.866.651 Camila De Paula Brito</v>
          </cell>
          <cell r="D1451" t="str">
            <v>Gemac</v>
          </cell>
          <cell r="E1451" t="str">
            <v>BR_CNPJ</v>
          </cell>
          <cell r="F1451" t="str">
            <v>50.866.651/0001-37</v>
          </cell>
          <cell r="G1451" t="str">
            <v>GEMAC</v>
          </cell>
        </row>
        <row r="1452">
          <cell r="A1452">
            <v>29973</v>
          </cell>
          <cell r="B1452" t="str">
            <v>CORPORATION</v>
          </cell>
          <cell r="C1452" t="str">
            <v>Avancini E Muniz Ltda</v>
          </cell>
          <cell r="D1452" t="str">
            <v>Metalurgica Avancini</v>
          </cell>
          <cell r="E1452" t="str">
            <v>BR_CNPJ</v>
          </cell>
          <cell r="F1452" t="str">
            <v>08.387.538/0001-02</v>
          </cell>
        </row>
        <row r="1453">
          <cell r="A1453">
            <v>29974</v>
          </cell>
          <cell r="B1453" t="str">
            <v>CORPORATION</v>
          </cell>
          <cell r="C1453" t="str">
            <v>Remax Abrasivos &amp; Tools Ltda</v>
          </cell>
          <cell r="D1453" t="str">
            <v>Remax Abrasivos</v>
          </cell>
          <cell r="E1453" t="str">
            <v>BR_CNPJ</v>
          </cell>
          <cell r="F1453" t="str">
            <v>00.606.109/0001-77</v>
          </cell>
        </row>
        <row r="1454">
          <cell r="A1454">
            <v>29975</v>
          </cell>
          <cell r="B1454" t="str">
            <v>CORPORATION</v>
          </cell>
          <cell r="C1454" t="str">
            <v>Digitronic Sul Distribuidora Ltda</v>
          </cell>
          <cell r="D1454" t="str">
            <v>Digisul</v>
          </cell>
          <cell r="E1454" t="str">
            <v>BR_CNPJ</v>
          </cell>
          <cell r="F1454" t="str">
            <v>47.769.731/0001-60</v>
          </cell>
        </row>
        <row r="1455">
          <cell r="A1455">
            <v>29977</v>
          </cell>
          <cell r="B1455" t="str">
            <v>CORPORATION</v>
          </cell>
          <cell r="C1455" t="str">
            <v>Bezerra Rocha &amp; Cia Ltda - Me</v>
          </cell>
          <cell r="D1455" t="str">
            <v>Eletrom</v>
          </cell>
          <cell r="E1455" t="str">
            <v>BR_CNPJ</v>
          </cell>
          <cell r="F1455" t="str">
            <v>01.942.350/0001-30</v>
          </cell>
        </row>
        <row r="1456">
          <cell r="A1456">
            <v>29980</v>
          </cell>
          <cell r="B1456" t="str">
            <v>CORPORATION</v>
          </cell>
          <cell r="C1456" t="str">
            <v>P P Da Silva - Me</v>
          </cell>
          <cell r="D1456" t="str">
            <v>Loja Agriferro</v>
          </cell>
          <cell r="E1456" t="str">
            <v>BR_CNPJ</v>
          </cell>
          <cell r="F1456" t="str">
            <v>11.974.771/0001-04</v>
          </cell>
        </row>
        <row r="1457">
          <cell r="A1457">
            <v>29983</v>
          </cell>
          <cell r="B1457" t="str">
            <v>CORPORATION</v>
          </cell>
          <cell r="C1457" t="str">
            <v>Mutinga Materiais Para Construcao Ltda - Me</v>
          </cell>
          <cell r="D1457" t="str">
            <v>Mutinga Materiais Para Construcao Ltda - Me</v>
          </cell>
          <cell r="E1457" t="str">
            <v>BR_CNPJ</v>
          </cell>
          <cell r="F1457" t="str">
            <v>03.451.760/0001-03</v>
          </cell>
        </row>
        <row r="1458">
          <cell r="A1458">
            <v>29984</v>
          </cell>
          <cell r="B1458" t="str">
            <v>CORPORATION</v>
          </cell>
          <cell r="C1458" t="str">
            <v>Kifer Ferro E Aco Ltda</v>
          </cell>
          <cell r="D1458" t="str">
            <v>Kifer Ferro E Aco</v>
          </cell>
          <cell r="E1458" t="str">
            <v>BR_CNPJ</v>
          </cell>
          <cell r="F1458" t="str">
            <v>06.184.756/0001-14</v>
          </cell>
        </row>
        <row r="1459">
          <cell r="A1459">
            <v>29985</v>
          </cell>
          <cell r="B1459" t="str">
            <v>CORPORATION</v>
          </cell>
          <cell r="C1459" t="str">
            <v>Macyfer Ferramentas E Parafusos Ltda</v>
          </cell>
          <cell r="D1459" t="str">
            <v>Macyfer Ferramentas</v>
          </cell>
          <cell r="E1459" t="str">
            <v>BR_CNPJ</v>
          </cell>
          <cell r="F1459" t="str">
            <v>28.750.600/0001-96</v>
          </cell>
          <cell r="G1459" t="str">
            <v>MACYFER</v>
          </cell>
        </row>
        <row r="1460">
          <cell r="A1460">
            <v>29986</v>
          </cell>
          <cell r="B1460" t="str">
            <v>CORPORATION</v>
          </cell>
          <cell r="C1460" t="str">
            <v>World Tools Comercio De Ferramentas Ltda</v>
          </cell>
          <cell r="D1460" t="str">
            <v>World Tools</v>
          </cell>
          <cell r="E1460" t="str">
            <v>BR_CNPJ</v>
          </cell>
          <cell r="F1460" t="str">
            <v>13.064.755/0001-00</v>
          </cell>
        </row>
        <row r="1461">
          <cell r="A1461">
            <v>29988</v>
          </cell>
          <cell r="B1461" t="str">
            <v>CORPORATION</v>
          </cell>
          <cell r="C1461" t="str">
            <v>Amigona Maquinas E Ferramentas Eireli - Me</v>
          </cell>
          <cell r="D1461" t="str">
            <v>Amigona</v>
          </cell>
          <cell r="E1461" t="str">
            <v>BR_CNPJ</v>
          </cell>
          <cell r="F1461" t="str">
            <v>18.787.395/0001-80</v>
          </cell>
        </row>
        <row r="1462">
          <cell r="A1462">
            <v>29991</v>
          </cell>
          <cell r="B1462" t="str">
            <v>CORPORATION</v>
          </cell>
          <cell r="C1462" t="str">
            <v>Multimaq Maquinas E Equipamentos Ltda - Me</v>
          </cell>
          <cell r="D1462" t="str">
            <v>Multimaq</v>
          </cell>
          <cell r="E1462" t="str">
            <v>BR_CNPJ</v>
          </cell>
          <cell r="F1462" t="str">
            <v>10.821.796/0001-05</v>
          </cell>
        </row>
        <row r="1463">
          <cell r="A1463">
            <v>29993</v>
          </cell>
          <cell r="B1463" t="str">
            <v>CORPORATION</v>
          </cell>
          <cell r="C1463" t="str">
            <v>Real Aracatuba Com E Importadora Maq E Ferramentas Ltda - Me</v>
          </cell>
          <cell r="D1463" t="str">
            <v>Real Máquinas</v>
          </cell>
          <cell r="E1463" t="str">
            <v>BR_CNPJ</v>
          </cell>
          <cell r="F1463" t="str">
            <v>00.010.381/0001-90</v>
          </cell>
        </row>
        <row r="1464">
          <cell r="A1464">
            <v>29995</v>
          </cell>
          <cell r="B1464" t="str">
            <v>CORPORATION</v>
          </cell>
          <cell r="C1464" t="str">
            <v>Movecargas Equipamentos Industriais Ltda</v>
          </cell>
          <cell r="D1464" t="str">
            <v>Movecargas</v>
          </cell>
          <cell r="E1464" t="str">
            <v>BR_CNPJ</v>
          </cell>
          <cell r="F1464" t="str">
            <v>21.362.502/0001-32</v>
          </cell>
        </row>
        <row r="1465">
          <cell r="A1465">
            <v>29997</v>
          </cell>
          <cell r="B1465" t="str">
            <v>CORPORATION</v>
          </cell>
          <cell r="C1465" t="str">
            <v>Comercio De Ferramentas Sb Ltda</v>
          </cell>
          <cell r="D1465" t="str">
            <v>Comercio De Ferramentas Sb Ltda</v>
          </cell>
          <cell r="E1465" t="str">
            <v>BR_CNPJ</v>
          </cell>
          <cell r="F1465" t="str">
            <v>94.373.479/0001-55</v>
          </cell>
        </row>
        <row r="1466">
          <cell r="A1466">
            <v>30000</v>
          </cell>
          <cell r="B1466" t="str">
            <v>CORPORATION</v>
          </cell>
          <cell r="C1466" t="str">
            <v>Rneves Comercio De Ferramentas E Soldas Ltda - Epp</v>
          </cell>
          <cell r="D1466" t="str">
            <v>Rneves Comercio De Ferramentas E Soldas Ltda - Epp</v>
          </cell>
          <cell r="E1466" t="str">
            <v>BR_CNPJ</v>
          </cell>
          <cell r="F1466" t="str">
            <v>14.055.143/0001-05</v>
          </cell>
        </row>
        <row r="1467">
          <cell r="A1467">
            <v>30002</v>
          </cell>
          <cell r="B1467" t="str">
            <v>CORPORATION</v>
          </cell>
          <cell r="C1467" t="str">
            <v>Parafix Parafusos E Ferramentas Ltda</v>
          </cell>
          <cell r="D1467" t="str">
            <v>Parafix</v>
          </cell>
          <cell r="E1467" t="str">
            <v>BR_CNPJ</v>
          </cell>
          <cell r="F1467" t="str">
            <v>23.976.432/0001-38</v>
          </cell>
        </row>
        <row r="1468">
          <cell r="A1468">
            <v>30003</v>
          </cell>
          <cell r="B1468" t="str">
            <v>CORPORATION</v>
          </cell>
          <cell r="C1468" t="str">
            <v>Macsolda-Acessorios Para Maquinas E Soldas Ltda - Me</v>
          </cell>
          <cell r="D1468" t="str">
            <v>Macsolda-Acessorios Para Maquinas E Soldas Ltda - Me</v>
          </cell>
          <cell r="E1468" t="str">
            <v>BR_CNPJ</v>
          </cell>
          <cell r="F1468" t="str">
            <v>43.751.213/0001-68</v>
          </cell>
        </row>
        <row r="1469">
          <cell r="A1469">
            <v>30005</v>
          </cell>
          <cell r="B1469" t="str">
            <v>CORPORATION</v>
          </cell>
          <cell r="C1469" t="str">
            <v>Loja Do Compressor Equipamentos E Ferragens Ltda - Me</v>
          </cell>
          <cell r="D1469" t="str">
            <v>Loja Do Compressor Equipamentos E Ferragens Ltda - Me</v>
          </cell>
          <cell r="E1469" t="str">
            <v>BR_CNPJ</v>
          </cell>
          <cell r="F1469" t="str">
            <v>82.341.942/0001-06</v>
          </cell>
        </row>
        <row r="1470">
          <cell r="A1470">
            <v>30008</v>
          </cell>
          <cell r="B1470" t="str">
            <v>CORPORATION</v>
          </cell>
          <cell r="C1470" t="str">
            <v>Ferragem Aurora Ltda</v>
          </cell>
          <cell r="D1470" t="str">
            <v>Ferragem Aurora Ltda</v>
          </cell>
          <cell r="E1470" t="str">
            <v>BR_CNPJ</v>
          </cell>
          <cell r="F1470" t="str">
            <v>88.888.698/0001-74</v>
          </cell>
        </row>
        <row r="1471">
          <cell r="A1471">
            <v>30009</v>
          </cell>
          <cell r="B1471" t="str">
            <v>CORPORATION</v>
          </cell>
          <cell r="C1471" t="str">
            <v>Agri Center Comercio Ltda</v>
          </cell>
          <cell r="D1471" t="str">
            <v>Agri Center Comercio Ltda</v>
          </cell>
          <cell r="E1471" t="str">
            <v>BR_CNPJ</v>
          </cell>
          <cell r="F1471" t="str">
            <v>69.968.113/0001-81</v>
          </cell>
        </row>
        <row r="1472">
          <cell r="A1472">
            <v>30014</v>
          </cell>
          <cell r="B1472" t="str">
            <v>CORPORATION</v>
          </cell>
          <cell r="C1472" t="str">
            <v>Cotripal Agropecuaria Cooperativa</v>
          </cell>
          <cell r="D1472" t="str">
            <v>Cotripal</v>
          </cell>
          <cell r="E1472" t="str">
            <v>BR_CNPJ</v>
          </cell>
          <cell r="F1472" t="str">
            <v>91.982.496/0001-00</v>
          </cell>
        </row>
        <row r="1473">
          <cell r="A1473">
            <v>30017</v>
          </cell>
          <cell r="B1473" t="str">
            <v>CORPORATION</v>
          </cell>
          <cell r="C1473" t="str">
            <v>Hilcom Importacao Comercio E Industria Ltda - Epp</v>
          </cell>
          <cell r="D1473" t="str">
            <v>Hilcom Importacao Comercio E Industria Ltda - Epp</v>
          </cell>
          <cell r="E1473" t="str">
            <v>BR_CNPJ</v>
          </cell>
          <cell r="F1473" t="str">
            <v>92.327.238/0001-44</v>
          </cell>
        </row>
        <row r="1474">
          <cell r="A1474">
            <v>30019</v>
          </cell>
          <cell r="B1474" t="str">
            <v>CORPORATION</v>
          </cell>
          <cell r="C1474" t="str">
            <v>Mais Ferramentas Ltda - Epp</v>
          </cell>
          <cell r="D1474" t="str">
            <v>Mais Ferramentas Ltda - Epp</v>
          </cell>
          <cell r="E1474" t="str">
            <v>BR_CNPJ</v>
          </cell>
          <cell r="F1474" t="str">
            <v>12.238.837/0001-52</v>
          </cell>
        </row>
        <row r="1475">
          <cell r="A1475">
            <v>30022</v>
          </cell>
          <cell r="B1475" t="str">
            <v>CORPORATION</v>
          </cell>
          <cell r="C1475" t="str">
            <v>Tem Soldas Maquinas E Ferramentas Ltda - Me</v>
          </cell>
          <cell r="D1475" t="str">
            <v>Tem Soldas Maquinas E Ferramentas Ltda - Me</v>
          </cell>
          <cell r="E1475" t="str">
            <v>BR_CNPJ</v>
          </cell>
          <cell r="F1475" t="str">
            <v>14.062.188/0001-07</v>
          </cell>
        </row>
        <row r="1476">
          <cell r="A1476">
            <v>30025</v>
          </cell>
          <cell r="B1476" t="str">
            <v>CORPORATION</v>
          </cell>
          <cell r="C1476" t="str">
            <v>Fleck Taruma Tintas Automotivas Ltda - Me</v>
          </cell>
          <cell r="D1476" t="str">
            <v>Taruma Tintas</v>
          </cell>
          <cell r="E1476" t="str">
            <v>BR_CNPJ</v>
          </cell>
          <cell r="F1476" t="str">
            <v>12.569.264/0001-40</v>
          </cell>
        </row>
        <row r="1477">
          <cell r="A1477">
            <v>30028</v>
          </cell>
          <cell r="B1477" t="str">
            <v>CORPORATION</v>
          </cell>
          <cell r="C1477" t="str">
            <v>Raphael Ruiz Boareto - Me</v>
          </cell>
          <cell r="D1477" t="str">
            <v>Impacto Ferragens</v>
          </cell>
          <cell r="E1477" t="str">
            <v>BR_CNPJ</v>
          </cell>
          <cell r="F1477" t="str">
            <v>07.806.291/0001-59</v>
          </cell>
        </row>
        <row r="1478">
          <cell r="A1478">
            <v>30029</v>
          </cell>
          <cell r="B1478" t="str">
            <v>CORPORATION</v>
          </cell>
          <cell r="C1478" t="str">
            <v>Goias Maquinas E Parafusos Ltda</v>
          </cell>
          <cell r="D1478" t="str">
            <v>Goias Maquinas E Parafusos Ltda</v>
          </cell>
          <cell r="E1478" t="str">
            <v>BR_CNPJ</v>
          </cell>
          <cell r="F1478" t="str">
            <v>05.312.543/0001-68</v>
          </cell>
        </row>
        <row r="1479">
          <cell r="A1479">
            <v>30030</v>
          </cell>
          <cell r="B1479" t="str">
            <v>CORPORATION</v>
          </cell>
          <cell r="C1479" t="str">
            <v>Eletro Sul Ferramentas Ltda - Epp</v>
          </cell>
          <cell r="D1479" t="str">
            <v>Eletro Sul Ferramentas Ltda - Epp</v>
          </cell>
          <cell r="E1479" t="str">
            <v>BR_CNPJ</v>
          </cell>
          <cell r="F1479" t="str">
            <v>88.637.319/0001-73</v>
          </cell>
        </row>
        <row r="1480">
          <cell r="A1480">
            <v>30033</v>
          </cell>
          <cell r="B1480" t="str">
            <v>CORPORATION</v>
          </cell>
          <cell r="C1480" t="str">
            <v>Bs Maquinas E Equipamentos De Solda Ltda - Epp</v>
          </cell>
          <cell r="D1480" t="str">
            <v>Bs Maquinas E Equipamentos De Solda Ltda - Epp</v>
          </cell>
          <cell r="E1480" t="str">
            <v>BR_CNPJ</v>
          </cell>
          <cell r="F1480" t="str">
            <v>93.580.843/0001-95</v>
          </cell>
        </row>
        <row r="1481">
          <cell r="A1481">
            <v>30035</v>
          </cell>
          <cell r="B1481" t="str">
            <v>CORPORATION</v>
          </cell>
          <cell r="C1481" t="str">
            <v>P &amp; M Ferragens Ltda</v>
          </cell>
          <cell r="D1481" t="str">
            <v>Nossa Loja Ferragens</v>
          </cell>
          <cell r="E1481" t="str">
            <v>BR_CNPJ</v>
          </cell>
          <cell r="F1481" t="str">
            <v>11.659.159/0001-39</v>
          </cell>
        </row>
        <row r="1482">
          <cell r="A1482">
            <v>30036</v>
          </cell>
          <cell r="B1482" t="str">
            <v>CORPORATION</v>
          </cell>
          <cell r="C1482" t="str">
            <v>Helio Magalhaes Faria</v>
          </cell>
          <cell r="D1482" t="str">
            <v>Helio Magalhaes Faria</v>
          </cell>
          <cell r="E1482" t="str">
            <v>BR_CNPJ</v>
          </cell>
          <cell r="F1482" t="str">
            <v>28.622.033/0001-92</v>
          </cell>
        </row>
        <row r="1483">
          <cell r="A1483">
            <v>30037</v>
          </cell>
          <cell r="B1483" t="str">
            <v>CORPORATION</v>
          </cell>
          <cell r="C1483" t="str">
            <v>Geraldo Geronildes Da Silva</v>
          </cell>
          <cell r="D1483" t="str">
            <v>G Metal Parafuso E Ferramentas</v>
          </cell>
          <cell r="E1483" t="str">
            <v>BR_CNPJ</v>
          </cell>
          <cell r="F1483" t="str">
            <v>49.574.688/0001-02</v>
          </cell>
        </row>
        <row r="1484">
          <cell r="A1484">
            <v>30038</v>
          </cell>
          <cell r="B1484" t="str">
            <v>CORPORATION</v>
          </cell>
          <cell r="C1484" t="str">
            <v>M.A. Maceno &amp; Cia Ltda - Me</v>
          </cell>
          <cell r="D1484" t="str">
            <v>Ferramental</v>
          </cell>
          <cell r="E1484" t="str">
            <v>BR_CNPJ</v>
          </cell>
          <cell r="F1484" t="str">
            <v>11.172.123/0001-26</v>
          </cell>
        </row>
        <row r="1485">
          <cell r="A1485">
            <v>30042</v>
          </cell>
          <cell r="B1485" t="str">
            <v>CORPORATION</v>
          </cell>
          <cell r="C1485" t="str">
            <v>Eletrica E Hidraulica Sao Jose Ltda</v>
          </cell>
          <cell r="D1485" t="str">
            <v>Eletrica E Hidraulica Sao Jose</v>
          </cell>
          <cell r="E1485" t="str">
            <v>BR_CNPJ</v>
          </cell>
          <cell r="F1485" t="str">
            <v>41.812.753/0001-89</v>
          </cell>
        </row>
        <row r="1486">
          <cell r="A1486">
            <v>30044</v>
          </cell>
          <cell r="B1486" t="str">
            <v>CORPORATION</v>
          </cell>
          <cell r="C1486" t="str">
            <v>Coopercitrus Cooperativa De Produtores Rurais</v>
          </cell>
          <cell r="D1486" t="str">
            <v>Coopercitrus Cooperativa De Produtores Rurais</v>
          </cell>
          <cell r="E1486" t="str">
            <v>BR_CNPJ</v>
          </cell>
          <cell r="F1486" t="str">
            <v>45.236.791/0002-72</v>
          </cell>
        </row>
        <row r="1487">
          <cell r="A1487">
            <v>30045</v>
          </cell>
          <cell r="B1487" t="str">
            <v>CORPORATION</v>
          </cell>
          <cell r="C1487" t="str">
            <v>R &amp; V - Maquinas E Ferramentas Ltda</v>
          </cell>
          <cell r="D1487" t="str">
            <v>Promaq</v>
          </cell>
          <cell r="E1487" t="str">
            <v>BR_CNPJ</v>
          </cell>
          <cell r="F1487" t="str">
            <v>31.825.737/0001-77</v>
          </cell>
        </row>
        <row r="1488">
          <cell r="A1488">
            <v>30050</v>
          </cell>
          <cell r="B1488" t="str">
            <v>CORPORATION</v>
          </cell>
          <cell r="C1488" t="str">
            <v>Dicafer Distribuidora De Tintas E Abrasivos Ltda</v>
          </cell>
          <cell r="D1488" t="str">
            <v>Dicafer Distribuidora De Tintas E Abrasivos Ltda</v>
          </cell>
          <cell r="E1488" t="str">
            <v>BR_CNPJ</v>
          </cell>
          <cell r="F1488" t="str">
            <v>95.809.414/0001-72</v>
          </cell>
        </row>
        <row r="1489">
          <cell r="A1489">
            <v>30052</v>
          </cell>
          <cell r="B1489" t="str">
            <v>CORPORATION</v>
          </cell>
          <cell r="C1489" t="str">
            <v>Benedito Da Costa Sobrinho Junior 00507297300</v>
          </cell>
          <cell r="D1489" t="str">
            <v>Bcsjunior</v>
          </cell>
          <cell r="E1489" t="str">
            <v>BR_CNPJ</v>
          </cell>
          <cell r="F1489" t="str">
            <v>29.048.185/0001-96</v>
          </cell>
        </row>
        <row r="1490">
          <cell r="A1490">
            <v>30053</v>
          </cell>
          <cell r="B1490" t="str">
            <v>CORPORATION</v>
          </cell>
          <cell r="C1490" t="str">
            <v>Mm Correias E Mangueiras Ltda - Me</v>
          </cell>
          <cell r="D1490" t="str">
            <v>Mm Correias E Mangueiras</v>
          </cell>
          <cell r="E1490" t="str">
            <v>BR_CNPJ</v>
          </cell>
          <cell r="F1490" t="str">
            <v>07.272.595/0001-83</v>
          </cell>
        </row>
        <row r="1491">
          <cell r="A1491">
            <v>30055</v>
          </cell>
          <cell r="B1491" t="str">
            <v>CORPORATION</v>
          </cell>
          <cell r="C1491" t="str">
            <v>Arb Comercio De Equipamentos E Maquinas Ltda - Me</v>
          </cell>
          <cell r="D1491" t="str">
            <v>Arb Comercio De Equipamentos E Maquinas Ltda - Me</v>
          </cell>
          <cell r="E1491" t="str">
            <v>BR_CNPJ</v>
          </cell>
          <cell r="F1491" t="str">
            <v>07.542.464/0001-79</v>
          </cell>
        </row>
        <row r="1492">
          <cell r="A1492">
            <v>30056</v>
          </cell>
          <cell r="B1492" t="str">
            <v>CORPORATION</v>
          </cell>
          <cell r="C1492" t="str">
            <v>Construcenter Rio Bonito Ltda</v>
          </cell>
          <cell r="D1492" t="str">
            <v>Construcenter Rio Bonito Ltda</v>
          </cell>
          <cell r="E1492" t="str">
            <v>BR_CNPJ</v>
          </cell>
          <cell r="F1492" t="str">
            <v>10.529.025/0001-30</v>
          </cell>
          <cell r="G1492" t="str">
            <v>BOM PREÇO</v>
          </cell>
        </row>
        <row r="1493">
          <cell r="A1493">
            <v>30057</v>
          </cell>
          <cell r="B1493" t="str">
            <v>CORPORATION</v>
          </cell>
          <cell r="C1493" t="str">
            <v>Apolo Produtos De Soldagem E Ferramentas Ltda</v>
          </cell>
          <cell r="D1493" t="str">
            <v>Apolo</v>
          </cell>
          <cell r="E1493" t="str">
            <v>BR_CNPJ</v>
          </cell>
          <cell r="F1493" t="str">
            <v>00.624.849/0001-36</v>
          </cell>
        </row>
        <row r="1494">
          <cell r="A1494">
            <v>30058</v>
          </cell>
          <cell r="B1494" t="str">
            <v>CORPORATION</v>
          </cell>
          <cell r="C1494" t="str">
            <v>Hl Brasil Distribuidora Ltda - Epp</v>
          </cell>
          <cell r="D1494" t="str">
            <v>Hl Brasil</v>
          </cell>
          <cell r="E1494" t="str">
            <v>BR_CNPJ</v>
          </cell>
          <cell r="F1494" t="str">
            <v>05.929.798/0001-74</v>
          </cell>
        </row>
        <row r="1495">
          <cell r="A1495">
            <v>30060</v>
          </cell>
          <cell r="B1495" t="str">
            <v>CORPORATION</v>
          </cell>
          <cell r="C1495" t="str">
            <v>White &amp; Soares Comercio De Auto Pecas Ltda - Epp</v>
          </cell>
          <cell r="D1495" t="str">
            <v>Ws</v>
          </cell>
          <cell r="E1495" t="str">
            <v>BR_CNPJ</v>
          </cell>
          <cell r="F1495" t="str">
            <v>16.874.250/0001-90</v>
          </cell>
        </row>
        <row r="1496">
          <cell r="A1496">
            <v>30063</v>
          </cell>
          <cell r="B1496" t="str">
            <v>CORPORATION</v>
          </cell>
          <cell r="C1496" t="str">
            <v>Marco Botteon Industria E Comercio Ltda</v>
          </cell>
          <cell r="D1496" t="str">
            <v>Marco Botteon Industria E Comercio Ltda</v>
          </cell>
          <cell r="E1496" t="str">
            <v>BR_CNPJ</v>
          </cell>
          <cell r="F1496" t="str">
            <v>45.381.837/0001-66</v>
          </cell>
        </row>
        <row r="1497">
          <cell r="A1497">
            <v>30066</v>
          </cell>
          <cell r="B1497" t="str">
            <v>CORPORATION</v>
          </cell>
          <cell r="C1497" t="str">
            <v>F E Arcanjo Junior Ferragens</v>
          </cell>
          <cell r="D1497" t="str">
            <v>Casa Dos Parafusos</v>
          </cell>
          <cell r="E1497" t="str">
            <v>BR_CNPJ</v>
          </cell>
          <cell r="F1497" t="str">
            <v>32.925.049/0001-41</v>
          </cell>
        </row>
        <row r="1498">
          <cell r="A1498">
            <v>30067</v>
          </cell>
          <cell r="B1498" t="str">
            <v>CORPORATION</v>
          </cell>
          <cell r="C1498" t="str">
            <v>R. Poletti Moreira</v>
          </cell>
          <cell r="D1498" t="str">
            <v>Bandeirante Ferramentas</v>
          </cell>
          <cell r="E1498" t="str">
            <v>BR_CNPJ</v>
          </cell>
          <cell r="F1498" t="str">
            <v>10.266.637/0001-88</v>
          </cell>
        </row>
        <row r="1499">
          <cell r="A1499">
            <v>30071</v>
          </cell>
          <cell r="B1499" t="str">
            <v>CORPORATION</v>
          </cell>
          <cell r="C1499" t="str">
            <v>F. C. De Paula Jose &amp; Cia. Ltda - Epp</v>
          </cell>
          <cell r="D1499" t="str">
            <v>Puma Comercio E Manutencao</v>
          </cell>
          <cell r="E1499" t="str">
            <v>BR_CNPJ</v>
          </cell>
          <cell r="F1499" t="str">
            <v>05.084.081/0001-79</v>
          </cell>
        </row>
        <row r="1500">
          <cell r="A1500">
            <v>30073</v>
          </cell>
          <cell r="B1500" t="str">
            <v>CORPORATION</v>
          </cell>
          <cell r="C1500" t="str">
            <v>Elimar Maquinas Campinas Ltda</v>
          </cell>
          <cell r="D1500" t="str">
            <v>Elimar Maquinas Campinas Ltda</v>
          </cell>
          <cell r="E1500" t="str">
            <v>BR_CNPJ</v>
          </cell>
          <cell r="F1500" t="str">
            <v>67.714.907/0001-93</v>
          </cell>
        </row>
        <row r="1501">
          <cell r="A1501">
            <v>30074</v>
          </cell>
          <cell r="B1501" t="str">
            <v>CORPORATION</v>
          </cell>
          <cell r="C1501" t="str">
            <v>Sp Equipamentos De Protecao Ao Trabalho E Mro Ltda</v>
          </cell>
          <cell r="D1501" t="str">
            <v>Sp Equipamentos De Protecao Ao Trabalho E Mro Ltda.</v>
          </cell>
          <cell r="E1501" t="str">
            <v>BR_CNPJ</v>
          </cell>
          <cell r="F1501" t="str">
            <v>59.609.123/0012-20</v>
          </cell>
        </row>
        <row r="1502">
          <cell r="A1502">
            <v>30076</v>
          </cell>
          <cell r="B1502" t="str">
            <v>CORPORATION</v>
          </cell>
          <cell r="C1502" t="str">
            <v>Imperio Das Soldas - Comercio De Soldas E Equipamentos Industriais Ltda - Epp</v>
          </cell>
          <cell r="D1502" t="str">
            <v>Imperio Das Soldas</v>
          </cell>
          <cell r="E1502" t="str">
            <v>BR_CNPJ</v>
          </cell>
          <cell r="F1502" t="str">
            <v>07.224.924/0001-10</v>
          </cell>
        </row>
        <row r="1503">
          <cell r="A1503">
            <v>30078</v>
          </cell>
          <cell r="B1503" t="str">
            <v>CORPORATION</v>
          </cell>
          <cell r="C1503" t="str">
            <v>Danielle Vieira Silva Rodrigues</v>
          </cell>
          <cell r="D1503" t="str">
            <v>Sagafer</v>
          </cell>
          <cell r="E1503" t="str">
            <v>BR_CNPJ</v>
          </cell>
          <cell r="F1503" t="str">
            <v>24.659.141/0001-89</v>
          </cell>
        </row>
        <row r="1504">
          <cell r="A1504">
            <v>30079</v>
          </cell>
          <cell r="B1504" t="str">
            <v>CORPORATION</v>
          </cell>
          <cell r="C1504" t="str">
            <v>Acesolda Materiais De Solda Ltda</v>
          </cell>
          <cell r="D1504" t="str">
            <v>Acesolda Materiais De Solda Ltda</v>
          </cell>
          <cell r="E1504" t="str">
            <v>BR_CNPJ</v>
          </cell>
          <cell r="F1504" t="str">
            <v>52.525.011/0001-99</v>
          </cell>
        </row>
        <row r="1505">
          <cell r="A1505">
            <v>30081</v>
          </cell>
          <cell r="B1505" t="str">
            <v>CORPORATION</v>
          </cell>
          <cell r="C1505" t="str">
            <v>All Tec Soldas Comercio Ltda - Epp</v>
          </cell>
          <cell r="D1505" t="str">
            <v>All Tec Soldas Comercio Ltda - Epp</v>
          </cell>
          <cell r="E1505" t="str">
            <v>BR_CNPJ</v>
          </cell>
          <cell r="F1505" t="str">
            <v>53.185.443/0001-60</v>
          </cell>
        </row>
        <row r="1506">
          <cell r="A1506">
            <v>30083</v>
          </cell>
          <cell r="B1506" t="str">
            <v>CORPORATION</v>
          </cell>
          <cell r="C1506" t="str">
            <v>Tropical Comercio De Borrachas Eireli</v>
          </cell>
          <cell r="D1506" t="str">
            <v>Tropical Borrachas</v>
          </cell>
          <cell r="E1506" t="str">
            <v>BR_CNPJ</v>
          </cell>
          <cell r="F1506" t="str">
            <v>04.517.096/0001-10</v>
          </cell>
        </row>
        <row r="1507">
          <cell r="A1507">
            <v>30085</v>
          </cell>
          <cell r="B1507" t="str">
            <v>CORPORATION</v>
          </cell>
          <cell r="C1507" t="str">
            <v>Oxi-Franca Comercio De Maquinas E Ferramentas Ltda - Epp</v>
          </cell>
          <cell r="D1507" t="str">
            <v>Oxi-Franca</v>
          </cell>
          <cell r="E1507" t="str">
            <v>BR_CNPJ</v>
          </cell>
          <cell r="F1507" t="str">
            <v>54.237.185/0001-81</v>
          </cell>
        </row>
        <row r="1508">
          <cell r="A1508">
            <v>30088</v>
          </cell>
          <cell r="B1508" t="str">
            <v>CORPORATION</v>
          </cell>
          <cell r="C1508" t="str">
            <v>Gremasp Abrasivos Importacao E Comercio Ltda</v>
          </cell>
          <cell r="D1508" t="str">
            <v>Gremasp Abrasivos Importacao E Comercio Ltda</v>
          </cell>
          <cell r="E1508" t="str">
            <v>BR_CNPJ</v>
          </cell>
          <cell r="F1508" t="str">
            <v>02.002.949/0001-56</v>
          </cell>
        </row>
        <row r="1509">
          <cell r="A1509">
            <v>30091</v>
          </cell>
          <cell r="B1509" t="str">
            <v>CORPORATION</v>
          </cell>
          <cell r="C1509" t="str">
            <v>Yugi Nelson Terui - Umuarama - Me</v>
          </cell>
          <cell r="D1509" t="str">
            <v>Neltec Eletroeletronica</v>
          </cell>
          <cell r="E1509" t="str">
            <v>BR_CNPJ</v>
          </cell>
          <cell r="F1509" t="str">
            <v>05.103.721/0001-40</v>
          </cell>
        </row>
        <row r="1510">
          <cell r="A1510">
            <v>30098</v>
          </cell>
          <cell r="B1510" t="str">
            <v>CORPORATION</v>
          </cell>
          <cell r="C1510" t="str">
            <v>Fiel Tools Distribuidora De Maquinas E Ferragens Ltda</v>
          </cell>
          <cell r="D1510" t="str">
            <v>Fiel Tools Distribuidora De Maquinas E Ferragens Ltda</v>
          </cell>
          <cell r="E1510" t="str">
            <v>BR_CNPJ</v>
          </cell>
          <cell r="F1510" t="str">
            <v>11.202.309/0001-80</v>
          </cell>
        </row>
        <row r="1511">
          <cell r="A1511">
            <v>30101</v>
          </cell>
          <cell r="B1511" t="str">
            <v>CORPORATION</v>
          </cell>
          <cell r="C1511" t="str">
            <v>Mrp - Comercio E Servicos De Motores Hermeticos Ltda - Me</v>
          </cell>
          <cell r="D1511" t="str">
            <v>Mrp - Comercio E Servicos De Motores Hermeticos Ltda - Me</v>
          </cell>
          <cell r="E1511" t="str">
            <v>BR_CNPJ</v>
          </cell>
          <cell r="F1511" t="str">
            <v>08.621.044/0001-40</v>
          </cell>
        </row>
        <row r="1512">
          <cell r="A1512">
            <v>30104</v>
          </cell>
          <cell r="B1512" t="str">
            <v>CORPORATION</v>
          </cell>
          <cell r="C1512" t="str">
            <v>Reparol - Acessorios Industriais Ltda</v>
          </cell>
          <cell r="D1512" t="str">
            <v>Reparol - Acessorios Industriais Ltda</v>
          </cell>
          <cell r="E1512" t="str">
            <v>BR_CNPJ</v>
          </cell>
          <cell r="F1512" t="str">
            <v>53.764.056/0001-89</v>
          </cell>
        </row>
        <row r="1513">
          <cell r="A1513">
            <v>30107</v>
          </cell>
          <cell r="B1513" t="str">
            <v>CORPORATION</v>
          </cell>
          <cell r="C1513" t="str">
            <v>Ksolda Comercio E Importacao De Metais Ltda</v>
          </cell>
          <cell r="D1513" t="str">
            <v>Ksolda</v>
          </cell>
          <cell r="E1513" t="str">
            <v>BR_CNPJ</v>
          </cell>
          <cell r="F1513" t="str">
            <v>12.165.287/0002-70</v>
          </cell>
          <cell r="G1513" t="str">
            <v>KSOLDA</v>
          </cell>
        </row>
        <row r="1514">
          <cell r="A1514">
            <v>30111</v>
          </cell>
          <cell r="B1514" t="str">
            <v>CORPORATION</v>
          </cell>
          <cell r="C1514" t="str">
            <v>Oxigenio Jundiai Coml De Gases E Equipamentos Ltda - Epp</v>
          </cell>
          <cell r="D1514" t="str">
            <v>Oxigenio &amp; Maquinas Jundiai</v>
          </cell>
          <cell r="E1514" t="str">
            <v>BR_CNPJ</v>
          </cell>
          <cell r="F1514" t="str">
            <v>56.497.993/0001-03</v>
          </cell>
          <cell r="G1514" t="str">
            <v>OXIGENIO JUNDIAI</v>
          </cell>
        </row>
        <row r="1515">
          <cell r="A1515">
            <v>30115</v>
          </cell>
          <cell r="B1515" t="str">
            <v>CORPORATION</v>
          </cell>
          <cell r="C1515" t="str">
            <v>Solmaq Soldas E Equipamentos Ltda</v>
          </cell>
          <cell r="D1515" t="str">
            <v>Solmaq Soldas E Equipamentos</v>
          </cell>
          <cell r="E1515" t="str">
            <v>BR_CNPJ</v>
          </cell>
          <cell r="F1515" t="str">
            <v>07.631.679/0001-66</v>
          </cell>
        </row>
        <row r="1516">
          <cell r="A1516">
            <v>30116</v>
          </cell>
          <cell r="B1516" t="str">
            <v>CORPORATION</v>
          </cell>
          <cell r="C1516" t="str">
            <v>Metalco Comercio De Metais Ltda</v>
          </cell>
          <cell r="D1516" t="str">
            <v>Metalco Comercio De Metais</v>
          </cell>
          <cell r="E1516" t="str">
            <v>BR_CNPJ</v>
          </cell>
          <cell r="F1516" t="str">
            <v>32.229.998/0001-97</v>
          </cell>
        </row>
        <row r="1517">
          <cell r="A1517">
            <v>30117</v>
          </cell>
          <cell r="B1517" t="str">
            <v>CORPORATION</v>
          </cell>
          <cell r="C1517" t="str">
            <v>Upper Comercio Exterior Ltda</v>
          </cell>
          <cell r="D1517" t="str">
            <v>Upper Comercio Exterior</v>
          </cell>
          <cell r="E1517" t="str">
            <v>BR_CNPJ</v>
          </cell>
          <cell r="F1517" t="str">
            <v>25.211.323/0001-55</v>
          </cell>
        </row>
        <row r="1518">
          <cell r="A1518">
            <v>30118</v>
          </cell>
          <cell r="B1518" t="str">
            <v>CORPORATION</v>
          </cell>
          <cell r="C1518" t="str">
            <v>Verdes Mares - Comercio De Equipamentos De Seguranca E Ferragens Ltda - Me</v>
          </cell>
          <cell r="D1518" t="str">
            <v>Eletro Ferragens Atlantico</v>
          </cell>
          <cell r="E1518" t="str">
            <v>BR_CNPJ</v>
          </cell>
          <cell r="F1518" t="str">
            <v>10.467.443/0001-40</v>
          </cell>
        </row>
        <row r="1519">
          <cell r="A1519">
            <v>30120</v>
          </cell>
          <cell r="B1519" t="str">
            <v>CORPORATION</v>
          </cell>
          <cell r="C1519" t="str">
            <v>Pb Auto Pecas E Ferragens Ltda</v>
          </cell>
          <cell r="D1519" t="str">
            <v>Pb Auto Pecas E Ferragens</v>
          </cell>
          <cell r="E1519" t="str">
            <v>BR_CNPJ</v>
          </cell>
          <cell r="F1519" t="str">
            <v>15.317.573/0001-10</v>
          </cell>
        </row>
        <row r="1520">
          <cell r="A1520">
            <v>30121</v>
          </cell>
          <cell r="B1520" t="str">
            <v>CORPORATION</v>
          </cell>
          <cell r="C1520" t="str">
            <v>Central De Ferramentas Gmr Ltda</v>
          </cell>
          <cell r="D1520" t="str">
            <v>Central De Ferramentas Gmr Ltda</v>
          </cell>
          <cell r="E1520" t="str">
            <v>BR_CNPJ</v>
          </cell>
          <cell r="F1520" t="str">
            <v>07.404.480/0001-03</v>
          </cell>
        </row>
        <row r="1521">
          <cell r="A1521">
            <v>30122</v>
          </cell>
          <cell r="B1521" t="str">
            <v>CORPORATION</v>
          </cell>
          <cell r="C1521" t="str">
            <v>Sr Comercio De Ferragens E Construcao Ltda</v>
          </cell>
          <cell r="D1521" t="str">
            <v>Sr Comercio</v>
          </cell>
          <cell r="E1521" t="str">
            <v>BR_CNPJ</v>
          </cell>
          <cell r="F1521" t="str">
            <v>41.468.799/0001-22</v>
          </cell>
          <cell r="G1521" t="str">
            <v>SR FERRAGENS</v>
          </cell>
        </row>
        <row r="1522">
          <cell r="A1522">
            <v>30123</v>
          </cell>
          <cell r="B1522" t="str">
            <v>CORPORATION</v>
          </cell>
          <cell r="C1522" t="str">
            <v>Atacadao Das Ferramentas Ltda</v>
          </cell>
          <cell r="D1522" t="str">
            <v>Atacadao Das Ferramentas Eireli</v>
          </cell>
          <cell r="E1522" t="str">
            <v>BR_CNPJ</v>
          </cell>
          <cell r="F1522" t="str">
            <v>33.578.516/0001-77</v>
          </cell>
        </row>
        <row r="1523">
          <cell r="A1523">
            <v>30124</v>
          </cell>
          <cell r="B1523" t="str">
            <v>CORPORATION</v>
          </cell>
          <cell r="C1523" t="str">
            <v>Aruja Solda Comercio De Equipamentos Eletronicos Ltda - Me</v>
          </cell>
          <cell r="D1523" t="str">
            <v>Aruja Solda</v>
          </cell>
          <cell r="E1523" t="str">
            <v>BR_CNPJ</v>
          </cell>
          <cell r="F1523" t="str">
            <v>13.613.321/0001-03</v>
          </cell>
        </row>
        <row r="1524">
          <cell r="A1524">
            <v>30126</v>
          </cell>
          <cell r="B1524" t="str">
            <v>CORPORATION</v>
          </cell>
          <cell r="C1524" t="str">
            <v>Marcos Rodrigues Comercio De Maquinas E Ferramentas Ltda - Me</v>
          </cell>
          <cell r="D1524" t="str">
            <v>Marcos Rodrigues Comercio De Maquinas E Ferramentas Ltda - Me</v>
          </cell>
          <cell r="E1524" t="str">
            <v>BR_CNPJ</v>
          </cell>
          <cell r="F1524" t="str">
            <v>10.947.716/0001-54</v>
          </cell>
        </row>
        <row r="1525">
          <cell r="A1525">
            <v>30129</v>
          </cell>
          <cell r="B1525" t="str">
            <v>CORPORATION</v>
          </cell>
          <cell r="C1525" t="str">
            <v>Jaime Halaiko Carvalho - Me</v>
          </cell>
          <cell r="D1525" t="str">
            <v>Halmak - Eletromotores &amp; Pecas</v>
          </cell>
          <cell r="E1525" t="str">
            <v>BR_CNPJ</v>
          </cell>
          <cell r="F1525" t="str">
            <v>04.244.250/0001-28</v>
          </cell>
        </row>
        <row r="1526">
          <cell r="A1526">
            <v>30130</v>
          </cell>
          <cell r="B1526" t="str">
            <v>CORPORATION</v>
          </cell>
          <cell r="C1526" t="str">
            <v>Juarez De Oliveira</v>
          </cell>
          <cell r="D1526" t="str">
            <v>Juarez Motores</v>
          </cell>
          <cell r="E1526" t="str">
            <v>BR_CNPJ</v>
          </cell>
          <cell r="F1526" t="str">
            <v>69.915.536/0001-33</v>
          </cell>
        </row>
        <row r="1527">
          <cell r="A1527">
            <v>30131</v>
          </cell>
          <cell r="B1527" t="str">
            <v>CORPORATION</v>
          </cell>
          <cell r="C1527" t="str">
            <v>Global Distribuicao De Bens De Consumo Ltda.</v>
          </cell>
          <cell r="D1527" t="str">
            <v>Global Distribuicao De Bens De Consumo Ltda.</v>
          </cell>
          <cell r="E1527" t="str">
            <v>BR_CNPJ</v>
          </cell>
          <cell r="F1527" t="str">
            <v>89.237.911/0001-40</v>
          </cell>
        </row>
        <row r="1528">
          <cell r="A1528">
            <v>30133</v>
          </cell>
          <cell r="B1528" t="str">
            <v>CORPORATION</v>
          </cell>
          <cell r="C1528" t="str">
            <v>Jk Compressores Ltda</v>
          </cell>
          <cell r="D1528" t="str">
            <v>Jk Compressores</v>
          </cell>
          <cell r="E1528" t="str">
            <v>BR_CNPJ</v>
          </cell>
          <cell r="F1528" t="str">
            <v>10.509.368/0001-33</v>
          </cell>
        </row>
        <row r="1529">
          <cell r="A1529">
            <v>30135</v>
          </cell>
          <cell r="B1529" t="str">
            <v>CORPORATION</v>
          </cell>
          <cell r="C1529" t="str">
            <v>Lopes Santos E Cia Ltda - Me</v>
          </cell>
          <cell r="D1529" t="str">
            <v>Lopes Santos E Cia Ltda - Me</v>
          </cell>
          <cell r="E1529" t="str">
            <v>BR_CNPJ</v>
          </cell>
          <cell r="F1529" t="str">
            <v>76.592.278/0001-67</v>
          </cell>
        </row>
        <row r="1530">
          <cell r="A1530">
            <v>30136</v>
          </cell>
          <cell r="B1530" t="str">
            <v>CORPORATION</v>
          </cell>
          <cell r="C1530" t="str">
            <v>Calderman-Ferragens Caldeiraria Manutencao E Montagem Industrial Ltda</v>
          </cell>
          <cell r="D1530" t="str">
            <v>Calderman Ferragens Cald M M Industrial</v>
          </cell>
          <cell r="E1530" t="str">
            <v>BR_CNPJ</v>
          </cell>
          <cell r="F1530" t="str">
            <v>22.042.094/0001-02</v>
          </cell>
        </row>
        <row r="1531">
          <cell r="A1531">
            <v>30137</v>
          </cell>
          <cell r="B1531" t="str">
            <v>CORPORATION</v>
          </cell>
          <cell r="C1531" t="str">
            <v>Irmaos Jouglard Ltda</v>
          </cell>
          <cell r="D1531" t="str">
            <v>Irmaos Jouglard Ltda</v>
          </cell>
          <cell r="E1531" t="str">
            <v>BR_CNPJ</v>
          </cell>
          <cell r="F1531" t="str">
            <v>87.378.428/0001-50</v>
          </cell>
        </row>
        <row r="1532">
          <cell r="A1532">
            <v>30141</v>
          </cell>
          <cell r="B1532" t="str">
            <v>CORPORATION</v>
          </cell>
          <cell r="C1532" t="str">
            <v>Jet Vap Industria E Comercio De Maquinas Ltda - Me</v>
          </cell>
          <cell r="D1532" t="str">
            <v>Jet Vap</v>
          </cell>
          <cell r="E1532" t="str">
            <v>BR_CNPJ</v>
          </cell>
          <cell r="F1532" t="str">
            <v>08.858.090/0001-68</v>
          </cell>
        </row>
        <row r="1533">
          <cell r="A1533">
            <v>30143</v>
          </cell>
          <cell r="B1533" t="str">
            <v>CORPORATION</v>
          </cell>
          <cell r="C1533" t="str">
            <v>Rudi Mangueiras Hidraulicas Ltda</v>
          </cell>
          <cell r="D1533" t="str">
            <v>Rudi Mangueiras Hidraulicas Ltda</v>
          </cell>
          <cell r="E1533" t="str">
            <v>BR_CNPJ</v>
          </cell>
          <cell r="F1533" t="str">
            <v>26.440.772/0001-38</v>
          </cell>
        </row>
        <row r="1534">
          <cell r="A1534">
            <v>30144</v>
          </cell>
          <cell r="B1534" t="str">
            <v>CORPORATION</v>
          </cell>
          <cell r="C1534" t="str">
            <v>Paulo De Vargas Martins - Me</v>
          </cell>
          <cell r="D1534" t="str">
            <v>Paulo De Vargas Martins - Me</v>
          </cell>
          <cell r="E1534" t="str">
            <v>BR_CNPJ</v>
          </cell>
          <cell r="F1534" t="str">
            <v>11.858.819/0001-00</v>
          </cell>
        </row>
        <row r="1535">
          <cell r="A1535">
            <v>30147</v>
          </cell>
          <cell r="B1535" t="str">
            <v>CORPORATION</v>
          </cell>
          <cell r="C1535" t="str">
            <v>Ferragens Sao Carlos Ltda</v>
          </cell>
          <cell r="D1535" t="str">
            <v>Ferragens Sao Carlos Ltda</v>
          </cell>
          <cell r="E1535" t="str">
            <v>BR_CNPJ</v>
          </cell>
          <cell r="F1535" t="str">
            <v>03.426.623/0002-08</v>
          </cell>
        </row>
        <row r="1536">
          <cell r="A1536">
            <v>30150</v>
          </cell>
          <cell r="B1536" t="str">
            <v>CORPORATION</v>
          </cell>
          <cell r="C1536" t="str">
            <v>Center Soldas Industria E Comercio Ltda</v>
          </cell>
          <cell r="D1536" t="str">
            <v>Center Soldas Industria E Comercio Ltda</v>
          </cell>
          <cell r="E1536" t="str">
            <v>BR_CNPJ</v>
          </cell>
          <cell r="F1536" t="str">
            <v>60.823.226/0002-03</v>
          </cell>
        </row>
        <row r="1537">
          <cell r="A1537">
            <v>30152</v>
          </cell>
          <cell r="B1537" t="str">
            <v>CORPORATION</v>
          </cell>
          <cell r="C1537" t="str">
            <v>Jr Comercio De Cimento E Concreto Ltda</v>
          </cell>
          <cell r="D1537" t="str">
            <v>Jr Comercio De Cimento E Concreto Ltda</v>
          </cell>
          <cell r="E1537" t="str">
            <v>BR_CNPJ</v>
          </cell>
          <cell r="F1537" t="str">
            <v>00.965.861/0001-04</v>
          </cell>
        </row>
        <row r="1538">
          <cell r="A1538">
            <v>30155</v>
          </cell>
          <cell r="B1538" t="str">
            <v>CORPORATION</v>
          </cell>
          <cell r="C1538" t="str">
            <v>Rei Do Ar Compressores Ltda - Me</v>
          </cell>
          <cell r="D1538" t="str">
            <v>Rei Do Ar Compressores</v>
          </cell>
          <cell r="E1538" t="str">
            <v>BR_CNPJ</v>
          </cell>
          <cell r="F1538" t="str">
            <v>12.188.411/0001-31</v>
          </cell>
        </row>
        <row r="1539">
          <cell r="A1539">
            <v>30156</v>
          </cell>
          <cell r="B1539" t="str">
            <v>CORPORATION</v>
          </cell>
          <cell r="C1539" t="str">
            <v>Loja Global Comercio E Distribuicao Ltda</v>
          </cell>
          <cell r="D1539" t="str">
            <v>Global Comercio E Distribuicao</v>
          </cell>
          <cell r="E1539" t="str">
            <v>BR_CNPJ</v>
          </cell>
          <cell r="F1539" t="str">
            <v>21.044.029/0001-45</v>
          </cell>
          <cell r="G1539" t="str">
            <v>GLOBAL</v>
          </cell>
        </row>
        <row r="1540">
          <cell r="A1540">
            <v>30158</v>
          </cell>
          <cell r="B1540" t="str">
            <v>CORPORATION</v>
          </cell>
          <cell r="C1540" t="str">
            <v>Casa Do Mecanico Ltda</v>
          </cell>
          <cell r="D1540" t="str">
            <v>Casa Do Mecanico</v>
          </cell>
          <cell r="E1540" t="str">
            <v>BR_CNPJ</v>
          </cell>
          <cell r="F1540" t="str">
            <v>94.038.874/0001-81</v>
          </cell>
        </row>
        <row r="1541">
          <cell r="A1541">
            <v>30161</v>
          </cell>
          <cell r="B1541" t="str">
            <v>CORPORATION</v>
          </cell>
          <cell r="C1541" t="str">
            <v>Cfq Ferramentas Ltda</v>
          </cell>
          <cell r="D1541" t="str">
            <v>Cefeq-Central De Ferramentas E Equipamentos</v>
          </cell>
          <cell r="E1541" t="str">
            <v>BR_CNPJ</v>
          </cell>
          <cell r="F1541" t="str">
            <v>00.472.957/0001-30</v>
          </cell>
        </row>
        <row r="1542">
          <cell r="A1542">
            <v>30163</v>
          </cell>
          <cell r="B1542" t="str">
            <v>CORPORATION</v>
          </cell>
          <cell r="C1542" t="str">
            <v>Universo Das Ferragens Ltda</v>
          </cell>
          <cell r="D1542" t="str">
            <v>Universo Das Ferragens</v>
          </cell>
          <cell r="E1542" t="str">
            <v>BR_CNPJ</v>
          </cell>
          <cell r="F1542" t="str">
            <v>02.723.627/0001-04</v>
          </cell>
        </row>
        <row r="1543">
          <cell r="A1543">
            <v>30164</v>
          </cell>
          <cell r="B1543" t="str">
            <v>CORPORATION</v>
          </cell>
          <cell r="C1543" t="str">
            <v>Severo &amp; Magalhaes Comercio De Maquinas E Ferramentas Ltda - Me</v>
          </cell>
          <cell r="D1543" t="str">
            <v>Semag</v>
          </cell>
          <cell r="E1543" t="str">
            <v>BR_CNPJ</v>
          </cell>
          <cell r="F1543" t="str">
            <v>08.159.142/0001-08</v>
          </cell>
        </row>
        <row r="1544">
          <cell r="A1544">
            <v>30165</v>
          </cell>
          <cell r="B1544" t="str">
            <v>CORPORATION</v>
          </cell>
          <cell r="C1544" t="str">
            <v>Eliude Thais Moreira Da Silva Dos Santos 07809745220</v>
          </cell>
          <cell r="D1544" t="str">
            <v>Super Compra</v>
          </cell>
          <cell r="E1544" t="str">
            <v>BR_CNPJ</v>
          </cell>
          <cell r="F1544" t="str">
            <v>46.359.445/0001-63</v>
          </cell>
        </row>
        <row r="1545">
          <cell r="A1545">
            <v>30166</v>
          </cell>
          <cell r="B1545" t="str">
            <v>CORPORATION</v>
          </cell>
          <cell r="C1545" t="str">
            <v>Totalmaq Comercio De Ferramentas Ltda</v>
          </cell>
          <cell r="D1545" t="str">
            <v>Romtech</v>
          </cell>
          <cell r="E1545" t="str">
            <v>BR_CNPJ</v>
          </cell>
          <cell r="F1545" t="str">
            <v>08.883.668/0001-36</v>
          </cell>
        </row>
        <row r="1546">
          <cell r="A1546">
            <v>30167</v>
          </cell>
          <cell r="B1546" t="str">
            <v>CORPORATION</v>
          </cell>
          <cell r="C1546" t="str">
            <v>Lidio Stocki</v>
          </cell>
          <cell r="D1546" t="str">
            <v>Reciclagem O Sucateiro</v>
          </cell>
          <cell r="E1546" t="str">
            <v>BR_CNPJ</v>
          </cell>
          <cell r="F1546" t="str">
            <v>04.564.629/0001-15</v>
          </cell>
          <cell r="G1546" t="str">
            <v>STOCKI</v>
          </cell>
        </row>
        <row r="1547">
          <cell r="A1547">
            <v>30169</v>
          </cell>
          <cell r="B1547" t="str">
            <v>CORPORATION</v>
          </cell>
          <cell r="C1547" t="str">
            <v>Cosae Comercio E Locacao De Ferramentas Ltda - Epp</v>
          </cell>
          <cell r="D1547" t="str">
            <v>Cosae Comercio E Locacao De Ferramentas Ltda - Epp</v>
          </cell>
          <cell r="E1547" t="str">
            <v>BR_CNPJ</v>
          </cell>
          <cell r="F1547" t="str">
            <v>58.237.801/0001-55</v>
          </cell>
        </row>
        <row r="1548">
          <cell r="A1548">
            <v>30171</v>
          </cell>
          <cell r="B1548" t="str">
            <v>CORPORATION</v>
          </cell>
          <cell r="C1548" t="str">
            <v>Ana F De L Chuartz Manutencao Industrial</v>
          </cell>
          <cell r="D1548" t="str">
            <v>A. F. L. Montagens Industriais</v>
          </cell>
          <cell r="E1548" t="str">
            <v>BR_CNPJ</v>
          </cell>
          <cell r="F1548" t="str">
            <v>17.869.847/0001-00</v>
          </cell>
        </row>
        <row r="1549">
          <cell r="A1549">
            <v>30172</v>
          </cell>
          <cell r="B1549" t="str">
            <v>CORPORATION</v>
          </cell>
          <cell r="C1549" t="str">
            <v>Comercial Agricola H P Ltda - Epp</v>
          </cell>
          <cell r="D1549" t="str">
            <v>Comercial Agricola H P Ltda - Epp</v>
          </cell>
          <cell r="E1549" t="str">
            <v>BR_CNPJ</v>
          </cell>
          <cell r="F1549" t="str">
            <v>96.375.977/0001-62</v>
          </cell>
        </row>
        <row r="1550">
          <cell r="A1550">
            <v>30174</v>
          </cell>
          <cell r="B1550" t="str">
            <v>CORPORATION</v>
          </cell>
          <cell r="C1550" t="str">
            <v>Auto Pecas Baccarelli Ltda - Epp</v>
          </cell>
          <cell r="D1550" t="str">
            <v>Auto Pecas Baccarelli Ltda - Epp</v>
          </cell>
          <cell r="E1550" t="str">
            <v>BR_CNPJ</v>
          </cell>
          <cell r="F1550" t="str">
            <v>50.066.802/0001-72</v>
          </cell>
        </row>
        <row r="1551">
          <cell r="A1551">
            <v>30177</v>
          </cell>
          <cell r="B1551" t="str">
            <v>CORPORATION</v>
          </cell>
          <cell r="C1551" t="str">
            <v>Ritec Comercial E Importadora Limitada</v>
          </cell>
          <cell r="D1551" t="str">
            <v>Ritec Comercial E Importadora Limitada</v>
          </cell>
          <cell r="E1551" t="str">
            <v>BR_CNPJ</v>
          </cell>
          <cell r="F1551" t="str">
            <v>54.374.525/0001-16</v>
          </cell>
        </row>
        <row r="1552">
          <cell r="A1552">
            <v>30178</v>
          </cell>
          <cell r="B1552" t="str">
            <v>CORPORATION</v>
          </cell>
          <cell r="C1552" t="str">
            <v>Gabriel Martins De Sousa Almeida 41877706825</v>
          </cell>
          <cell r="D1552" t="str">
            <v>Ams - Iluminacao Eficiente</v>
          </cell>
          <cell r="E1552" t="str">
            <v>BR_CNPJ</v>
          </cell>
          <cell r="F1552" t="str">
            <v>30.479.538/0001-91</v>
          </cell>
        </row>
        <row r="1553">
          <cell r="A1553">
            <v>30180</v>
          </cell>
          <cell r="B1553" t="str">
            <v>CORPORATION</v>
          </cell>
          <cell r="C1553" t="str">
            <v>D R M Maquinas E Equipamentos Ltda</v>
          </cell>
          <cell r="E1553" t="str">
            <v>BR_CNPJ</v>
          </cell>
          <cell r="F1553" t="str">
            <v>52.092.954/0001-75</v>
          </cell>
        </row>
        <row r="1554">
          <cell r="A1554">
            <v>30181</v>
          </cell>
          <cell r="B1554" t="str">
            <v>CORPORATION</v>
          </cell>
          <cell r="C1554" t="str">
            <v>Comercial Tg Ltda</v>
          </cell>
          <cell r="D1554" t="str">
            <v>Comercial Tg</v>
          </cell>
          <cell r="E1554" t="str">
            <v>BR_CNPJ</v>
          </cell>
          <cell r="F1554" t="str">
            <v>42.860.369/0001-14</v>
          </cell>
        </row>
        <row r="1555">
          <cell r="A1555">
            <v>30184</v>
          </cell>
          <cell r="B1555" t="str">
            <v>CORPORATION</v>
          </cell>
          <cell r="C1555" t="str">
            <v>Crm Rosalin Ltda</v>
          </cell>
          <cell r="D1555" t="str">
            <v>Oxiporto Gases Industriais</v>
          </cell>
          <cell r="E1555" t="str">
            <v>BR_CNPJ</v>
          </cell>
          <cell r="F1555" t="str">
            <v>06.226.603/0001-92</v>
          </cell>
        </row>
        <row r="1556">
          <cell r="A1556">
            <v>30185</v>
          </cell>
          <cell r="B1556" t="str">
            <v>CORPORATION</v>
          </cell>
          <cell r="C1556" t="str">
            <v>Marco Maquinas E Ferramentas Ltda</v>
          </cell>
          <cell r="D1556" t="str">
            <v>Marco Industrial</v>
          </cell>
          <cell r="E1556" t="str">
            <v>BR_CNPJ</v>
          </cell>
          <cell r="F1556" t="str">
            <v>31.677.542/0001-27</v>
          </cell>
        </row>
        <row r="1557">
          <cell r="A1557">
            <v>30187</v>
          </cell>
          <cell r="B1557" t="str">
            <v>CORPORATION</v>
          </cell>
          <cell r="C1557" t="str">
            <v>Air Mix Comercial Ltda - Epp</v>
          </cell>
          <cell r="D1557" t="str">
            <v>Air Mix Comercial Ltda - Epp</v>
          </cell>
          <cell r="E1557" t="str">
            <v>BR_CNPJ</v>
          </cell>
          <cell r="F1557" t="str">
            <v>03.876.651/0001-38</v>
          </cell>
        </row>
        <row r="1558">
          <cell r="A1558">
            <v>30190</v>
          </cell>
          <cell r="B1558" t="str">
            <v>CORPORATION</v>
          </cell>
          <cell r="C1558" t="str">
            <v>Wagner Aparecido Goncalves Da Cunha - Me</v>
          </cell>
          <cell r="D1558" t="str">
            <v>Wagner Ferramentas</v>
          </cell>
          <cell r="E1558" t="str">
            <v>BR_CNPJ</v>
          </cell>
          <cell r="F1558" t="str">
            <v>08.725.309/0001-50</v>
          </cell>
        </row>
        <row r="1559">
          <cell r="A1559">
            <v>30193</v>
          </cell>
          <cell r="B1559" t="str">
            <v>CORPORATION</v>
          </cell>
          <cell r="C1559" t="str">
            <v>Rj - Pompeu Comercio E Manutencao De Equipamentos Ltda - Me</v>
          </cell>
          <cell r="D1559" t="str">
            <v>Rj - Pompeu Comercio E Manutencao De Equipamentos</v>
          </cell>
          <cell r="E1559" t="str">
            <v>BR_CNPJ</v>
          </cell>
          <cell r="F1559" t="str">
            <v>13.909.853/0001-92</v>
          </cell>
        </row>
        <row r="1560">
          <cell r="A1560">
            <v>30196</v>
          </cell>
          <cell r="B1560" t="str">
            <v>CORPORATION</v>
          </cell>
          <cell r="C1560" t="str">
            <v>Jacqueline Aparecida Munis- Parafusos E Ferragens - Me</v>
          </cell>
          <cell r="D1560" t="str">
            <v>Parana Ferragens</v>
          </cell>
          <cell r="E1560" t="str">
            <v>BR_CNPJ</v>
          </cell>
          <cell r="F1560" t="str">
            <v>05.674.503/0001-66</v>
          </cell>
        </row>
        <row r="1561">
          <cell r="A1561">
            <v>30197</v>
          </cell>
          <cell r="B1561" t="str">
            <v>CORPORATION</v>
          </cell>
          <cell r="C1561" t="str">
            <v>Agriurbano Comercio De Ferramentas Ltda</v>
          </cell>
          <cell r="D1561" t="str">
            <v>Agriurbano Comercio De Ferramentas Ltda</v>
          </cell>
          <cell r="E1561" t="str">
            <v>BR_CNPJ</v>
          </cell>
          <cell r="F1561" t="str">
            <v>34.537.689/0001-00</v>
          </cell>
        </row>
        <row r="1562">
          <cell r="A1562">
            <v>30199</v>
          </cell>
          <cell r="B1562" t="str">
            <v>CORPORATION</v>
          </cell>
          <cell r="C1562" t="str">
            <v>J.K. Distribuidora De Parafusos E Borrachas Ltda - Me</v>
          </cell>
          <cell r="D1562" t="str">
            <v>J.K. Distribuidora De Parafusos E Borrachas Ltda - Me</v>
          </cell>
          <cell r="E1562" t="str">
            <v>BR_CNPJ</v>
          </cell>
          <cell r="F1562" t="str">
            <v>13.768.573/0001-01</v>
          </cell>
        </row>
        <row r="1563">
          <cell r="A1563">
            <v>30201</v>
          </cell>
          <cell r="B1563" t="str">
            <v>CORPORATION</v>
          </cell>
          <cell r="C1563" t="str">
            <v>Oxi Rio Preto Comercio De Equipamentos De Soldas Ltda</v>
          </cell>
          <cell r="D1563" t="str">
            <v>Oxi Rio Preto Comercio De Equipamentos De Soldas Ltda</v>
          </cell>
          <cell r="E1563" t="str">
            <v>BR_CNPJ</v>
          </cell>
          <cell r="F1563" t="str">
            <v>96.428.347/0001-09</v>
          </cell>
        </row>
        <row r="1564">
          <cell r="A1564">
            <v>30202</v>
          </cell>
          <cell r="B1564" t="str">
            <v>CORPORATION</v>
          </cell>
          <cell r="C1564" t="str">
            <v>J G S Ferramentas E Equipamentos Ltda - Epp</v>
          </cell>
          <cell r="D1564" t="str">
            <v>J G S Ferramentas E Equipamentos</v>
          </cell>
          <cell r="E1564" t="str">
            <v>BR_CNPJ</v>
          </cell>
          <cell r="F1564" t="str">
            <v>05.341.610/0001-72</v>
          </cell>
        </row>
        <row r="1565">
          <cell r="A1565">
            <v>30204</v>
          </cell>
          <cell r="B1565" t="str">
            <v>CORPORATION</v>
          </cell>
          <cell r="C1565" t="str">
            <v>Coamassa Ltda</v>
          </cell>
          <cell r="D1565" t="str">
            <v>Coamassa Ltda</v>
          </cell>
          <cell r="E1565" t="str">
            <v>BR_CNPJ</v>
          </cell>
          <cell r="F1565" t="str">
            <v>13.286.416/0001-60</v>
          </cell>
        </row>
        <row r="1566">
          <cell r="A1566">
            <v>30205</v>
          </cell>
          <cell r="B1566" t="str">
            <v>CORPORATION</v>
          </cell>
          <cell r="C1566" t="str">
            <v>Authorizada Comercio De Ferramentas E Maquinas Ltda - Me</v>
          </cell>
          <cell r="D1566" t="str">
            <v>Authorizada Ferramentas</v>
          </cell>
          <cell r="E1566" t="str">
            <v>BR_CNPJ</v>
          </cell>
          <cell r="F1566" t="str">
            <v>13.693.286/0001-80</v>
          </cell>
        </row>
        <row r="1567">
          <cell r="A1567">
            <v>30213</v>
          </cell>
          <cell r="B1567" t="str">
            <v>CORPORATION</v>
          </cell>
          <cell r="C1567" t="str">
            <v>K D Ferro Ortiz - Serralheria - Me</v>
          </cell>
          <cell r="D1567" t="str">
            <v>Serralheria E Vidracaria Comacol</v>
          </cell>
          <cell r="E1567" t="str">
            <v>BR_CNPJ</v>
          </cell>
          <cell r="F1567" t="str">
            <v>06.322.491/0001-73</v>
          </cell>
        </row>
        <row r="1568">
          <cell r="A1568">
            <v>30216</v>
          </cell>
          <cell r="B1568" t="str">
            <v>CORPORATION</v>
          </cell>
          <cell r="C1568" t="str">
            <v>Armazem Do Aco Ltda - Epp</v>
          </cell>
          <cell r="D1568" t="str">
            <v>Armazem Do Aco Ltda - Epp</v>
          </cell>
          <cell r="E1568" t="str">
            <v>BR_CNPJ</v>
          </cell>
          <cell r="F1568" t="str">
            <v>01.903.605/0001-55</v>
          </cell>
        </row>
        <row r="1569">
          <cell r="A1569">
            <v>30217</v>
          </cell>
          <cell r="B1569" t="str">
            <v>CORPORATION</v>
          </cell>
          <cell r="C1569" t="str">
            <v>M L Parafusos E Ferramentas - Eireli</v>
          </cell>
          <cell r="D1569" t="str">
            <v>M L Ferreira Multi Utilidades</v>
          </cell>
          <cell r="E1569" t="str">
            <v>BR_CNPJ</v>
          </cell>
          <cell r="F1569" t="str">
            <v>30.713.389/0001-83</v>
          </cell>
        </row>
        <row r="1570">
          <cell r="A1570">
            <v>30222</v>
          </cell>
          <cell r="B1570" t="str">
            <v>CORPORATION</v>
          </cell>
          <cell r="C1570" t="str">
            <v>Ferragens Brasil Ltda - Epp</v>
          </cell>
          <cell r="D1570" t="str">
            <v>Ferragens Brasil</v>
          </cell>
          <cell r="E1570" t="str">
            <v>BR_CNPJ</v>
          </cell>
          <cell r="F1570" t="str">
            <v>33.158.494/0001-96</v>
          </cell>
        </row>
        <row r="1571">
          <cell r="A1571">
            <v>30227</v>
          </cell>
          <cell r="B1571" t="str">
            <v>CORPORATION</v>
          </cell>
          <cell r="C1571" t="str">
            <v>Humberto Mancilha Dias &amp; Cia Ltda</v>
          </cell>
          <cell r="D1571" t="str">
            <v>Itakar</v>
          </cell>
          <cell r="E1571" t="str">
            <v>BR_CNPJ</v>
          </cell>
          <cell r="F1571" t="str">
            <v>21.469.937/0001-80</v>
          </cell>
        </row>
        <row r="1572">
          <cell r="A1572">
            <v>30230</v>
          </cell>
          <cell r="B1572" t="str">
            <v>CORPORATION</v>
          </cell>
          <cell r="C1572" t="str">
            <v>Madaros Materiais Para Construcao Ltda - Me</v>
          </cell>
          <cell r="D1572" t="str">
            <v>Claudio Amador</v>
          </cell>
          <cell r="E1572" t="str">
            <v>BR_CNPJ</v>
          </cell>
          <cell r="F1572" t="str">
            <v>03.237.111/0001-04</v>
          </cell>
        </row>
        <row r="1573">
          <cell r="A1573">
            <v>30233</v>
          </cell>
          <cell r="B1573" t="str">
            <v>CORPORATION</v>
          </cell>
          <cell r="C1573" t="str">
            <v>Fershop A A A Comercial Ltda - Me</v>
          </cell>
          <cell r="D1573" t="str">
            <v>Fershop</v>
          </cell>
          <cell r="E1573" t="str">
            <v>BR_CNPJ</v>
          </cell>
          <cell r="F1573" t="str">
            <v>01.442.512/0001-70</v>
          </cell>
        </row>
        <row r="1574">
          <cell r="A1574">
            <v>30235</v>
          </cell>
          <cell r="B1574" t="str">
            <v>CORPORATION</v>
          </cell>
          <cell r="C1574" t="str">
            <v>J B Albuquerque Metalurgica</v>
          </cell>
          <cell r="D1574" t="str">
            <v>J B Albuquerque Metalurgica</v>
          </cell>
          <cell r="E1574" t="str">
            <v>BR_CNPJ</v>
          </cell>
          <cell r="F1574" t="str">
            <v>00.196.427/0002-98</v>
          </cell>
        </row>
        <row r="1575">
          <cell r="A1575">
            <v>30236</v>
          </cell>
          <cell r="B1575" t="str">
            <v>CORPORATION</v>
          </cell>
          <cell r="C1575" t="str">
            <v>Comercial J. Milan Comercio De Ferros E Ferragens Ltda</v>
          </cell>
          <cell r="D1575" t="str">
            <v>Comercial J. Milan</v>
          </cell>
          <cell r="E1575" t="str">
            <v>BR_CNPJ</v>
          </cell>
          <cell r="F1575" t="str">
            <v>11.816.488/0001-46</v>
          </cell>
        </row>
        <row r="1576">
          <cell r="A1576">
            <v>30238</v>
          </cell>
          <cell r="B1576" t="str">
            <v>CORPORATION</v>
          </cell>
          <cell r="C1576" t="str">
            <v>F Osvando Muniz</v>
          </cell>
          <cell r="D1576" t="str">
            <v>O Parafusao</v>
          </cell>
          <cell r="E1576" t="str">
            <v>BR_CNPJ</v>
          </cell>
          <cell r="F1576" t="str">
            <v>10.391.670/0001-30</v>
          </cell>
        </row>
        <row r="1577">
          <cell r="A1577">
            <v>30242</v>
          </cell>
          <cell r="B1577" t="str">
            <v>CORPORATION</v>
          </cell>
          <cell r="C1577" t="str">
            <v>M. Stringhini - Me</v>
          </cell>
          <cell r="D1577" t="str">
            <v>Franmaq Comercio E Manutencao De Compressores</v>
          </cell>
          <cell r="E1577" t="str">
            <v>BR_CNPJ</v>
          </cell>
          <cell r="F1577" t="str">
            <v>10.386.646/0001-02</v>
          </cell>
        </row>
        <row r="1578">
          <cell r="A1578">
            <v>30243</v>
          </cell>
          <cell r="B1578" t="str">
            <v>CORPORATION</v>
          </cell>
          <cell r="C1578" t="str">
            <v>Jose Ildefonso Da Silva</v>
          </cell>
          <cell r="D1578" t="str">
            <v>De Costa Materiais De Construcao</v>
          </cell>
          <cell r="E1578" t="str">
            <v>BR_CNPJ</v>
          </cell>
          <cell r="F1578" t="str">
            <v>08.396.993/0001-74</v>
          </cell>
        </row>
        <row r="1579">
          <cell r="A1579">
            <v>30244</v>
          </cell>
          <cell r="B1579" t="str">
            <v>CORPORATION</v>
          </cell>
          <cell r="C1579" t="str">
            <v>Thiago Santana Silva</v>
          </cell>
          <cell r="D1579" t="str">
            <v>Tem De Tudo</v>
          </cell>
          <cell r="E1579" t="str">
            <v>BR_CNPJ</v>
          </cell>
          <cell r="F1579" t="str">
            <v>50.250.420/0001-02</v>
          </cell>
        </row>
        <row r="1580">
          <cell r="A1580">
            <v>30245</v>
          </cell>
          <cell r="B1580" t="str">
            <v>CORPORATION</v>
          </cell>
          <cell r="C1580" t="str">
            <v>Colin Ferragens E Ferramentas Ltda - Epp</v>
          </cell>
          <cell r="D1580" t="str">
            <v>Colin'S</v>
          </cell>
          <cell r="E1580" t="str">
            <v>BR_CNPJ</v>
          </cell>
          <cell r="F1580" t="str">
            <v>61.823.068/0001-65</v>
          </cell>
          <cell r="G1580" t="str">
            <v>COLIN'S</v>
          </cell>
        </row>
        <row r="1581">
          <cell r="A1581">
            <v>30246</v>
          </cell>
          <cell r="B1581" t="str">
            <v>CORPORATION</v>
          </cell>
          <cell r="C1581" t="str">
            <v>Brito Parafusos Eireli</v>
          </cell>
          <cell r="D1581" t="str">
            <v>Brito Parafusos</v>
          </cell>
          <cell r="E1581" t="str">
            <v>BR_CNPJ</v>
          </cell>
          <cell r="F1581" t="str">
            <v>37.999.451/0001-94</v>
          </cell>
        </row>
        <row r="1582">
          <cell r="A1582">
            <v>30248</v>
          </cell>
          <cell r="B1582" t="str">
            <v>CORPORATION</v>
          </cell>
          <cell r="C1582" t="str">
            <v>Casa De Ferragens Sao Sebastiao Ltda - Me</v>
          </cell>
          <cell r="D1582" t="str">
            <v>Comercial Sao Sebastiao</v>
          </cell>
          <cell r="E1582" t="str">
            <v>BR_CNPJ</v>
          </cell>
          <cell r="F1582" t="str">
            <v>00.160.162/0001-97</v>
          </cell>
        </row>
        <row r="1583">
          <cell r="A1583">
            <v>30250</v>
          </cell>
          <cell r="B1583" t="str">
            <v>CORPORATION</v>
          </cell>
          <cell r="C1583" t="str">
            <v>Loja Do Condominio Ltda</v>
          </cell>
          <cell r="D1583" t="str">
            <v>Loja Do Condominio</v>
          </cell>
          <cell r="E1583" t="str">
            <v>BR_CNPJ</v>
          </cell>
          <cell r="F1583" t="str">
            <v>05.061.290/0001-05</v>
          </cell>
        </row>
        <row r="1584">
          <cell r="A1584">
            <v>30252</v>
          </cell>
          <cell r="B1584" t="str">
            <v>CORPORATION</v>
          </cell>
          <cell r="C1584" t="str">
            <v>Bcd Casa &amp; Construcao Ltda</v>
          </cell>
          <cell r="D1584" t="str">
            <v>Bcd Casa E Construcao</v>
          </cell>
          <cell r="E1584" t="str">
            <v>BR_CNPJ</v>
          </cell>
          <cell r="F1584" t="str">
            <v>05.836.676/0001-33</v>
          </cell>
        </row>
        <row r="1585">
          <cell r="A1585">
            <v>30255</v>
          </cell>
          <cell r="B1585" t="str">
            <v>CORPORATION</v>
          </cell>
          <cell r="C1585" t="str">
            <v>Pablya Pedroso Nascimento - Me</v>
          </cell>
          <cell r="D1585" t="str">
            <v>Fera Ferramentas Especiais Automotivas</v>
          </cell>
          <cell r="E1585" t="str">
            <v>BR_CNPJ</v>
          </cell>
          <cell r="F1585" t="str">
            <v>08.415.683/0001-50</v>
          </cell>
        </row>
        <row r="1586">
          <cell r="A1586">
            <v>30258</v>
          </cell>
          <cell r="B1586" t="str">
            <v>CORPORATION</v>
          </cell>
          <cell r="C1586" t="str">
            <v>Gardinal &amp; Cia. Ltda. - Epp</v>
          </cell>
          <cell r="D1586" t="str">
            <v>Gardinal &amp; Cia. Ltda. - Epp</v>
          </cell>
          <cell r="E1586" t="str">
            <v>BR_CNPJ</v>
          </cell>
          <cell r="F1586" t="str">
            <v>75.961.565/0001-34</v>
          </cell>
        </row>
        <row r="1587">
          <cell r="A1587">
            <v>30261</v>
          </cell>
          <cell r="B1587" t="str">
            <v>CORPORATION</v>
          </cell>
          <cell r="C1587" t="str">
            <v>Dominium Materiais Hidraulicos E Ferragens Ltda - Epp</v>
          </cell>
          <cell r="D1587" t="str">
            <v>Dominium</v>
          </cell>
          <cell r="E1587" t="str">
            <v>BR_CNPJ</v>
          </cell>
          <cell r="F1587" t="str">
            <v>03.838.744/0001-78</v>
          </cell>
        </row>
        <row r="1588">
          <cell r="A1588">
            <v>30275</v>
          </cell>
          <cell r="B1588" t="str">
            <v>CORPORATION</v>
          </cell>
          <cell r="C1588" t="str">
            <v>A Bitencourt Comercio De Ferragens Ltda</v>
          </cell>
          <cell r="D1588" t="str">
            <v>Casa Dos Parafusos</v>
          </cell>
          <cell r="E1588" t="str">
            <v>BR_CNPJ</v>
          </cell>
          <cell r="F1588" t="str">
            <v>75.104.406/0005-47</v>
          </cell>
          <cell r="G1588" t="str">
            <v>BITENCOURT</v>
          </cell>
        </row>
        <row r="1589">
          <cell r="A1589">
            <v>30276</v>
          </cell>
          <cell r="B1589" t="str">
            <v>CORPORATION</v>
          </cell>
          <cell r="C1589" t="str">
            <v>Soldasul Industria Comercio E Importacao Ltda</v>
          </cell>
          <cell r="D1589" t="str">
            <v>Soldasul Industria Comercio E Importacao Ltda</v>
          </cell>
          <cell r="E1589" t="str">
            <v>BR_CNPJ</v>
          </cell>
          <cell r="F1589" t="str">
            <v>87.020.756/0001-80</v>
          </cell>
        </row>
        <row r="1590">
          <cell r="A1590">
            <v>30279</v>
          </cell>
          <cell r="B1590" t="str">
            <v>CORPORATION</v>
          </cell>
          <cell r="C1590" t="str">
            <v>Alpha Instrumentos De Medicao Ltda - Me</v>
          </cell>
          <cell r="D1590" t="str">
            <v>Alpha</v>
          </cell>
          <cell r="E1590" t="str">
            <v>BR_CNPJ</v>
          </cell>
          <cell r="F1590" t="str">
            <v>09.546.903/0001-47</v>
          </cell>
        </row>
        <row r="1591">
          <cell r="A1591">
            <v>30286</v>
          </cell>
          <cell r="B1591" t="str">
            <v>CORPORATION</v>
          </cell>
          <cell r="C1591" t="str">
            <v>Supersoldas Protecao E Abrasivos Ltda - Me</v>
          </cell>
          <cell r="D1591" t="str">
            <v>Supersoldas</v>
          </cell>
          <cell r="E1591" t="str">
            <v>BR_CNPJ</v>
          </cell>
          <cell r="F1591" t="str">
            <v>87.004.248/0001-09</v>
          </cell>
        </row>
        <row r="1592">
          <cell r="A1592">
            <v>30289</v>
          </cell>
          <cell r="B1592" t="str">
            <v>CORPORATION</v>
          </cell>
          <cell r="C1592" t="str">
            <v>Aleana Comercial Ltda</v>
          </cell>
          <cell r="D1592" t="str">
            <v>Aleana</v>
          </cell>
          <cell r="E1592" t="str">
            <v>BR_CNPJ</v>
          </cell>
          <cell r="F1592" t="str">
            <v>55.668.214/0001-22</v>
          </cell>
        </row>
        <row r="1593">
          <cell r="A1593">
            <v>30292</v>
          </cell>
          <cell r="B1593" t="str">
            <v>CORPORATION</v>
          </cell>
          <cell r="C1593" t="str">
            <v>G-Tools Importacao &amp; Comercio De Ferramenstas,Produtos Eletro-Eletronicos &amp; Brinquedos Ltda - Me</v>
          </cell>
          <cell r="D1593" t="str">
            <v>G-Tools Ferramentas</v>
          </cell>
          <cell r="E1593" t="str">
            <v>BR_CNPJ</v>
          </cell>
          <cell r="F1593" t="str">
            <v>08.853.027/0001-39</v>
          </cell>
        </row>
        <row r="1594">
          <cell r="A1594">
            <v>30299</v>
          </cell>
          <cell r="B1594" t="str">
            <v>CORPORATION</v>
          </cell>
          <cell r="C1594" t="str">
            <v>Rt Casa Das Ferragens E Ferramentas Ltda</v>
          </cell>
          <cell r="D1594" t="str">
            <v>Rt Casa Das Ferragens</v>
          </cell>
          <cell r="E1594" t="str">
            <v>BR_CNPJ</v>
          </cell>
          <cell r="F1594" t="str">
            <v>10.522.857/0001-25</v>
          </cell>
          <cell r="G1594" t="str">
            <v>RT CASA DAS FERRAGENS</v>
          </cell>
        </row>
        <row r="1595">
          <cell r="A1595">
            <v>30301</v>
          </cell>
          <cell r="B1595" t="str">
            <v>CORPORATION</v>
          </cell>
          <cell r="C1595" t="str">
            <v>Sinal Norte Comercio Atacadista De Ferragens E Parafusos Ltda</v>
          </cell>
          <cell r="D1595" t="str">
            <v>Guajara Ferragens E Parafusos</v>
          </cell>
          <cell r="E1595" t="str">
            <v>BR_CNPJ</v>
          </cell>
          <cell r="F1595" t="str">
            <v>13.980.662/0003-89</v>
          </cell>
        </row>
        <row r="1596">
          <cell r="A1596">
            <v>30302</v>
          </cell>
          <cell r="B1596" t="str">
            <v>CORPORATION</v>
          </cell>
          <cell r="C1596" t="str">
            <v>Valdemir C.S.J. Comercio De Ferragens E Ferramentas Eireli</v>
          </cell>
          <cell r="D1596" t="str">
            <v>Vva Ferramentas</v>
          </cell>
          <cell r="E1596" t="str">
            <v>BR_CNPJ</v>
          </cell>
          <cell r="F1596" t="str">
            <v>42.011.462/0001-54</v>
          </cell>
        </row>
        <row r="1597">
          <cell r="A1597">
            <v>30305</v>
          </cell>
          <cell r="B1597" t="str">
            <v>CORPORATION</v>
          </cell>
          <cell r="C1597" t="str">
            <v>Comercial Ararense Ltda.</v>
          </cell>
          <cell r="D1597" t="str">
            <v>Comercial Ararense Ltda.</v>
          </cell>
          <cell r="E1597" t="str">
            <v>BR_CNPJ</v>
          </cell>
          <cell r="F1597" t="str">
            <v>44.699.205/0001-82</v>
          </cell>
        </row>
        <row r="1598">
          <cell r="A1598">
            <v>30317</v>
          </cell>
          <cell r="B1598" t="str">
            <v>CORPORATION</v>
          </cell>
          <cell r="C1598" t="str">
            <v>Brasfer Comercio De Ferragens E Ferramentas Ltda - Epp</v>
          </cell>
          <cell r="D1598" t="str">
            <v>Brasfer</v>
          </cell>
          <cell r="E1598" t="str">
            <v>BR_CNPJ</v>
          </cell>
          <cell r="F1598" t="str">
            <v>09.010.835/0001-05</v>
          </cell>
          <cell r="G1598" t="str">
            <v>BRASFER</v>
          </cell>
        </row>
        <row r="1599">
          <cell r="A1599">
            <v>30320</v>
          </cell>
          <cell r="B1599" t="str">
            <v>CORPORATION</v>
          </cell>
          <cell r="C1599" t="str">
            <v>America Acessorios</v>
          </cell>
          <cell r="D1599" t="str">
            <v>America Acessorios</v>
          </cell>
        </row>
        <row r="1600">
          <cell r="A1600">
            <v>30328</v>
          </cell>
          <cell r="B1600" t="str">
            <v>CORPORATION</v>
          </cell>
          <cell r="C1600" t="str">
            <v>Comercio De Produtos Siderurgicos Forja Ltda - Me</v>
          </cell>
          <cell r="D1600" t="str">
            <v>Comercio De Produtos Siderurgicos Forja</v>
          </cell>
          <cell r="E1600" t="str">
            <v>BR_CNPJ</v>
          </cell>
          <cell r="F1600" t="str">
            <v>00.683.114/0001-83</v>
          </cell>
        </row>
        <row r="1601">
          <cell r="A1601">
            <v>30331</v>
          </cell>
          <cell r="B1601" t="str">
            <v>CORPORATION</v>
          </cell>
          <cell r="C1601" t="str">
            <v>K Miyasato Com De Mat P/ Construcao Ltda - Epp</v>
          </cell>
          <cell r="D1601" t="str">
            <v>K Miyasato Com De Mat P/ Construcao</v>
          </cell>
          <cell r="E1601" t="str">
            <v>BR_CNPJ</v>
          </cell>
          <cell r="F1601" t="str">
            <v>71.660.666/0001-14</v>
          </cell>
        </row>
        <row r="1602">
          <cell r="A1602">
            <v>30337</v>
          </cell>
          <cell r="B1602" t="str">
            <v>CORPORATION</v>
          </cell>
          <cell r="C1602" t="str">
            <v>Copafer Comercial Ltda</v>
          </cell>
          <cell r="D1602" t="str">
            <v>Copafer Comercial Ltda</v>
          </cell>
          <cell r="E1602" t="str">
            <v>BR_CNPJ</v>
          </cell>
          <cell r="F1602" t="str">
            <v>55.728.224/0001-06</v>
          </cell>
          <cell r="G1602" t="str">
            <v>COPAFER</v>
          </cell>
        </row>
        <row r="1603">
          <cell r="A1603">
            <v>30345</v>
          </cell>
          <cell r="B1603" t="str">
            <v>CORPORATION</v>
          </cell>
          <cell r="C1603" t="str">
            <v>Aco-Maquinas Madeiras E Ferramentas Ltda - Me</v>
          </cell>
          <cell r="D1603" t="str">
            <v>Aco-Maquinas</v>
          </cell>
          <cell r="E1603" t="str">
            <v>BR_CNPJ</v>
          </cell>
          <cell r="F1603" t="str">
            <v>58.219.890/0001-07</v>
          </cell>
        </row>
        <row r="1604">
          <cell r="A1604">
            <v>30346</v>
          </cell>
          <cell r="B1604" t="str">
            <v>CORPORATION</v>
          </cell>
          <cell r="C1604" t="str">
            <v>Ripisoldas Comercio De Soldas E Ferramentas Ltda</v>
          </cell>
          <cell r="D1604" t="str">
            <v>Solda Certa</v>
          </cell>
          <cell r="E1604" t="str">
            <v>BR_CNPJ</v>
          </cell>
          <cell r="F1604" t="str">
            <v>00.636.676/0002-57</v>
          </cell>
          <cell r="G1604" t="str">
            <v>RIPISOLDAS</v>
          </cell>
        </row>
        <row r="1605">
          <cell r="A1605">
            <v>30347</v>
          </cell>
          <cell r="B1605" t="str">
            <v>CORPORATION</v>
          </cell>
          <cell r="C1605" t="str">
            <v>Shigeko Kuniyoshi - Epp</v>
          </cell>
          <cell r="D1605" t="str">
            <v>Seven Star Ferragens</v>
          </cell>
          <cell r="E1605" t="str">
            <v>BR_CNPJ</v>
          </cell>
          <cell r="F1605" t="str">
            <v>96.439.815/0001-40</v>
          </cell>
        </row>
        <row r="1606">
          <cell r="A1606">
            <v>30349</v>
          </cell>
          <cell r="B1606" t="str">
            <v>CORPORATION</v>
          </cell>
          <cell r="C1606" t="str">
            <v>Takara &amp; Filho Ltda - Me</v>
          </cell>
          <cell r="D1606" t="str">
            <v>Takara &amp; Filho</v>
          </cell>
          <cell r="E1606" t="str">
            <v>BR_CNPJ</v>
          </cell>
          <cell r="F1606" t="str">
            <v>53.544.029/0001-09</v>
          </cell>
        </row>
        <row r="1607">
          <cell r="A1607">
            <v>30352</v>
          </cell>
          <cell r="B1607" t="str">
            <v>CORPORATION</v>
          </cell>
          <cell r="C1607" t="str">
            <v>Varejao De Ferragens Penha De Franca Ltda - Epp</v>
          </cell>
          <cell r="D1607" t="str">
            <v>Varejao De Ferragens Penha De Franca</v>
          </cell>
          <cell r="E1607" t="str">
            <v>BR_CNPJ</v>
          </cell>
          <cell r="F1607" t="str">
            <v>00.022.005/0001-15</v>
          </cell>
        </row>
        <row r="1608">
          <cell r="A1608">
            <v>30354</v>
          </cell>
          <cell r="B1608" t="str">
            <v>CORPORATION</v>
          </cell>
          <cell r="C1608" t="str">
            <v>Dfix Comercio De Produtos Industriais Ltda</v>
          </cell>
          <cell r="D1608" t="str">
            <v>Dfix Comercio (Dtk)</v>
          </cell>
          <cell r="E1608" t="str">
            <v>BR_CNPJ</v>
          </cell>
          <cell r="F1608" t="str">
            <v>33.007.870/0001-41</v>
          </cell>
          <cell r="G1608" t="str">
            <v>DTK</v>
          </cell>
        </row>
        <row r="1609">
          <cell r="A1609">
            <v>30355</v>
          </cell>
          <cell r="B1609" t="str">
            <v>CORPORATION</v>
          </cell>
          <cell r="C1609" t="str">
            <v>S Komesu Materiais Eletricos Ltda - Me</v>
          </cell>
          <cell r="D1609" t="str">
            <v>S Komesu</v>
          </cell>
          <cell r="E1609" t="str">
            <v>BR_CNPJ</v>
          </cell>
          <cell r="F1609" t="str">
            <v>66.675.406/0001-82</v>
          </cell>
        </row>
        <row r="1610">
          <cell r="A1610">
            <v>30357</v>
          </cell>
          <cell r="B1610" t="str">
            <v>CORPORATION</v>
          </cell>
          <cell r="C1610" t="str">
            <v>Imperio Comercio De Materiais De Construcao Ltda</v>
          </cell>
          <cell r="D1610" t="str">
            <v>Imperio Da Construcao</v>
          </cell>
          <cell r="E1610" t="str">
            <v>BR_CNPJ</v>
          </cell>
          <cell r="F1610" t="str">
            <v>45.907.548/0001-58</v>
          </cell>
        </row>
        <row r="1611">
          <cell r="A1611">
            <v>30358</v>
          </cell>
          <cell r="B1611" t="str">
            <v>CORPORATION</v>
          </cell>
          <cell r="C1611" t="str">
            <v>Tomori Comercio De Ferragens Ltda</v>
          </cell>
          <cell r="D1611" t="str">
            <v>Tomori</v>
          </cell>
          <cell r="E1611" t="str">
            <v>BR_CNPJ</v>
          </cell>
          <cell r="F1611" t="str">
            <v>68.109.065/0001-03</v>
          </cell>
        </row>
        <row r="1612">
          <cell r="A1612">
            <v>30361</v>
          </cell>
          <cell r="B1612" t="str">
            <v>CORPORATION</v>
          </cell>
          <cell r="C1612" t="str">
            <v>Atifix Comercio De Parafusos E Pecas Ltda</v>
          </cell>
          <cell r="D1612" t="str">
            <v>Atifix</v>
          </cell>
          <cell r="E1612" t="str">
            <v>BR_CNPJ</v>
          </cell>
          <cell r="F1612" t="str">
            <v>13.663.839/0001-51</v>
          </cell>
        </row>
        <row r="1613">
          <cell r="A1613">
            <v>30364</v>
          </cell>
          <cell r="B1613" t="str">
            <v>CORPORATION</v>
          </cell>
          <cell r="C1613" t="str">
            <v>Quaresma E Altoe Ltda</v>
          </cell>
          <cell r="D1613" t="str">
            <v>Uniraima Comercio De Epis E Epcs</v>
          </cell>
          <cell r="E1613" t="str">
            <v>BR_CNPJ</v>
          </cell>
          <cell r="F1613" t="str">
            <v>01.565.961/0001-06</v>
          </cell>
        </row>
        <row r="1614">
          <cell r="A1614">
            <v>30366</v>
          </cell>
          <cell r="B1614" t="str">
            <v>CORPORATION</v>
          </cell>
          <cell r="C1614" t="str">
            <v>Fermacil Ferragista Mancini Ltda</v>
          </cell>
          <cell r="D1614" t="str">
            <v>Fermacil Ferragista Mancini Ltda - Epp</v>
          </cell>
          <cell r="E1614" t="str">
            <v>BR_CNPJ</v>
          </cell>
          <cell r="F1614" t="str">
            <v>19.179.340/0001-50</v>
          </cell>
        </row>
        <row r="1615">
          <cell r="A1615">
            <v>30371</v>
          </cell>
          <cell r="B1615" t="str">
            <v>CORPORATION</v>
          </cell>
          <cell r="C1615" t="str">
            <v>Fernanda Aparecida Viana Soares - Me</v>
          </cell>
          <cell r="D1615" t="str">
            <v>Eletrica Soares</v>
          </cell>
          <cell r="E1615" t="str">
            <v>BR_CNPJ</v>
          </cell>
          <cell r="F1615" t="str">
            <v>08.449.356/0001-19</v>
          </cell>
        </row>
        <row r="1616">
          <cell r="A1616">
            <v>30372</v>
          </cell>
          <cell r="B1616" t="str">
            <v>CORPORATION</v>
          </cell>
          <cell r="C1616" t="str">
            <v>Francisco Adalberto Ferreira Gomes</v>
          </cell>
          <cell r="D1616" t="str">
            <v>Fg Parafusos</v>
          </cell>
          <cell r="E1616" t="str">
            <v>BR_CNPJ</v>
          </cell>
          <cell r="F1616" t="str">
            <v>12.653.829/0001-72</v>
          </cell>
        </row>
        <row r="1617">
          <cell r="A1617">
            <v>30374</v>
          </cell>
          <cell r="B1617" t="str">
            <v>CORPORATION</v>
          </cell>
          <cell r="C1617" t="str">
            <v>Herzog &amp; Herzog Ltda - Me</v>
          </cell>
          <cell r="D1617" t="str">
            <v>Herzog &amp; Herzog Ltda - Me</v>
          </cell>
          <cell r="E1617" t="str">
            <v>BR_CNPJ</v>
          </cell>
          <cell r="F1617" t="str">
            <v>15.076.846/0001-82</v>
          </cell>
        </row>
        <row r="1618">
          <cell r="A1618">
            <v>30377</v>
          </cell>
          <cell r="B1618" t="str">
            <v>CORPORATION</v>
          </cell>
          <cell r="C1618" t="str">
            <v>Comercio De Produtos Agropecuarios Suellen Ltda - Epp</v>
          </cell>
          <cell r="D1618" t="str">
            <v>Casa Da Lavoura</v>
          </cell>
          <cell r="E1618" t="str">
            <v>BR_CNPJ</v>
          </cell>
          <cell r="F1618" t="str">
            <v>04.795.824/0001-56</v>
          </cell>
        </row>
        <row r="1619">
          <cell r="A1619">
            <v>30379</v>
          </cell>
          <cell r="B1619" t="str">
            <v>CORPORATION</v>
          </cell>
          <cell r="C1619" t="str">
            <v>Helena Josefa Da Silva Eireli</v>
          </cell>
          <cell r="D1619" t="str">
            <v>Je Eletrodos E Maquinas</v>
          </cell>
          <cell r="E1619" t="str">
            <v>BR_CNPJ</v>
          </cell>
          <cell r="F1619" t="str">
            <v>34.612.022/0001-24</v>
          </cell>
          <cell r="G1619" t="str">
            <v>JE ELETRODOS</v>
          </cell>
        </row>
        <row r="1620">
          <cell r="A1620">
            <v>30383</v>
          </cell>
          <cell r="B1620" t="str">
            <v>CORPORATION</v>
          </cell>
          <cell r="C1620" t="str">
            <v>Marcelo Daniel Rebello Servico De Logistica E Comercio</v>
          </cell>
          <cell r="D1620" t="str">
            <v>Dm Servicos De Logistica E Comercio</v>
          </cell>
          <cell r="E1620" t="str">
            <v>BR_CNPJ</v>
          </cell>
          <cell r="F1620" t="str">
            <v>12.208.253/0001-34</v>
          </cell>
        </row>
        <row r="1621">
          <cell r="A1621">
            <v>30384</v>
          </cell>
          <cell r="B1621" t="str">
            <v>CORPORATION</v>
          </cell>
          <cell r="C1621" t="str">
            <v>Baptistella Ferragens Ltda - Me</v>
          </cell>
          <cell r="D1621" t="str">
            <v>Baptistella Ferragens</v>
          </cell>
          <cell r="E1621" t="str">
            <v>BR_CNPJ</v>
          </cell>
          <cell r="F1621" t="str">
            <v>96.655.881/0001-58</v>
          </cell>
        </row>
        <row r="1622">
          <cell r="A1622">
            <v>30386</v>
          </cell>
          <cell r="B1622" t="str">
            <v>CORPORATION</v>
          </cell>
          <cell r="C1622" t="str">
            <v>Magda Miranda Dias De Souza</v>
          </cell>
          <cell r="D1622" t="str">
            <v>Magtec</v>
          </cell>
          <cell r="E1622" t="str">
            <v>BR_CNPJ</v>
          </cell>
          <cell r="F1622" t="str">
            <v>26.704.824/0001-36</v>
          </cell>
        </row>
        <row r="1623">
          <cell r="A1623">
            <v>30389</v>
          </cell>
          <cell r="B1623" t="str">
            <v>CORPORATION</v>
          </cell>
          <cell r="C1623" t="str">
            <v>Nailson De Jesus Moraes 84175079149</v>
          </cell>
          <cell r="D1623" t="str">
            <v>Moraes Maquinas E Ferramentas</v>
          </cell>
          <cell r="E1623" t="str">
            <v>BR_CNPJ</v>
          </cell>
          <cell r="F1623" t="str">
            <v>36.894.310/0001-44</v>
          </cell>
        </row>
        <row r="1624">
          <cell r="A1624">
            <v>30390</v>
          </cell>
          <cell r="B1624" t="str">
            <v>CORPORATION</v>
          </cell>
          <cell r="C1624" t="str">
            <v>Danna Ferramentas Ltda - Me</v>
          </cell>
          <cell r="D1624" t="str">
            <v>Danna Ferramentas Ltda</v>
          </cell>
          <cell r="E1624" t="str">
            <v>BR_CNPJ</v>
          </cell>
          <cell r="F1624" t="str">
            <v>05.845.699/0001-04</v>
          </cell>
        </row>
        <row r="1625">
          <cell r="A1625">
            <v>30392</v>
          </cell>
          <cell r="B1625" t="str">
            <v>CORPORATION</v>
          </cell>
          <cell r="C1625" t="str">
            <v>Sn Ferragens Ltda</v>
          </cell>
          <cell r="D1625" t="str">
            <v>Sn - Ferragens, Ferramentas E Parafusos</v>
          </cell>
          <cell r="E1625" t="str">
            <v>BR_CNPJ</v>
          </cell>
          <cell r="F1625" t="str">
            <v>20.732.658/0001-03</v>
          </cell>
        </row>
        <row r="1626">
          <cell r="A1626">
            <v>30395</v>
          </cell>
          <cell r="B1626" t="str">
            <v>CORPORATION</v>
          </cell>
          <cell r="C1626" t="str">
            <v>Ademilton Do Nascimento 81729804187</v>
          </cell>
          <cell r="D1626" t="str">
            <v>Ferragista Bom Preco</v>
          </cell>
          <cell r="E1626" t="str">
            <v>BR_CNPJ</v>
          </cell>
          <cell r="F1626" t="str">
            <v>23.073.028/0001-54</v>
          </cell>
          <cell r="G1626" t="str">
            <v>FERRAGISTA BOM PREÇO</v>
          </cell>
        </row>
        <row r="1627">
          <cell r="A1627">
            <v>30396</v>
          </cell>
          <cell r="B1627" t="str">
            <v>CORPORATION</v>
          </cell>
          <cell r="C1627" t="str">
            <v>Astra Maquinas E Equipamentos Ltda - Me</v>
          </cell>
          <cell r="D1627" t="str">
            <v>Astra Maquinas</v>
          </cell>
          <cell r="E1627" t="str">
            <v>BR_CNPJ</v>
          </cell>
          <cell r="F1627" t="str">
            <v>03.880.915/0001-27</v>
          </cell>
        </row>
        <row r="1628">
          <cell r="A1628">
            <v>30401</v>
          </cell>
          <cell r="B1628" t="str">
            <v>CORPORATION</v>
          </cell>
          <cell r="C1628" t="str">
            <v>Jurandir Ricardo Viegas Pinheiro 60457812362</v>
          </cell>
          <cell r="D1628" t="str">
            <v>Madeciclo Ii</v>
          </cell>
          <cell r="E1628" t="str">
            <v>BR_CNPJ</v>
          </cell>
          <cell r="F1628" t="str">
            <v>21.936.765/0001-08</v>
          </cell>
        </row>
        <row r="1629">
          <cell r="A1629">
            <v>30404</v>
          </cell>
          <cell r="B1629" t="str">
            <v>CORPORATION</v>
          </cell>
          <cell r="C1629" t="str">
            <v>Jessica Sunta Silva Comercio Ltda</v>
          </cell>
          <cell r="D1629" t="str">
            <v>Jessica Sunta Silva Comercio Ltda</v>
          </cell>
          <cell r="E1629" t="str">
            <v>BR_CNPJ</v>
          </cell>
          <cell r="F1629" t="str">
            <v>42.512.691/0001-52</v>
          </cell>
        </row>
        <row r="1630">
          <cell r="A1630">
            <v>30406</v>
          </cell>
          <cell r="B1630" t="str">
            <v>CORPORATION</v>
          </cell>
          <cell r="C1630" t="str">
            <v>Marcelo Do Couto Ferreira Informatica E Livros Me</v>
          </cell>
          <cell r="D1630" t="str">
            <v>Iconha Maquinas</v>
          </cell>
          <cell r="E1630" t="str">
            <v>BR_CNPJ</v>
          </cell>
          <cell r="F1630" t="str">
            <v>05.730.137/0001-15</v>
          </cell>
        </row>
        <row r="1631">
          <cell r="A1631">
            <v>30407</v>
          </cell>
          <cell r="B1631" t="str">
            <v>CORPORATION</v>
          </cell>
          <cell r="C1631" t="str">
            <v>Ortosal Comercial Ltda</v>
          </cell>
          <cell r="D1631" t="str">
            <v>Casa Do Construtor</v>
          </cell>
          <cell r="E1631" t="str">
            <v>BR_CNPJ</v>
          </cell>
          <cell r="F1631" t="str">
            <v>09.360.932/0001-10</v>
          </cell>
        </row>
        <row r="1632">
          <cell r="A1632">
            <v>30412</v>
          </cell>
          <cell r="B1632" t="str">
            <v>CORPORATION</v>
          </cell>
          <cell r="C1632" t="str">
            <v>Comercial Sampaio E Sales Ltda-Me</v>
          </cell>
          <cell r="D1632" t="str">
            <v>Equipar - Equipamentos E Parafusos</v>
          </cell>
          <cell r="E1632" t="str">
            <v>BR_CNPJ</v>
          </cell>
          <cell r="F1632" t="str">
            <v>11.475.912/0001-36</v>
          </cell>
        </row>
        <row r="1633">
          <cell r="A1633">
            <v>30413</v>
          </cell>
          <cell r="B1633" t="str">
            <v>CORPORATION</v>
          </cell>
          <cell r="C1633" t="str">
            <v>Symon D. M. Ferragista Ltda</v>
          </cell>
          <cell r="D1633" t="str">
            <v>Central Parafusos</v>
          </cell>
          <cell r="E1633" t="str">
            <v>BR_CNPJ</v>
          </cell>
          <cell r="F1633" t="str">
            <v>40.211.778/0001-64</v>
          </cell>
        </row>
        <row r="1634">
          <cell r="A1634">
            <v>30414</v>
          </cell>
          <cell r="B1634" t="str">
            <v>CORPORATION</v>
          </cell>
          <cell r="C1634" t="str">
            <v>I9 Materiais De Construcao Eireli</v>
          </cell>
          <cell r="D1634" t="str">
            <v>Aqualuz Construção</v>
          </cell>
          <cell r="E1634" t="str">
            <v>BR_CNPJ</v>
          </cell>
          <cell r="F1634" t="str">
            <v>17.210.347/0001-61</v>
          </cell>
        </row>
        <row r="1635">
          <cell r="A1635">
            <v>30418</v>
          </cell>
          <cell r="B1635" t="str">
            <v>CORPORATION</v>
          </cell>
          <cell r="C1635" t="str">
            <v>Ferragista Uniao Ltda</v>
          </cell>
          <cell r="D1635" t="str">
            <v>Ferragista Uniao</v>
          </cell>
          <cell r="E1635" t="str">
            <v>BR_CNPJ</v>
          </cell>
          <cell r="F1635" t="str">
            <v>46.993.639/0001-16</v>
          </cell>
        </row>
        <row r="1636">
          <cell r="A1636">
            <v>30421</v>
          </cell>
          <cell r="B1636" t="str">
            <v>CORPORATION</v>
          </cell>
          <cell r="C1636" t="str">
            <v>Dw Ferramentas E Maquinas Ltda</v>
          </cell>
          <cell r="D1636" t="str">
            <v>Dw Ferramentas</v>
          </cell>
          <cell r="E1636" t="str">
            <v>BR_CNPJ</v>
          </cell>
          <cell r="F1636" t="str">
            <v>43.669.103/0001-51</v>
          </cell>
        </row>
        <row r="1637">
          <cell r="A1637">
            <v>30422</v>
          </cell>
          <cell r="B1637" t="str">
            <v>CORPORATION</v>
          </cell>
          <cell r="C1637" t="str">
            <v>Jose Xavier Dos Santos 04362743880</v>
          </cell>
          <cell r="D1637" t="str">
            <v>Repax Reparos De Torneiras E Ferragens</v>
          </cell>
          <cell r="E1637" t="str">
            <v>BR_CNPJ</v>
          </cell>
          <cell r="F1637" t="str">
            <v>20.031.553/0001-19</v>
          </cell>
        </row>
        <row r="1638">
          <cell r="A1638">
            <v>30423</v>
          </cell>
          <cell r="B1638" t="str">
            <v>CORPORATION</v>
          </cell>
          <cell r="C1638" t="str">
            <v>Champion Center Tintas E Maquinas Ltda</v>
          </cell>
          <cell r="D1638" t="str">
            <v>Nafix</v>
          </cell>
          <cell r="E1638" t="str">
            <v>BR_CNPJ</v>
          </cell>
          <cell r="F1638" t="str">
            <v>23.551.299/0001-78</v>
          </cell>
        </row>
        <row r="1639">
          <cell r="A1639">
            <v>30424</v>
          </cell>
          <cell r="B1639" t="str">
            <v>CORPORATION</v>
          </cell>
          <cell r="C1639" t="str">
            <v>Shopping-Fer Comercio De Ferragens Ltda - Epp</v>
          </cell>
          <cell r="D1639" t="str">
            <v>Shopping Fer</v>
          </cell>
          <cell r="E1639" t="str">
            <v>BR_CNPJ</v>
          </cell>
          <cell r="F1639" t="str">
            <v>67.453.282/0001-53</v>
          </cell>
        </row>
        <row r="1640">
          <cell r="A1640">
            <v>30426</v>
          </cell>
          <cell r="B1640" t="str">
            <v>CORPORATION</v>
          </cell>
          <cell r="C1640" t="str">
            <v>E.R. Mira Locacao E Comercio De Maquinas Eireli</v>
          </cell>
          <cell r="D1640" t="str">
            <v>Companhia Da Locacao</v>
          </cell>
          <cell r="E1640" t="str">
            <v>BR_CNPJ</v>
          </cell>
          <cell r="F1640" t="str">
            <v>13.788.100/0001-76</v>
          </cell>
        </row>
        <row r="1641">
          <cell r="A1641">
            <v>30431</v>
          </cell>
          <cell r="B1641" t="str">
            <v>CORPORATION</v>
          </cell>
          <cell r="C1641" t="str">
            <v>Casa Das Ferramentas Comercio E Servicos Ltda - Me</v>
          </cell>
          <cell r="D1641" t="str">
            <v>Casa Das Ferramentas (Goiânia)</v>
          </cell>
          <cell r="E1641" t="str">
            <v>BR_CNPJ</v>
          </cell>
          <cell r="F1641" t="str">
            <v>10.609.523/0001-93</v>
          </cell>
        </row>
        <row r="1642">
          <cell r="A1642">
            <v>30435</v>
          </cell>
          <cell r="B1642" t="str">
            <v>CORPORATION</v>
          </cell>
          <cell r="C1642" t="str">
            <v>S G X Comercio De Maquinas Agricolas Eireli - Me</v>
          </cell>
          <cell r="D1642" t="str">
            <v>Catalan Garcia - Maquinas E Motores</v>
          </cell>
          <cell r="E1642" t="str">
            <v>BR_CNPJ</v>
          </cell>
          <cell r="F1642" t="str">
            <v>15.080.564/0001-59</v>
          </cell>
        </row>
        <row r="1643">
          <cell r="A1643">
            <v>30439</v>
          </cell>
          <cell r="B1643" t="str">
            <v>CORPORATION</v>
          </cell>
          <cell r="C1643" t="str">
            <v>Ferranorte Ferragens E Ferramentas Ltda</v>
          </cell>
          <cell r="D1643" t="str">
            <v>Ferranorte Ferragens E Ferramentas</v>
          </cell>
          <cell r="E1643" t="str">
            <v>BR_CNPJ</v>
          </cell>
          <cell r="F1643" t="str">
            <v>01.319.204/0001-52</v>
          </cell>
          <cell r="G1643" t="str">
            <v>FERRANORTE</v>
          </cell>
        </row>
        <row r="1644">
          <cell r="A1644">
            <v>30442</v>
          </cell>
          <cell r="B1644" t="str">
            <v>CORPORATION</v>
          </cell>
          <cell r="C1644" t="str">
            <v>A Ferragista Ferragens E Ferramentas Ltda - Me</v>
          </cell>
          <cell r="D1644" t="str">
            <v>Ferranorte Ferragens E Ferramentas</v>
          </cell>
          <cell r="E1644" t="str">
            <v>BR_CNPJ</v>
          </cell>
          <cell r="F1644" t="str">
            <v>10.274.073/0001-25</v>
          </cell>
          <cell r="G1644" t="str">
            <v>FERRANORTE</v>
          </cell>
        </row>
        <row r="1645">
          <cell r="A1645">
            <v>30445</v>
          </cell>
          <cell r="B1645" t="str">
            <v>CORPORATION</v>
          </cell>
          <cell r="C1645" t="str">
            <v>Lima &amp; Lima Ferragens E Ferramentas Ltda</v>
          </cell>
          <cell r="D1645" t="str">
            <v>Ferranorte Ferragens E Ferramentas</v>
          </cell>
          <cell r="E1645" t="str">
            <v>BR_CNPJ</v>
          </cell>
          <cell r="F1645" t="str">
            <v>09.161.961/0001-52</v>
          </cell>
          <cell r="G1645" t="str">
            <v>FERRANORTE</v>
          </cell>
        </row>
        <row r="1646">
          <cell r="A1646">
            <v>30449</v>
          </cell>
          <cell r="B1646" t="str">
            <v>CORPORATION</v>
          </cell>
          <cell r="C1646" t="str">
            <v>Mundo Das Ferragens Ltda</v>
          </cell>
          <cell r="D1646" t="str">
            <v>Mundo Das Ferragens</v>
          </cell>
          <cell r="E1646" t="str">
            <v>BR_CNPJ</v>
          </cell>
          <cell r="F1646" t="str">
            <v>08.578.426/0001-39</v>
          </cell>
        </row>
        <row r="1647">
          <cell r="A1647">
            <v>30451</v>
          </cell>
          <cell r="B1647" t="str">
            <v>CORPORATION</v>
          </cell>
          <cell r="C1647" t="str">
            <v>Brinel Comercio &amp; Servicos Ltda</v>
          </cell>
          <cell r="D1647" t="str">
            <v>Brinel Comercio &amp; Servicos Ltda</v>
          </cell>
          <cell r="E1647" t="str">
            <v>BR_CNPJ</v>
          </cell>
          <cell r="F1647" t="str">
            <v>11.368.297/0001-69</v>
          </cell>
          <cell r="G1647" t="str">
            <v>BRINEL CE</v>
          </cell>
        </row>
        <row r="1648">
          <cell r="A1648">
            <v>30452</v>
          </cell>
          <cell r="B1648" t="str">
            <v>CORPORATION</v>
          </cell>
          <cell r="C1648" t="str">
            <v>Megafer-Comercio De Parafusos E Epi E Fechaduras Ltda</v>
          </cell>
          <cell r="D1648" t="str">
            <v>Megafer</v>
          </cell>
          <cell r="E1648" t="str">
            <v>BR_CNPJ</v>
          </cell>
          <cell r="F1648" t="str">
            <v>11.618.200/0001-29</v>
          </cell>
        </row>
        <row r="1649">
          <cell r="A1649">
            <v>30456</v>
          </cell>
          <cell r="B1649" t="str">
            <v>CORPORATION</v>
          </cell>
          <cell r="C1649" t="str">
            <v>Menegheti Comercio De Maquinas E Ferramentas Ltda Me</v>
          </cell>
          <cell r="D1649" t="str">
            <v>Menegheti Comercio De Maquinas E Ferramentas Ltda Me</v>
          </cell>
          <cell r="E1649" t="str">
            <v>BR_CNPJ</v>
          </cell>
          <cell r="F1649" t="str">
            <v>59.464.305/0001-05</v>
          </cell>
        </row>
        <row r="1650">
          <cell r="A1650">
            <v>30463</v>
          </cell>
          <cell r="B1650" t="str">
            <v>CORPORATION</v>
          </cell>
          <cell r="C1650" t="str">
            <v>Araujo - Maquinas E Equipamentos Ltda -Me</v>
          </cell>
          <cell r="D1650" t="str">
            <v>Araujo - Maquinas</v>
          </cell>
          <cell r="E1650" t="str">
            <v>BR_CNPJ</v>
          </cell>
          <cell r="F1650" t="str">
            <v>20.939.197/0001-36</v>
          </cell>
        </row>
        <row r="1651">
          <cell r="A1651">
            <v>30467</v>
          </cell>
          <cell r="B1651" t="str">
            <v>CORPORATION</v>
          </cell>
          <cell r="C1651" t="str">
            <v>Comffere Comercial Fideles De Ferramentas Especiais Ltda</v>
          </cell>
          <cell r="D1651" t="str">
            <v>Comffere</v>
          </cell>
          <cell r="E1651" t="str">
            <v>BR_CNPJ</v>
          </cell>
          <cell r="F1651" t="str">
            <v>04.167.039/0001-59</v>
          </cell>
        </row>
        <row r="1652">
          <cell r="A1652">
            <v>30468</v>
          </cell>
          <cell r="B1652" t="str">
            <v>CORPORATION</v>
          </cell>
          <cell r="C1652" t="str">
            <v>Oxigenio Esquina Da Solda Ltda</v>
          </cell>
          <cell r="D1652" t="str">
            <v>Esquina Da Solda</v>
          </cell>
          <cell r="E1652" t="str">
            <v>BR_CNPJ</v>
          </cell>
          <cell r="F1652" t="str">
            <v>02.407.212/0001-13</v>
          </cell>
        </row>
        <row r="1653">
          <cell r="A1653">
            <v>30470</v>
          </cell>
          <cell r="B1653" t="str">
            <v>CORPORATION</v>
          </cell>
          <cell r="C1653" t="str">
            <v>B J F - Elétrica E Hidráulica Ltda.</v>
          </cell>
          <cell r="D1653" t="str">
            <v>Donatti - Eletrica E Hidraulica</v>
          </cell>
          <cell r="E1653" t="str">
            <v>BR_CNPJ</v>
          </cell>
          <cell r="F1653" t="str">
            <v>02.955.966/0001-08</v>
          </cell>
        </row>
        <row r="1654">
          <cell r="A1654">
            <v>30471</v>
          </cell>
          <cell r="B1654" t="str">
            <v>CORPORATION</v>
          </cell>
          <cell r="C1654" t="str">
            <v>Vila Mais Maquinas Eireli</v>
          </cell>
          <cell r="D1654" t="str">
            <v>Central Das Maquinas</v>
          </cell>
          <cell r="E1654" t="str">
            <v>BR_CNPJ</v>
          </cell>
          <cell r="F1654" t="str">
            <v>42.315.132/0001-52</v>
          </cell>
          <cell r="G1654" t="str">
            <v>CENTRAL DAS MAQUINAS</v>
          </cell>
        </row>
        <row r="1655">
          <cell r="A1655">
            <v>30475</v>
          </cell>
          <cell r="B1655" t="str">
            <v>CORPORATION</v>
          </cell>
          <cell r="C1655" t="str">
            <v>Nova Everest Suprimentos Industriais Ltda</v>
          </cell>
          <cell r="D1655" t="str">
            <v>Nova Everest</v>
          </cell>
          <cell r="E1655" t="str">
            <v>BR_CNPJ</v>
          </cell>
          <cell r="F1655" t="str">
            <v>06.246.982/0001-82</v>
          </cell>
        </row>
        <row r="1656">
          <cell r="A1656">
            <v>30476</v>
          </cell>
          <cell r="B1656" t="str">
            <v>CORPORATION</v>
          </cell>
          <cell r="C1656" t="str">
            <v>J Alves Ferramentas E Maquinas Eireli</v>
          </cell>
          <cell r="D1656" t="str">
            <v>J Alves</v>
          </cell>
          <cell r="E1656" t="str">
            <v>BR_CNPJ</v>
          </cell>
          <cell r="F1656" t="str">
            <v>09.520.624/0001-04</v>
          </cell>
        </row>
        <row r="1657">
          <cell r="A1657">
            <v>30479</v>
          </cell>
          <cell r="B1657" t="str">
            <v>CORPORATION</v>
          </cell>
          <cell r="C1657" t="str">
            <v>Molina Parafusos Ltda - Epp</v>
          </cell>
          <cell r="D1657" t="str">
            <v>Molina Parafusos</v>
          </cell>
          <cell r="E1657" t="str">
            <v>BR_CNPJ</v>
          </cell>
          <cell r="F1657" t="str">
            <v>51.410.405/0001-39</v>
          </cell>
        </row>
        <row r="1658">
          <cell r="A1658">
            <v>30499</v>
          </cell>
          <cell r="B1658" t="str">
            <v>CORPORATION</v>
          </cell>
          <cell r="C1658" t="str">
            <v>R. Reis Bacelar - Me</v>
          </cell>
          <cell r="D1658" t="str">
            <v>Casa Das Bombas</v>
          </cell>
          <cell r="E1658" t="str">
            <v>BR_CNPJ</v>
          </cell>
          <cell r="F1658" t="str">
            <v>05.340.817/0001-22</v>
          </cell>
          <cell r="G1658" t="str">
            <v>CASA DAS BOMBAS</v>
          </cell>
        </row>
        <row r="1659">
          <cell r="A1659">
            <v>30503</v>
          </cell>
          <cell r="B1659" t="str">
            <v>CORPORATION</v>
          </cell>
          <cell r="C1659" t="str">
            <v>Dspm Comercio De Produtos Eletro-Eletronicos Ltda - Epp</v>
          </cell>
          <cell r="D1659" t="str">
            <v>Dspm Representacoes Ltda</v>
          </cell>
          <cell r="E1659" t="str">
            <v>BR_CNPJ</v>
          </cell>
          <cell r="F1659" t="str">
            <v>08.457.879/0001-07</v>
          </cell>
        </row>
        <row r="1660">
          <cell r="A1660">
            <v>30506</v>
          </cell>
          <cell r="B1660" t="str">
            <v>CORPORATION</v>
          </cell>
          <cell r="C1660" t="str">
            <v>Eletrica Takei Comercio Ltda</v>
          </cell>
          <cell r="D1660" t="str">
            <v>Eletrica Takei</v>
          </cell>
          <cell r="E1660" t="str">
            <v>BR_CNPJ</v>
          </cell>
          <cell r="F1660" t="str">
            <v>44.275.568/0001-90</v>
          </cell>
        </row>
        <row r="1661">
          <cell r="A1661">
            <v>30509</v>
          </cell>
          <cell r="B1661" t="str">
            <v>CORPORATION</v>
          </cell>
          <cell r="C1661" t="str">
            <v>Tomafeer Ltda - Epp</v>
          </cell>
          <cell r="D1661" t="str">
            <v>Tomafeer Ltda - Epp</v>
          </cell>
          <cell r="E1661" t="str">
            <v>BR_CNPJ</v>
          </cell>
          <cell r="F1661" t="str">
            <v>71.403.745/0001-40</v>
          </cell>
        </row>
        <row r="1662">
          <cell r="A1662">
            <v>30510</v>
          </cell>
          <cell r="B1662" t="str">
            <v>CORPORATION</v>
          </cell>
          <cell r="C1662" t="str">
            <v>Casa Pedroso Materiais Para Construcao Ltda</v>
          </cell>
          <cell r="D1662" t="str">
            <v>Casa Pedroso Materiais Para Construcao</v>
          </cell>
          <cell r="E1662" t="str">
            <v>BR_CNPJ</v>
          </cell>
          <cell r="F1662" t="str">
            <v>02.237.989/0001-87</v>
          </cell>
        </row>
        <row r="1663">
          <cell r="A1663">
            <v>30512</v>
          </cell>
          <cell r="B1663" t="str">
            <v>CORPORATION</v>
          </cell>
          <cell r="C1663" t="str">
            <v>Carlos Eugenio De Oliveira E Cia Ltda - Me</v>
          </cell>
          <cell r="D1663" t="str">
            <v>Carlos Eugenio De Oliveira E Cia Ltda - Me</v>
          </cell>
          <cell r="E1663" t="str">
            <v>BR_CNPJ</v>
          </cell>
          <cell r="F1663" t="str">
            <v>07.283.117/0001-79</v>
          </cell>
        </row>
        <row r="1664">
          <cell r="A1664">
            <v>30514</v>
          </cell>
          <cell r="B1664" t="str">
            <v>CORPORATION</v>
          </cell>
          <cell r="C1664" t="str">
            <v>Gopina Comercial De Ferramentas E Maquinas Ltda</v>
          </cell>
          <cell r="D1664" t="str">
            <v>Gopina</v>
          </cell>
          <cell r="E1664" t="str">
            <v>BR_CNPJ</v>
          </cell>
          <cell r="F1664" t="str">
            <v>45.100.658/0001-03</v>
          </cell>
        </row>
        <row r="1665">
          <cell r="A1665">
            <v>30515</v>
          </cell>
          <cell r="B1665" t="str">
            <v>CORPORATION</v>
          </cell>
          <cell r="C1665" t="str">
            <v>L.F. Silveira Comercio De Ferramentas Ltda</v>
          </cell>
          <cell r="D1665" t="str">
            <v>L.F. Silveira Comercio De Ferramentas Ltda</v>
          </cell>
          <cell r="E1665" t="str">
            <v>BR_CNPJ</v>
          </cell>
          <cell r="F1665" t="str">
            <v>91.845.735/0003-33</v>
          </cell>
        </row>
        <row r="1666">
          <cell r="A1666">
            <v>30517</v>
          </cell>
          <cell r="B1666" t="str">
            <v>CORPORATION</v>
          </cell>
          <cell r="C1666" t="str">
            <v>Xexeu Compressores E Ferramentas Ltda - Me</v>
          </cell>
          <cell r="D1666" t="str">
            <v>Xexeu Compressores E Ferramentas</v>
          </cell>
          <cell r="E1666" t="str">
            <v>BR_CNPJ</v>
          </cell>
          <cell r="F1666" t="str">
            <v>11.383.198/0001-56</v>
          </cell>
        </row>
        <row r="1667">
          <cell r="A1667">
            <v>30522</v>
          </cell>
          <cell r="B1667" t="str">
            <v>CORPORATION</v>
          </cell>
          <cell r="C1667" t="str">
            <v>Mendes Eletromecanica Ltda - Epp</v>
          </cell>
          <cell r="D1667" t="str">
            <v>Mendes Eletromecanica Ltda - Epp</v>
          </cell>
          <cell r="E1667" t="str">
            <v>BR_CNPJ</v>
          </cell>
          <cell r="F1667" t="str">
            <v>18.851.626/0001-77</v>
          </cell>
        </row>
        <row r="1668">
          <cell r="A1668">
            <v>30525</v>
          </cell>
          <cell r="B1668" t="str">
            <v>CORPORATION</v>
          </cell>
          <cell r="C1668" t="str">
            <v>Comercial L. Soares Ltda - Epp</v>
          </cell>
          <cell r="D1668" t="str">
            <v>Comercial L. Soares Ltda - Epp</v>
          </cell>
          <cell r="E1668" t="str">
            <v>BR_CNPJ</v>
          </cell>
          <cell r="F1668" t="str">
            <v>61.025.367/0001-54</v>
          </cell>
        </row>
        <row r="1669">
          <cell r="A1669">
            <v>30527</v>
          </cell>
          <cell r="B1669" t="str">
            <v>CORPORATION</v>
          </cell>
          <cell r="C1669" t="str">
            <v>Nortel Suprimentos Industriais Ltda</v>
          </cell>
          <cell r="D1669" t="str">
            <v>Nortel</v>
          </cell>
          <cell r="E1669" t="str">
            <v>BR_CNPJ</v>
          </cell>
          <cell r="F1669" t="str">
            <v>46.044.053/0029-06</v>
          </cell>
          <cell r="G1669" t="str">
            <v>NORTEL</v>
          </cell>
        </row>
        <row r="1670">
          <cell r="A1670">
            <v>30530</v>
          </cell>
          <cell r="B1670" t="str">
            <v>CORPORATION</v>
          </cell>
          <cell r="C1670" t="str">
            <v>Abramaq Comercio &amp; Cia Ltda</v>
          </cell>
          <cell r="D1670" t="str">
            <v>Abramaq Comercio &amp; Cia Ltda</v>
          </cell>
          <cell r="E1670" t="str">
            <v>BR_CNPJ</v>
          </cell>
          <cell r="F1670" t="str">
            <v>42.731.861/0001-90</v>
          </cell>
        </row>
        <row r="1671">
          <cell r="A1671">
            <v>30531</v>
          </cell>
          <cell r="B1671" t="str">
            <v>CORPORATION</v>
          </cell>
          <cell r="C1671" t="str">
            <v>Rf Comercio De Ferragens Ltda - Me</v>
          </cell>
          <cell r="D1671" t="str">
            <v>Nova Casa De Ferragens</v>
          </cell>
          <cell r="E1671" t="str">
            <v>BR_CNPJ</v>
          </cell>
          <cell r="F1671" t="str">
            <v>14.496.923/0001-90</v>
          </cell>
        </row>
        <row r="1672">
          <cell r="A1672">
            <v>30533</v>
          </cell>
          <cell r="B1672" t="str">
            <v>CORPORATION</v>
          </cell>
          <cell r="C1672" t="str">
            <v>Braga Gases E Soldas Ltda</v>
          </cell>
          <cell r="D1672" t="str">
            <v>Oxigenio Maua</v>
          </cell>
          <cell r="E1672" t="str">
            <v>BR_CNPJ</v>
          </cell>
          <cell r="F1672" t="str">
            <v>53.181.533/0001-83</v>
          </cell>
        </row>
        <row r="1673">
          <cell r="A1673">
            <v>30539</v>
          </cell>
          <cell r="B1673" t="str">
            <v>CORPORATION</v>
          </cell>
          <cell r="C1673" t="str">
            <v>G.H. - Parafusos E Ferramentas Ltda</v>
          </cell>
          <cell r="D1673" t="str">
            <v>Gh Parafusos</v>
          </cell>
          <cell r="E1673" t="str">
            <v>BR_CNPJ</v>
          </cell>
          <cell r="F1673" t="str">
            <v>43.693.878/0001-62</v>
          </cell>
        </row>
        <row r="1674">
          <cell r="A1674">
            <v>30540</v>
          </cell>
          <cell r="B1674" t="str">
            <v>CORPORATION</v>
          </cell>
          <cell r="C1674" t="str">
            <v>N C D Santos Comercio De Ferramentas E Ferragens</v>
          </cell>
          <cell r="D1674" t="str">
            <v>Jn Parafusos</v>
          </cell>
          <cell r="E1674" t="str">
            <v>BR_CNPJ</v>
          </cell>
          <cell r="F1674" t="str">
            <v>15.158.695/0001-01</v>
          </cell>
        </row>
        <row r="1675">
          <cell r="A1675">
            <v>30541</v>
          </cell>
          <cell r="B1675" t="str">
            <v>CORPORATION</v>
          </cell>
          <cell r="C1675" t="str">
            <v>Imperio Comercio De Equipamentos E Ferramentas Ltda</v>
          </cell>
          <cell r="D1675" t="str">
            <v>Imperio Equipamentos</v>
          </cell>
          <cell r="E1675" t="str">
            <v>BR_CNPJ</v>
          </cell>
          <cell r="F1675" t="str">
            <v>37.443.693/0001-05</v>
          </cell>
        </row>
        <row r="1676">
          <cell r="A1676">
            <v>30543</v>
          </cell>
          <cell r="B1676" t="str">
            <v>CORPORATION</v>
          </cell>
          <cell r="C1676" t="str">
            <v>Costa, Banzi &amp; Cia. Ltda - Me</v>
          </cell>
          <cell r="D1676" t="str">
            <v>Emporio Das Ferramentas</v>
          </cell>
          <cell r="E1676" t="str">
            <v>BR_CNPJ</v>
          </cell>
          <cell r="F1676" t="str">
            <v>65.414.740/0001-10</v>
          </cell>
        </row>
        <row r="1677">
          <cell r="A1677">
            <v>30547</v>
          </cell>
          <cell r="B1677" t="str">
            <v>CORPORATION</v>
          </cell>
          <cell r="C1677" t="str">
            <v>Comercial De Produtos Agropecuarios Agliardi Ltda - Epp</v>
          </cell>
          <cell r="D1677" t="str">
            <v>Comercial Agliardi</v>
          </cell>
          <cell r="E1677" t="str">
            <v>BR_CNPJ</v>
          </cell>
          <cell r="F1677" t="str">
            <v>07.629.920/0001-12</v>
          </cell>
        </row>
        <row r="1678">
          <cell r="A1678">
            <v>30548</v>
          </cell>
          <cell r="B1678" t="str">
            <v>CORPORATION</v>
          </cell>
          <cell r="C1678" t="str">
            <v>Sanitaria Geriba Ltda</v>
          </cell>
          <cell r="D1678" t="str">
            <v>Sanitaria Geriba Ltda</v>
          </cell>
          <cell r="E1678" t="str">
            <v>BR_CNPJ</v>
          </cell>
          <cell r="F1678" t="str">
            <v>00.068.911/0001-50</v>
          </cell>
        </row>
        <row r="1679">
          <cell r="A1679">
            <v>30550</v>
          </cell>
          <cell r="B1679" t="str">
            <v>CORPORATION</v>
          </cell>
          <cell r="C1679" t="str">
            <v>Limart Maquinas E Ferramentas Ltda</v>
          </cell>
          <cell r="D1679" t="str">
            <v>Limart</v>
          </cell>
          <cell r="E1679" t="str">
            <v>BR_CNPJ</v>
          </cell>
          <cell r="F1679" t="str">
            <v>62.857.891/0001-54</v>
          </cell>
        </row>
        <row r="1680">
          <cell r="A1680">
            <v>30551</v>
          </cell>
          <cell r="B1680" t="str">
            <v>CORPORATION</v>
          </cell>
          <cell r="C1680" t="str">
            <v>Domingos Savio Nunes Da Costa</v>
          </cell>
          <cell r="D1680" t="str">
            <v>Lamacon Materiais De Construcao</v>
          </cell>
          <cell r="E1680" t="str">
            <v>BR_CNPJ</v>
          </cell>
          <cell r="F1680" t="str">
            <v>71.045.009/0001-67</v>
          </cell>
        </row>
        <row r="1681">
          <cell r="A1681">
            <v>30553</v>
          </cell>
          <cell r="B1681" t="str">
            <v>CORPORATION</v>
          </cell>
          <cell r="C1681" t="str">
            <v>Oxi-Riber Comercio De Gases Industriais E Medicinais Ltda - Me</v>
          </cell>
          <cell r="D1681" t="str">
            <v>Oxi-Riber Comercio De Gases Industriais E Medicinais Ltda - Me</v>
          </cell>
          <cell r="E1681" t="str">
            <v>BR_CNPJ</v>
          </cell>
          <cell r="F1681" t="str">
            <v>02.279.697/0001-07</v>
          </cell>
        </row>
        <row r="1682">
          <cell r="A1682">
            <v>30556</v>
          </cell>
          <cell r="B1682" t="str">
            <v>CORPORATION</v>
          </cell>
          <cell r="C1682" t="str">
            <v>Weld Center Comercio De Maquinas E Equipamentos De Solda Ltda - Epp</v>
          </cell>
          <cell r="D1682" t="str">
            <v>Weld Center</v>
          </cell>
          <cell r="E1682" t="str">
            <v>BR_CNPJ</v>
          </cell>
          <cell r="F1682" t="str">
            <v>69.089.431/0001-72</v>
          </cell>
        </row>
        <row r="1683">
          <cell r="A1683">
            <v>30557</v>
          </cell>
          <cell r="B1683" t="str">
            <v>CORPORATION</v>
          </cell>
          <cell r="C1683" t="str">
            <v>Marcio Rubens De Almeida</v>
          </cell>
          <cell r="D1683" t="str">
            <v>Cristal Variedades</v>
          </cell>
          <cell r="E1683" t="str">
            <v>BR_CNPJ</v>
          </cell>
          <cell r="F1683" t="str">
            <v>27.947.265/0001-58</v>
          </cell>
        </row>
        <row r="1684">
          <cell r="A1684">
            <v>30559</v>
          </cell>
          <cell r="B1684" t="str">
            <v>CORPORATION</v>
          </cell>
          <cell r="C1684" t="str">
            <v>Sergio Provim - Me</v>
          </cell>
          <cell r="D1684" t="str">
            <v>Provim Maquinas</v>
          </cell>
          <cell r="E1684" t="str">
            <v>BR_CNPJ</v>
          </cell>
          <cell r="F1684" t="str">
            <v>03.607.889/0001-68</v>
          </cell>
        </row>
        <row r="1685">
          <cell r="A1685">
            <v>30562</v>
          </cell>
          <cell r="B1685" t="str">
            <v>CORPORATION</v>
          </cell>
          <cell r="C1685" t="str">
            <v>Limafer Maquinas E Ferramentas Ltda - Me</v>
          </cell>
          <cell r="D1685" t="str">
            <v>Limafer</v>
          </cell>
          <cell r="E1685" t="str">
            <v>BR_CNPJ</v>
          </cell>
          <cell r="F1685" t="str">
            <v>48.648.844/0001-70</v>
          </cell>
        </row>
        <row r="1686">
          <cell r="A1686">
            <v>30563</v>
          </cell>
          <cell r="B1686" t="str">
            <v>CORPORATION</v>
          </cell>
          <cell r="C1686" t="str">
            <v>S. C. Com E Servicos E Locacoes Ltda</v>
          </cell>
          <cell r="D1686" t="str">
            <v>S. C. Com E Servicos E Locacoes Ltda</v>
          </cell>
          <cell r="E1686" t="str">
            <v>BR_CNPJ</v>
          </cell>
          <cell r="F1686" t="str">
            <v>19.534.574/0001-78</v>
          </cell>
        </row>
        <row r="1687">
          <cell r="A1687">
            <v>30564</v>
          </cell>
          <cell r="B1687" t="str">
            <v>CORPORATION</v>
          </cell>
          <cell r="C1687" t="str">
            <v>Nippory Comercio De Ferragens Ltda - Me</v>
          </cell>
          <cell r="D1687" t="str">
            <v>Nippory</v>
          </cell>
          <cell r="E1687" t="str">
            <v>BR_CNPJ</v>
          </cell>
          <cell r="F1687" t="str">
            <v>67.724.021/0001-20</v>
          </cell>
        </row>
        <row r="1688">
          <cell r="A1688">
            <v>30566</v>
          </cell>
          <cell r="B1688" t="str">
            <v>CORPORATION</v>
          </cell>
          <cell r="C1688" t="str">
            <v>Do Pedreiro Do Litoral Comercio De Materiais De Construcao Ltda</v>
          </cell>
          <cell r="D1688" t="str">
            <v>Casa Do Pedreiro</v>
          </cell>
          <cell r="E1688" t="str">
            <v>BR_CNPJ</v>
          </cell>
          <cell r="F1688" t="str">
            <v>10.622.393/0001-29</v>
          </cell>
        </row>
        <row r="1689">
          <cell r="A1689">
            <v>30567</v>
          </cell>
          <cell r="B1689" t="str">
            <v>CORPORATION</v>
          </cell>
          <cell r="C1689" t="str">
            <v>Ferragens Nagamine Ltda - Me</v>
          </cell>
          <cell r="D1689" t="str">
            <v>Ferragens Nagamine</v>
          </cell>
          <cell r="E1689" t="str">
            <v>BR_CNPJ</v>
          </cell>
          <cell r="F1689" t="str">
            <v>53.341.970/0001-17</v>
          </cell>
        </row>
        <row r="1690">
          <cell r="A1690">
            <v>30570</v>
          </cell>
          <cell r="B1690" t="str">
            <v>CORPORATION</v>
          </cell>
          <cell r="C1690" t="str">
            <v>Ferragens Vila Re Ltda - Epp</v>
          </cell>
          <cell r="D1690" t="str">
            <v>Ferragens Vila Re</v>
          </cell>
          <cell r="E1690" t="str">
            <v>BR_CNPJ</v>
          </cell>
          <cell r="F1690" t="str">
            <v>96.238.191/0001-01</v>
          </cell>
        </row>
        <row r="1691">
          <cell r="A1691">
            <v>30573</v>
          </cell>
          <cell r="B1691" t="str">
            <v>CORPORATION</v>
          </cell>
          <cell r="C1691" t="str">
            <v>Auto Atacado Comercial De Ferragens Eireli - Me</v>
          </cell>
          <cell r="D1691" t="str">
            <v>Auto Atacado</v>
          </cell>
          <cell r="E1691" t="str">
            <v>BR_CNPJ</v>
          </cell>
          <cell r="F1691" t="str">
            <v>71.289.268/0001-33</v>
          </cell>
        </row>
        <row r="1692">
          <cell r="A1692">
            <v>30576</v>
          </cell>
          <cell r="B1692" t="str">
            <v>CORPORATION</v>
          </cell>
          <cell r="C1692" t="str">
            <v>Ivone Da Silva Cardoso - Epp</v>
          </cell>
          <cell r="D1692" t="str">
            <v>Ivone Da Silva Cardoso</v>
          </cell>
          <cell r="E1692" t="str">
            <v>BR_CNPJ</v>
          </cell>
          <cell r="F1692" t="str">
            <v>01.897.130/0001-31</v>
          </cell>
        </row>
        <row r="1693">
          <cell r="A1693">
            <v>30579</v>
          </cell>
          <cell r="B1693" t="str">
            <v>CORPORATION</v>
          </cell>
          <cell r="C1693" t="str">
            <v>Area Verde Maquinas E Motores Ltda - Me</v>
          </cell>
          <cell r="D1693" t="str">
            <v>Area Verde</v>
          </cell>
          <cell r="E1693" t="str">
            <v>BR_CNPJ</v>
          </cell>
          <cell r="F1693" t="str">
            <v>07.807.172/0001-10</v>
          </cell>
        </row>
        <row r="1694">
          <cell r="A1694">
            <v>30582</v>
          </cell>
          <cell r="B1694" t="str">
            <v>CORPORATION</v>
          </cell>
          <cell r="C1694" t="str">
            <v>Centroeste Ferramentas E Comercio Ltda - Me</v>
          </cell>
          <cell r="D1694" t="str">
            <v>Cenfer</v>
          </cell>
          <cell r="E1694" t="str">
            <v>BR_CNPJ</v>
          </cell>
          <cell r="F1694" t="str">
            <v>23.219.066/0001-72</v>
          </cell>
          <cell r="G1694" t="str">
            <v>FERRAMINAS</v>
          </cell>
        </row>
        <row r="1695">
          <cell r="A1695">
            <v>30586</v>
          </cell>
          <cell r="B1695" t="str">
            <v>CORPORATION</v>
          </cell>
          <cell r="C1695" t="str">
            <v>Organizacoes Mavalle Ltda - Epp</v>
          </cell>
          <cell r="D1695" t="str">
            <v>Organizacoes Mavalle</v>
          </cell>
          <cell r="E1695" t="str">
            <v>BR_CNPJ</v>
          </cell>
          <cell r="F1695" t="str">
            <v>25.516.394/0001-66</v>
          </cell>
        </row>
        <row r="1696">
          <cell r="A1696">
            <v>30590</v>
          </cell>
          <cell r="B1696" t="str">
            <v>CORPORATION</v>
          </cell>
          <cell r="C1696" t="str">
            <v>Alessandro De Melo Guerra</v>
          </cell>
          <cell r="D1696" t="str">
            <v>Casa De Ferragens Vinte E Oito De Junho</v>
          </cell>
          <cell r="E1696" t="str">
            <v>BR_CNPJ</v>
          </cell>
          <cell r="F1696" t="str">
            <v>47.571.666/0001-63</v>
          </cell>
        </row>
        <row r="1697">
          <cell r="A1697">
            <v>30592</v>
          </cell>
          <cell r="B1697" t="str">
            <v>CORPORATION</v>
          </cell>
          <cell r="C1697" t="str">
            <v>Joaquim C Mendonca Neto - Me</v>
          </cell>
          <cell r="D1697" t="str">
            <v>Joaquim C Mendonca Neto</v>
          </cell>
          <cell r="E1697" t="str">
            <v>BR_CNPJ</v>
          </cell>
          <cell r="F1697" t="str">
            <v>10.699.979/0001-91</v>
          </cell>
        </row>
        <row r="1698">
          <cell r="A1698">
            <v>30595</v>
          </cell>
          <cell r="B1698" t="str">
            <v>CORPORATION</v>
          </cell>
          <cell r="C1698" t="str">
            <v>Gradil Ferro E Aco Eireli - Epp</v>
          </cell>
          <cell r="D1698" t="str">
            <v>Gradil</v>
          </cell>
          <cell r="E1698" t="str">
            <v>BR_CNPJ</v>
          </cell>
          <cell r="F1698" t="str">
            <v>03.747.042/0001-89</v>
          </cell>
        </row>
        <row r="1699">
          <cell r="A1699">
            <v>30597</v>
          </cell>
          <cell r="B1699" t="str">
            <v>CORPORATION</v>
          </cell>
          <cell r="C1699" t="str">
            <v>Almeida Rocha Ferramentas Ltda</v>
          </cell>
          <cell r="D1699" t="str">
            <v>Almeida Rocha Ferramentas Ltda</v>
          </cell>
          <cell r="E1699" t="str">
            <v>BR_CNPJ</v>
          </cell>
          <cell r="F1699" t="str">
            <v>07.681.290/0001-25</v>
          </cell>
        </row>
        <row r="1700">
          <cell r="A1700">
            <v>30598</v>
          </cell>
          <cell r="B1700" t="str">
            <v>CORPORATION</v>
          </cell>
          <cell r="C1700" t="str">
            <v>Real Comercio De Parafusos Ltda</v>
          </cell>
          <cell r="D1700" t="str">
            <v>Real Parafusos</v>
          </cell>
          <cell r="E1700" t="str">
            <v>BR_CNPJ</v>
          </cell>
          <cell r="F1700" t="str">
            <v>57.208.480/0001-06</v>
          </cell>
        </row>
        <row r="1701">
          <cell r="A1701">
            <v>30600</v>
          </cell>
          <cell r="B1701" t="str">
            <v>CORPORATION</v>
          </cell>
          <cell r="C1701" t="str">
            <v>Primos Materiais Para Construcao E Utilidades De Assis Ltda - Me</v>
          </cell>
          <cell r="D1701" t="str">
            <v>Primos Materiais Para Construcao E Utilidades</v>
          </cell>
          <cell r="E1701" t="str">
            <v>BR_CNPJ</v>
          </cell>
          <cell r="F1701" t="str">
            <v>05.734.723/0001-38</v>
          </cell>
        </row>
        <row r="1702">
          <cell r="A1702">
            <v>30601</v>
          </cell>
          <cell r="B1702" t="str">
            <v>CORPORATION</v>
          </cell>
          <cell r="C1702" t="str">
            <v>Technofer Solucoes Industriais Ltda</v>
          </cell>
          <cell r="D1702" t="str">
            <v>Technofer</v>
          </cell>
          <cell r="E1702" t="str">
            <v>BR_CNPJ</v>
          </cell>
          <cell r="F1702" t="str">
            <v>48.239.336/0001-38</v>
          </cell>
        </row>
        <row r="1703">
          <cell r="A1703">
            <v>30603</v>
          </cell>
          <cell r="B1703" t="str">
            <v>CORPORATION</v>
          </cell>
          <cell r="C1703" t="str">
            <v>Xavier- Comercio E Servicos De Assis Ltda - Epp</v>
          </cell>
          <cell r="D1703" t="str">
            <v>Xavier Comercio E Servicos De Assis</v>
          </cell>
          <cell r="E1703" t="str">
            <v>BR_CNPJ</v>
          </cell>
          <cell r="F1703" t="str">
            <v>04.127.524/0001-07</v>
          </cell>
        </row>
        <row r="1704">
          <cell r="A1704">
            <v>30605</v>
          </cell>
          <cell r="B1704" t="str">
            <v>CORPORATION</v>
          </cell>
          <cell r="C1704" t="str">
            <v>Castelo Magazine Comercio De Variedades Ltda</v>
          </cell>
          <cell r="D1704" t="str">
            <v>Patty Ferr/Via Acessorios E Presentes</v>
          </cell>
          <cell r="E1704" t="str">
            <v>BR_CNPJ</v>
          </cell>
          <cell r="F1704" t="str">
            <v>12.409.174/0001-91</v>
          </cell>
        </row>
        <row r="1705">
          <cell r="A1705">
            <v>30606</v>
          </cell>
          <cell r="B1705" t="str">
            <v>CORPORATION</v>
          </cell>
          <cell r="C1705" t="str">
            <v>Consermaq Comercio De Ferragens E Ferramentas Ltda - Epp</v>
          </cell>
          <cell r="D1705" t="str">
            <v>Consermaq</v>
          </cell>
          <cell r="E1705" t="str">
            <v>BR_CNPJ</v>
          </cell>
          <cell r="F1705" t="str">
            <v>03.989.465/0001-05</v>
          </cell>
        </row>
        <row r="1706">
          <cell r="A1706">
            <v>30608</v>
          </cell>
          <cell r="B1706" t="str">
            <v>CORPORATION</v>
          </cell>
          <cell r="C1706" t="str">
            <v>Florema Pereira Weiss</v>
          </cell>
          <cell r="D1706" t="str">
            <v>Casa Do Motor</v>
          </cell>
          <cell r="E1706" t="str">
            <v>BR_CNPJ</v>
          </cell>
          <cell r="F1706" t="str">
            <v>32.731.609/0001-27</v>
          </cell>
        </row>
        <row r="1707">
          <cell r="A1707">
            <v>30611</v>
          </cell>
          <cell r="B1707" t="str">
            <v>CORPORATION</v>
          </cell>
          <cell r="C1707" t="str">
            <v>Lima Ferramentas Ltda - Epp</v>
          </cell>
          <cell r="D1707" t="str">
            <v>Lima Ferramentas</v>
          </cell>
          <cell r="E1707" t="str">
            <v>BR_CNPJ</v>
          </cell>
          <cell r="F1707" t="str">
            <v>20.153.045/0001-03</v>
          </cell>
        </row>
        <row r="1708">
          <cell r="A1708">
            <v>30614</v>
          </cell>
          <cell r="B1708" t="str">
            <v>CORPORATION</v>
          </cell>
          <cell r="C1708" t="str">
            <v>Luiz Fernando Barrotti - Me</v>
          </cell>
          <cell r="D1708" t="str">
            <v>Fermaq Compressores</v>
          </cell>
          <cell r="E1708" t="str">
            <v>BR_CNPJ</v>
          </cell>
          <cell r="F1708" t="str">
            <v>09.062.297/0001-94</v>
          </cell>
        </row>
        <row r="1709">
          <cell r="A1709">
            <v>30619</v>
          </cell>
          <cell r="B1709" t="str">
            <v>CORPORATION</v>
          </cell>
          <cell r="C1709" t="str">
            <v>Hidropatos Ltda</v>
          </cell>
          <cell r="D1709" t="str">
            <v>Casa Das Bombas</v>
          </cell>
          <cell r="E1709" t="str">
            <v>BR_CNPJ</v>
          </cell>
          <cell r="F1709" t="str">
            <v>26.159.640/0001-32</v>
          </cell>
        </row>
        <row r="1710">
          <cell r="A1710">
            <v>30620</v>
          </cell>
          <cell r="B1710" t="str">
            <v>CORPORATION</v>
          </cell>
          <cell r="C1710" t="str">
            <v>Janaina Tereza Inacio 14182704746</v>
          </cell>
          <cell r="D1710" t="str">
            <v>Comercial Inacio</v>
          </cell>
          <cell r="E1710" t="str">
            <v>BR_CNPJ</v>
          </cell>
          <cell r="F1710" t="str">
            <v>42.754.603/0001-29</v>
          </cell>
        </row>
        <row r="1711">
          <cell r="A1711">
            <v>30622</v>
          </cell>
          <cell r="B1711" t="str">
            <v>CORPORATION</v>
          </cell>
          <cell r="C1711" t="str">
            <v>Casa Da Lavoura De Campos Gerais Ltda - Me</v>
          </cell>
          <cell r="D1711" t="str">
            <v>Casa Da Lavoura</v>
          </cell>
          <cell r="E1711" t="str">
            <v>BR_CNPJ</v>
          </cell>
          <cell r="F1711" t="str">
            <v>00.455.432/0001-97</v>
          </cell>
        </row>
        <row r="1712">
          <cell r="A1712">
            <v>30625</v>
          </cell>
          <cell r="B1712" t="str">
            <v>CORPORATION</v>
          </cell>
          <cell r="C1712" t="str">
            <v>Limeira - Maquinas E Ferramentas Ltda. - Epp</v>
          </cell>
          <cell r="D1712" t="str">
            <v>Limafe</v>
          </cell>
          <cell r="E1712" t="str">
            <v>BR_CNPJ</v>
          </cell>
          <cell r="F1712" t="str">
            <v>03.749.612/0001-70</v>
          </cell>
        </row>
        <row r="1713">
          <cell r="A1713">
            <v>30627</v>
          </cell>
          <cell r="B1713" t="str">
            <v>CORPORATION</v>
          </cell>
          <cell r="C1713" t="str">
            <v>Aurilio Francisco De Andrade &amp; Cia Ltda - Me</v>
          </cell>
          <cell r="D1713" t="str">
            <v>Casa Dos Parafusos</v>
          </cell>
          <cell r="E1713" t="str">
            <v>BR_CNPJ</v>
          </cell>
          <cell r="F1713" t="str">
            <v>01.016.010/0001-88</v>
          </cell>
        </row>
        <row r="1714">
          <cell r="A1714">
            <v>30628</v>
          </cell>
          <cell r="B1714" t="str">
            <v>CORPORATION</v>
          </cell>
          <cell r="C1714" t="str">
            <v>Multiagro Agronegocios &amp; Comercio Servico Ltda Me</v>
          </cell>
          <cell r="D1714" t="str">
            <v>Multiagro</v>
          </cell>
          <cell r="E1714" t="str">
            <v>BR_CNPJ</v>
          </cell>
          <cell r="F1714" t="str">
            <v>12.587.301/0002-23</v>
          </cell>
          <cell r="G1714" t="str">
            <v>MULTIAGRO</v>
          </cell>
        </row>
        <row r="1715">
          <cell r="A1715">
            <v>30630</v>
          </cell>
          <cell r="B1715" t="str">
            <v>CORPORATION</v>
          </cell>
          <cell r="C1715" t="str">
            <v>Mansur &amp; Mansur Comercio De Ferro E Aco Ltda</v>
          </cell>
          <cell r="D1715" t="str">
            <v>Sulaco</v>
          </cell>
          <cell r="E1715" t="str">
            <v>BR_CNPJ</v>
          </cell>
          <cell r="F1715" t="str">
            <v>05.679.895/0001-56</v>
          </cell>
        </row>
        <row r="1716">
          <cell r="A1716">
            <v>30633</v>
          </cell>
          <cell r="B1716" t="str">
            <v>CORPORATION</v>
          </cell>
          <cell r="C1716" t="str">
            <v>Domingues &amp; Schiavon Ltda - Epp</v>
          </cell>
          <cell r="D1716" t="str">
            <v>Domingues &amp; Schiavon Ltda - Epp</v>
          </cell>
          <cell r="E1716" t="str">
            <v>BR_CNPJ</v>
          </cell>
          <cell r="F1716" t="str">
            <v>67.078.576/0001-42</v>
          </cell>
        </row>
        <row r="1717">
          <cell r="A1717">
            <v>30636</v>
          </cell>
          <cell r="B1717" t="str">
            <v>CORPORATION</v>
          </cell>
          <cell r="C1717" t="str">
            <v>Eliezer Materiais De Contrucao Ltda - Me</v>
          </cell>
          <cell r="D1717" t="str">
            <v>Casa Nova</v>
          </cell>
          <cell r="E1717" t="str">
            <v>BR_CNPJ</v>
          </cell>
          <cell r="F1717" t="str">
            <v>05.878.369/0001-15</v>
          </cell>
        </row>
        <row r="1718">
          <cell r="A1718">
            <v>30639</v>
          </cell>
          <cell r="B1718" t="str">
            <v>CORPORATION</v>
          </cell>
          <cell r="C1718" t="str">
            <v>Casa Do Marceneiro Assis Ltda - Me</v>
          </cell>
          <cell r="D1718" t="str">
            <v>Casa Do Marceneiro</v>
          </cell>
          <cell r="E1718" t="str">
            <v>BR_CNPJ</v>
          </cell>
          <cell r="F1718" t="str">
            <v>05.162.188/0001-98</v>
          </cell>
        </row>
        <row r="1719">
          <cell r="A1719">
            <v>30642</v>
          </cell>
          <cell r="B1719" t="str">
            <v>CORPORATION</v>
          </cell>
          <cell r="C1719" t="str">
            <v>Aparecido Batista Da Silva Pinhalzinho - Epp</v>
          </cell>
          <cell r="D1719" t="str">
            <v>Materiais Para Construcao Nossa Senhora Aparecida</v>
          </cell>
          <cell r="E1719" t="str">
            <v>BR_CNPJ</v>
          </cell>
          <cell r="F1719" t="str">
            <v>03.279.739/0001-72</v>
          </cell>
        </row>
        <row r="1720">
          <cell r="A1720">
            <v>30645</v>
          </cell>
          <cell r="B1720" t="str">
            <v>CORPORATION</v>
          </cell>
          <cell r="C1720" t="str">
            <v>Mogiana Comercio De Maquinas E Motores Ltda - Epp</v>
          </cell>
          <cell r="D1720" t="str">
            <v>Mogiana Maquinas E Motores</v>
          </cell>
          <cell r="E1720" t="str">
            <v>BR_CNPJ</v>
          </cell>
          <cell r="F1720" t="str">
            <v>96.633.078/0001-12</v>
          </cell>
        </row>
        <row r="1721">
          <cell r="A1721">
            <v>30646</v>
          </cell>
          <cell r="B1721" t="str">
            <v>CORPORATION</v>
          </cell>
          <cell r="C1721" t="str">
            <v>Sousa E Paula Ltda</v>
          </cell>
          <cell r="D1721" t="str">
            <v>Util Ferragens</v>
          </cell>
          <cell r="E1721" t="str">
            <v>BR_CNPJ</v>
          </cell>
          <cell r="F1721" t="str">
            <v>19.800.179/0001-90</v>
          </cell>
        </row>
        <row r="1722">
          <cell r="A1722">
            <v>30649</v>
          </cell>
          <cell r="B1722" t="str">
            <v>CORPORATION</v>
          </cell>
          <cell r="C1722" t="str">
            <v>Agrocampo Comercio De Materiais Para Construcao E Produtos Agropecuarios Ltda - Epp</v>
          </cell>
          <cell r="D1722" t="str">
            <v>Agrocampo</v>
          </cell>
          <cell r="E1722" t="str">
            <v>BR_CNPJ</v>
          </cell>
          <cell r="F1722" t="str">
            <v>43.236.132/0001-20</v>
          </cell>
        </row>
        <row r="1723">
          <cell r="A1723">
            <v>30650</v>
          </cell>
          <cell r="B1723" t="str">
            <v>CORPORATION</v>
          </cell>
          <cell r="C1723" t="str">
            <v>L H Ambrosio &amp; Filhos Ltda</v>
          </cell>
          <cell r="D1723" t="str">
            <v>Casa Dos Parafusos São José</v>
          </cell>
          <cell r="E1723" t="str">
            <v>BR_CNPJ</v>
          </cell>
          <cell r="F1723" t="str">
            <v>50.472.178/0001-03</v>
          </cell>
          <cell r="G1723" t="str">
            <v>CASA DOS PARAFUSOS SAO JOSE</v>
          </cell>
        </row>
        <row r="1724">
          <cell r="A1724">
            <v>30652</v>
          </cell>
          <cell r="B1724" t="str">
            <v>CORPORATION</v>
          </cell>
          <cell r="C1724" t="str">
            <v>Laboraves Comercio De Produtos Agropecuarios Ltda</v>
          </cell>
          <cell r="D1724" t="str">
            <v>Laboraves</v>
          </cell>
          <cell r="E1724" t="str">
            <v>BR_CNPJ</v>
          </cell>
          <cell r="F1724" t="str">
            <v>43.467.802/0001-19</v>
          </cell>
        </row>
        <row r="1725">
          <cell r="A1725">
            <v>30657</v>
          </cell>
          <cell r="B1725" t="str">
            <v>CORPORATION</v>
          </cell>
          <cell r="C1725" t="str">
            <v>R.R.Comercio De Parafusos De Itapira Ltda - Me</v>
          </cell>
          <cell r="D1725" t="str">
            <v>R.R.Comercio De Parafusos</v>
          </cell>
          <cell r="E1725" t="str">
            <v>BR_CNPJ</v>
          </cell>
          <cell r="F1725" t="str">
            <v>60.368.719/0001-01</v>
          </cell>
        </row>
        <row r="1726">
          <cell r="A1726">
            <v>30660</v>
          </cell>
          <cell r="B1726" t="str">
            <v>CORPORATION</v>
          </cell>
          <cell r="C1726" t="str">
            <v>Crm - Comercio De Pecas E Acessorios Para Veiculos Ltda - Epp</v>
          </cell>
          <cell r="D1726" t="str">
            <v>Crm Auto Pecas</v>
          </cell>
          <cell r="E1726" t="str">
            <v>BR_CNPJ</v>
          </cell>
          <cell r="F1726" t="str">
            <v>07.074.360/0001-87</v>
          </cell>
        </row>
        <row r="1727">
          <cell r="A1727">
            <v>30661</v>
          </cell>
          <cell r="B1727" t="str">
            <v>CORPORATION</v>
          </cell>
          <cell r="C1727" t="str">
            <v>Er Da Silva Comercio E Servicos De Construcao Eireli</v>
          </cell>
          <cell r="D1727" t="str">
            <v>Er Comercio</v>
          </cell>
          <cell r="E1727" t="str">
            <v>BR_CNPJ</v>
          </cell>
          <cell r="F1727" t="str">
            <v>33.860.074/0001-57</v>
          </cell>
        </row>
        <row r="1728">
          <cell r="A1728">
            <v>30663</v>
          </cell>
          <cell r="B1728" t="str">
            <v>CORPORATION</v>
          </cell>
          <cell r="C1728" t="str">
            <v>J.A. Tintas Automotivas, Pecas E Acessorios Ltda - Me</v>
          </cell>
          <cell r="D1728" t="str">
            <v>J A Tintas</v>
          </cell>
          <cell r="E1728" t="str">
            <v>BR_CNPJ</v>
          </cell>
          <cell r="F1728" t="str">
            <v>05.563.262/0001-88</v>
          </cell>
        </row>
        <row r="1729">
          <cell r="A1729">
            <v>30669</v>
          </cell>
          <cell r="B1729" t="str">
            <v>CORPORATION</v>
          </cell>
          <cell r="C1729" t="str">
            <v>Romag Pecas E Implementos Para Tratores Ltda - Me</v>
          </cell>
          <cell r="D1729" t="str">
            <v>Romag</v>
          </cell>
          <cell r="E1729" t="str">
            <v>BR_CNPJ</v>
          </cell>
          <cell r="F1729" t="str">
            <v>01.678.019/0001-54</v>
          </cell>
        </row>
        <row r="1730">
          <cell r="A1730">
            <v>30673</v>
          </cell>
          <cell r="B1730" t="str">
            <v>CORPORATION</v>
          </cell>
          <cell r="C1730" t="str">
            <v>Silva &amp; Morgao Ltda - Me</v>
          </cell>
          <cell r="D1730" t="str">
            <v>Silva &amp; Morgao</v>
          </cell>
          <cell r="E1730" t="str">
            <v>BR_CNPJ</v>
          </cell>
          <cell r="F1730" t="str">
            <v>65.537.789/0001-60</v>
          </cell>
        </row>
        <row r="1731">
          <cell r="A1731">
            <v>30675</v>
          </cell>
          <cell r="B1731" t="str">
            <v>CORPORATION</v>
          </cell>
          <cell r="C1731" t="str">
            <v>Comercial Oliveira De Botucatu Ltda</v>
          </cell>
          <cell r="D1731" t="str">
            <v>Griffo Ferragens E Ferramentas</v>
          </cell>
          <cell r="E1731" t="str">
            <v>BR_CNPJ</v>
          </cell>
          <cell r="F1731" t="str">
            <v>66.972.746/0001-75</v>
          </cell>
        </row>
        <row r="1732">
          <cell r="A1732">
            <v>30682</v>
          </cell>
          <cell r="B1732" t="str">
            <v>CORPORATION</v>
          </cell>
          <cell r="C1732" t="str">
            <v>Ferreira &amp; Nascimento Ltda - Me</v>
          </cell>
          <cell r="D1732" t="str">
            <v>Casa Nascimento</v>
          </cell>
          <cell r="E1732" t="str">
            <v>BR_CNPJ</v>
          </cell>
          <cell r="F1732" t="str">
            <v>55.397.137/0001-13</v>
          </cell>
        </row>
        <row r="1733">
          <cell r="A1733">
            <v>30684</v>
          </cell>
          <cell r="B1733" t="str">
            <v>CORPORATION</v>
          </cell>
          <cell r="C1733" t="str">
            <v>Castelo Soldas Ltda</v>
          </cell>
          <cell r="D1733" t="str">
            <v>Castelo Soldas Ltda</v>
          </cell>
          <cell r="E1733" t="str">
            <v>BR_CNPJ</v>
          </cell>
          <cell r="F1733" t="str">
            <v>10.369.548/0001-67</v>
          </cell>
        </row>
        <row r="1734">
          <cell r="A1734">
            <v>30686</v>
          </cell>
          <cell r="B1734" t="str">
            <v>CORPORATION</v>
          </cell>
          <cell r="C1734" t="str">
            <v>Carlos Alberto Cantarim</v>
          </cell>
          <cell r="D1734" t="str">
            <v>Tcm Ferramentas</v>
          </cell>
          <cell r="E1734" t="str">
            <v>BR_CNPJ</v>
          </cell>
          <cell r="F1734" t="str">
            <v>15.353.168/0001-58</v>
          </cell>
        </row>
        <row r="1735">
          <cell r="A1735">
            <v>30688</v>
          </cell>
          <cell r="B1735" t="str">
            <v>CORPORATION</v>
          </cell>
          <cell r="C1735" t="str">
            <v>Fermart Comercio E Servicos Ltda</v>
          </cell>
          <cell r="D1735" t="str">
            <v>Fermart</v>
          </cell>
          <cell r="E1735" t="str">
            <v>BR_CNPJ</v>
          </cell>
          <cell r="F1735" t="str">
            <v>48.261.687/0001-45</v>
          </cell>
          <cell r="G1735" t="str">
            <v>AÇO-FER</v>
          </cell>
        </row>
        <row r="1736">
          <cell r="A1736">
            <v>30691</v>
          </cell>
          <cell r="B1736" t="str">
            <v>CORPORATION</v>
          </cell>
          <cell r="C1736" t="str">
            <v>Mazzi Comercio De Equipamentos Ltda - Epp</v>
          </cell>
          <cell r="D1736" t="str">
            <v>Mazzi Comercio De Equipamentos</v>
          </cell>
          <cell r="E1736" t="str">
            <v>BR_CNPJ</v>
          </cell>
          <cell r="F1736" t="str">
            <v>10.966.011/0001-84</v>
          </cell>
        </row>
        <row r="1737">
          <cell r="A1737">
            <v>30692</v>
          </cell>
          <cell r="B1737" t="str">
            <v>CORPORATION</v>
          </cell>
          <cell r="C1737" t="str">
            <v>Cris Ferragens Ltda</v>
          </cell>
          <cell r="D1737" t="str">
            <v>Rei Da Solda</v>
          </cell>
          <cell r="E1737" t="str">
            <v>BR_CNPJ</v>
          </cell>
          <cell r="F1737" t="str">
            <v>00.772.163/0001-92</v>
          </cell>
        </row>
        <row r="1738">
          <cell r="A1738">
            <v>30693</v>
          </cell>
          <cell r="B1738" t="str">
            <v>CORPORATION</v>
          </cell>
          <cell r="C1738" t="str">
            <v>Nogueira Comercio De Maquinas E Equipamentos Imp. E Exp. Eireli</v>
          </cell>
          <cell r="D1738" t="str">
            <v>Nogueira Agromaquinas</v>
          </cell>
          <cell r="E1738" t="str">
            <v>BR_CNPJ</v>
          </cell>
          <cell r="F1738" t="str">
            <v>24.463.239/0003-28</v>
          </cell>
        </row>
        <row r="1739">
          <cell r="A1739">
            <v>30694</v>
          </cell>
          <cell r="B1739" t="str">
            <v>CORPORATION</v>
          </cell>
          <cell r="C1739" t="str">
            <v>Braz &amp; Braz Equipamentos Eletricos Ltda - Epp</v>
          </cell>
          <cell r="D1739" t="str">
            <v>Eletrica Braz</v>
          </cell>
          <cell r="E1739" t="str">
            <v>BR_CNPJ</v>
          </cell>
          <cell r="F1739" t="str">
            <v>72.713.100/0001-76</v>
          </cell>
        </row>
        <row r="1740">
          <cell r="A1740">
            <v>30697</v>
          </cell>
          <cell r="B1740" t="str">
            <v>CORPORATION</v>
          </cell>
          <cell r="C1740" t="str">
            <v>Setorial -Mercantil De Ferramentas Ltda - Me</v>
          </cell>
          <cell r="D1740" t="str">
            <v>Casa Total</v>
          </cell>
          <cell r="E1740" t="str">
            <v>BR_CNPJ</v>
          </cell>
          <cell r="F1740" t="str">
            <v>62.162.458/0001-02</v>
          </cell>
        </row>
        <row r="1741">
          <cell r="A1741">
            <v>30700</v>
          </cell>
          <cell r="B1741" t="str">
            <v>CORPORATION</v>
          </cell>
          <cell r="C1741" t="str">
            <v>Elcanper Equipamentos Agro-Pecuarios Ltda - Epp</v>
          </cell>
          <cell r="D1741" t="str">
            <v>Elcanper</v>
          </cell>
          <cell r="E1741" t="str">
            <v>BR_CNPJ</v>
          </cell>
          <cell r="F1741" t="str">
            <v>59.765.255/0001-98</v>
          </cell>
        </row>
        <row r="1742">
          <cell r="A1742">
            <v>30703</v>
          </cell>
          <cell r="B1742" t="str">
            <v>CORPORATION</v>
          </cell>
          <cell r="C1742" t="str">
            <v>Sylvio Semeghini Filho Comercio Eireli - Epp</v>
          </cell>
          <cell r="D1742" t="str">
            <v>Casa Do Lavrador</v>
          </cell>
          <cell r="E1742" t="str">
            <v>BR_CNPJ</v>
          </cell>
          <cell r="F1742" t="str">
            <v>52.770.922/0001-81</v>
          </cell>
        </row>
        <row r="1743">
          <cell r="A1743">
            <v>30706</v>
          </cell>
          <cell r="B1743" t="str">
            <v>CORPORATION</v>
          </cell>
          <cell r="C1743" t="str">
            <v>Amaro Center Materiais Para Construcao Ltda - Epp</v>
          </cell>
          <cell r="D1743" t="str">
            <v>Amaro Center</v>
          </cell>
          <cell r="E1743" t="str">
            <v>BR_CNPJ</v>
          </cell>
          <cell r="F1743" t="str">
            <v>00.396.146/0001-06</v>
          </cell>
        </row>
        <row r="1744">
          <cell r="A1744">
            <v>30710</v>
          </cell>
          <cell r="B1744" t="str">
            <v>CORPORATION</v>
          </cell>
          <cell r="C1744" t="str">
            <v>Todas Ferramentas - Comercio, Servicos E Locacoes Ltda - Me</v>
          </cell>
          <cell r="D1744" t="str">
            <v>Todas Ferramentas</v>
          </cell>
          <cell r="E1744" t="str">
            <v>BR_CNPJ</v>
          </cell>
          <cell r="F1744" t="str">
            <v>09.320.602/0001-09</v>
          </cell>
        </row>
        <row r="1745">
          <cell r="A1745">
            <v>30712</v>
          </cell>
          <cell r="B1745" t="str">
            <v>CORPORATION</v>
          </cell>
          <cell r="C1745" t="str">
            <v>Joao Batista Ledier-Bom Jesus Dos Perdoes - Epp</v>
          </cell>
          <cell r="D1745" t="str">
            <v>Deposito Do Joaozinho</v>
          </cell>
          <cell r="E1745" t="str">
            <v>BR_CNPJ</v>
          </cell>
          <cell r="F1745" t="str">
            <v>67.392.308/0001-09</v>
          </cell>
        </row>
        <row r="1746">
          <cell r="A1746">
            <v>30713</v>
          </cell>
          <cell r="B1746" t="str">
            <v>CORPORATION</v>
          </cell>
          <cell r="C1746" t="str">
            <v>A Bitencourt Comercio De Ferragens Ltda</v>
          </cell>
          <cell r="D1746" t="str">
            <v>Casa Dos Parafusos</v>
          </cell>
          <cell r="E1746" t="str">
            <v>BR_CNPJ</v>
          </cell>
          <cell r="F1746" t="str">
            <v>75.104.406/0006-28</v>
          </cell>
          <cell r="G1746" t="str">
            <v>BITENCOURT</v>
          </cell>
        </row>
        <row r="1747">
          <cell r="A1747">
            <v>30716</v>
          </cell>
          <cell r="B1747" t="str">
            <v>CORPORATION</v>
          </cell>
          <cell r="C1747" t="str">
            <v>Fabio Ferrarini De Souza Comercio De Auto Pecas</v>
          </cell>
          <cell r="D1747" t="str">
            <v>Souza Parafusos</v>
          </cell>
          <cell r="E1747" t="str">
            <v>BR_CNPJ</v>
          </cell>
          <cell r="F1747" t="str">
            <v>05.161.557/0001-28</v>
          </cell>
        </row>
        <row r="1748">
          <cell r="A1748">
            <v>30718</v>
          </cell>
          <cell r="B1748" t="str">
            <v>CORPORATION</v>
          </cell>
          <cell r="C1748" t="str">
            <v>Fabio P. M. P. De Toledo Taubate - Me</v>
          </cell>
          <cell r="D1748" t="str">
            <v>Casa Das Ferramentas</v>
          </cell>
          <cell r="E1748" t="str">
            <v>BR_CNPJ</v>
          </cell>
          <cell r="F1748" t="str">
            <v>04.758.982/0001-36</v>
          </cell>
        </row>
        <row r="1749">
          <cell r="A1749">
            <v>30721</v>
          </cell>
          <cell r="B1749" t="str">
            <v>CORPORATION</v>
          </cell>
          <cell r="C1749" t="str">
            <v>Potenza Celano - Ferramentas Ltda</v>
          </cell>
          <cell r="D1749" t="str">
            <v>Potenza Celano</v>
          </cell>
          <cell r="E1749" t="str">
            <v>BR_CNPJ</v>
          </cell>
          <cell r="F1749" t="str">
            <v>60.165.578/0001-20</v>
          </cell>
        </row>
        <row r="1750">
          <cell r="A1750">
            <v>30725</v>
          </cell>
          <cell r="B1750" t="str">
            <v>CORPORATION</v>
          </cell>
          <cell r="C1750" t="str">
            <v>Mizuta Hisashi Maquinas E Ferramentas Ltda - Epp</v>
          </cell>
          <cell r="D1750" t="str">
            <v>Mizuta Hisashi Maquinas E Ferramentas</v>
          </cell>
          <cell r="E1750" t="str">
            <v>BR_CNPJ</v>
          </cell>
          <cell r="F1750" t="str">
            <v>72.283.807/0001-90</v>
          </cell>
        </row>
        <row r="1751">
          <cell r="A1751">
            <v>30727</v>
          </cell>
          <cell r="B1751" t="str">
            <v>CORPORATION</v>
          </cell>
          <cell r="C1751" t="str">
            <v>Lhp Comercio De Ferramentas Industriais Ltda</v>
          </cell>
          <cell r="D1751" t="str">
            <v>Lhp Comercio De Ferramentas Industriais</v>
          </cell>
          <cell r="E1751" t="str">
            <v>BR_CNPJ</v>
          </cell>
          <cell r="F1751" t="str">
            <v>50.710.976/0001-26</v>
          </cell>
        </row>
        <row r="1752">
          <cell r="A1752">
            <v>30728</v>
          </cell>
          <cell r="B1752" t="str">
            <v>CORPORATION</v>
          </cell>
          <cell r="C1752" t="str">
            <v>Braz &amp; Braz Material Eletrico Ltda - Me</v>
          </cell>
          <cell r="D1752" t="str">
            <v>Gtf Comercial</v>
          </cell>
          <cell r="E1752" t="str">
            <v>BR_CNPJ</v>
          </cell>
          <cell r="F1752" t="str">
            <v>06.119.078/0001-06</v>
          </cell>
        </row>
        <row r="1753">
          <cell r="A1753">
            <v>30730</v>
          </cell>
          <cell r="B1753" t="str">
            <v>CORPORATION</v>
          </cell>
          <cell r="C1753" t="str">
            <v>Supriatna Tanusady - Me</v>
          </cell>
          <cell r="D1753" t="str">
            <v>Ferragens Vitoria</v>
          </cell>
          <cell r="E1753" t="str">
            <v>BR_CNPJ</v>
          </cell>
          <cell r="F1753" t="str">
            <v>03.356.440/0001-74</v>
          </cell>
        </row>
        <row r="1754">
          <cell r="A1754">
            <v>30732</v>
          </cell>
          <cell r="B1754" t="str">
            <v>CORPORATION</v>
          </cell>
          <cell r="C1754" t="str">
            <v>Wm Soldas Ltda</v>
          </cell>
          <cell r="D1754" t="str">
            <v>Wm Soldas</v>
          </cell>
          <cell r="E1754" t="str">
            <v>BR_CNPJ</v>
          </cell>
          <cell r="F1754" t="str">
            <v>13.126.582/0001-07</v>
          </cell>
        </row>
        <row r="1755">
          <cell r="A1755">
            <v>30737</v>
          </cell>
          <cell r="B1755" t="str">
            <v>CORPORATION</v>
          </cell>
          <cell r="C1755" t="str">
            <v>Jorge Foroni Simoes Ferragens - Me</v>
          </cell>
          <cell r="D1755" t="str">
            <v>Comercial Simoes</v>
          </cell>
          <cell r="E1755" t="str">
            <v>BR_CNPJ</v>
          </cell>
          <cell r="F1755" t="str">
            <v>04.294.176/0001-54</v>
          </cell>
        </row>
        <row r="1756">
          <cell r="A1756">
            <v>30739</v>
          </cell>
          <cell r="B1756" t="str">
            <v>CORPORATION</v>
          </cell>
          <cell r="C1756" t="str">
            <v>Glaucio Ramirez De Seabra - Me</v>
          </cell>
          <cell r="D1756" t="str">
            <v>A Renovadora</v>
          </cell>
          <cell r="E1756" t="str">
            <v>BR_CNPJ</v>
          </cell>
          <cell r="F1756" t="str">
            <v>57.150.625/0001-57</v>
          </cell>
        </row>
        <row r="1757">
          <cell r="A1757">
            <v>30742</v>
          </cell>
          <cell r="B1757" t="str">
            <v>CORPORATION</v>
          </cell>
          <cell r="C1757" t="str">
            <v>Freitas Ferragens E Ferramentas Ltda - Me</v>
          </cell>
          <cell r="D1757" t="str">
            <v>J B Freitas</v>
          </cell>
          <cell r="E1757" t="str">
            <v>BR_CNPJ</v>
          </cell>
          <cell r="F1757" t="str">
            <v>09.595.998/0001-99</v>
          </cell>
        </row>
        <row r="1758">
          <cell r="A1758">
            <v>30745</v>
          </cell>
          <cell r="B1758" t="str">
            <v>CORPORATION</v>
          </cell>
          <cell r="C1758" t="str">
            <v>A.L. Comercio De Maquinas Agricolas Ltda - Me</v>
          </cell>
          <cell r="D1758" t="str">
            <v>Pagotti Agricola</v>
          </cell>
          <cell r="E1758" t="str">
            <v>BR_CNPJ</v>
          </cell>
          <cell r="F1758" t="str">
            <v>11.988.872/0001-26</v>
          </cell>
        </row>
        <row r="1759">
          <cell r="A1759">
            <v>30750</v>
          </cell>
          <cell r="B1759" t="str">
            <v>CORPORATION</v>
          </cell>
          <cell r="C1759" t="str">
            <v>Santos &amp; Lopes Comercio De Maquinas Agricolas Ltda Me</v>
          </cell>
          <cell r="D1759" t="str">
            <v>Santos &amp; Lopes</v>
          </cell>
          <cell r="E1759" t="str">
            <v>BR_CNPJ</v>
          </cell>
          <cell r="F1759" t="str">
            <v>06.310.010/0001-00</v>
          </cell>
        </row>
        <row r="1760">
          <cell r="A1760">
            <v>30753</v>
          </cell>
          <cell r="B1760" t="str">
            <v>CORPORATION</v>
          </cell>
          <cell r="C1760" t="str">
            <v>A Industrial Ferramentas Automotiva E Industrial Ltda</v>
          </cell>
          <cell r="D1760" t="str">
            <v>A Industrial Ferramentas</v>
          </cell>
          <cell r="E1760" t="str">
            <v>BR_CNPJ</v>
          </cell>
          <cell r="F1760" t="str">
            <v>09.088.753/0001-75</v>
          </cell>
        </row>
        <row r="1761">
          <cell r="A1761">
            <v>30759</v>
          </cell>
          <cell r="B1761" t="str">
            <v>CORPORATION</v>
          </cell>
          <cell r="C1761" t="str">
            <v>Ana Silvia Leao Bueno Sima - Me</v>
          </cell>
          <cell r="D1761" t="str">
            <v>Minhocao M Construcao</v>
          </cell>
          <cell r="E1761" t="str">
            <v>BR_CNPJ</v>
          </cell>
          <cell r="F1761" t="str">
            <v>00.565.882/0001-32</v>
          </cell>
        </row>
        <row r="1762">
          <cell r="A1762">
            <v>30761</v>
          </cell>
          <cell r="B1762" t="str">
            <v>CORPORATION</v>
          </cell>
          <cell r="C1762" t="str">
            <v>P R G Da Silva</v>
          </cell>
          <cell r="D1762" t="str">
            <v>Casa Das Borrachas</v>
          </cell>
          <cell r="E1762" t="str">
            <v>BR_CNPJ</v>
          </cell>
          <cell r="F1762" t="str">
            <v>34.040.035/0001-76</v>
          </cell>
        </row>
        <row r="1763">
          <cell r="A1763">
            <v>30762</v>
          </cell>
          <cell r="B1763" t="str">
            <v>CORPORATION</v>
          </cell>
          <cell r="C1763" t="str">
            <v>Cofal Comercio De Ferragens E Acessorios Ltda</v>
          </cell>
          <cell r="D1763" t="str">
            <v>Cofal Comercio De Ferragens E Acessorios Ltda</v>
          </cell>
          <cell r="E1763" t="str">
            <v>BR_CNPJ</v>
          </cell>
          <cell r="F1763" t="str">
            <v>73.098.733/0001-84</v>
          </cell>
        </row>
        <row r="1764">
          <cell r="A1764">
            <v>30764</v>
          </cell>
          <cell r="B1764" t="str">
            <v>CORPORATION</v>
          </cell>
          <cell r="C1764" t="str">
            <v>Fernanda Maschetti De Paula Taborda</v>
          </cell>
          <cell r="D1764" t="str">
            <v>Fernanda Maschetti De Paula Taborda</v>
          </cell>
          <cell r="E1764" t="str">
            <v>BR_CNPJ</v>
          </cell>
          <cell r="F1764" t="str">
            <v>34.688.338/0001-08</v>
          </cell>
        </row>
        <row r="1765">
          <cell r="A1765">
            <v>30765</v>
          </cell>
          <cell r="B1765" t="str">
            <v>CORPORATION</v>
          </cell>
          <cell r="C1765" t="str">
            <v>Joaquim Fonseca Da Silva Eletrica - Me</v>
          </cell>
          <cell r="D1765" t="str">
            <v>Eletrica E Hidraulica Paulista</v>
          </cell>
          <cell r="E1765" t="str">
            <v>BR_CNPJ</v>
          </cell>
          <cell r="F1765" t="str">
            <v>08.343.819/0001-63</v>
          </cell>
        </row>
        <row r="1766">
          <cell r="A1766">
            <v>30767</v>
          </cell>
          <cell r="B1766" t="str">
            <v>CORPORATION</v>
          </cell>
          <cell r="C1766" t="str">
            <v>Universo Comercio E Confeccao De Roupas E Uniformes Ltda</v>
          </cell>
          <cell r="D1766" t="str">
            <v>Universo Uniformes</v>
          </cell>
          <cell r="E1766" t="str">
            <v>BR_CNPJ</v>
          </cell>
          <cell r="F1766" t="str">
            <v>28.319.330/0001-63</v>
          </cell>
        </row>
        <row r="1767">
          <cell r="A1767">
            <v>30768</v>
          </cell>
          <cell r="B1767" t="str">
            <v>CORPORATION</v>
          </cell>
          <cell r="C1767" t="str">
            <v>Balzac Rossini Junior - Me</v>
          </cell>
          <cell r="D1767" t="str">
            <v>Casa Dos Rolamentos</v>
          </cell>
          <cell r="E1767" t="str">
            <v>BR_CNPJ</v>
          </cell>
          <cell r="F1767" t="str">
            <v>58.740.267/0001-03</v>
          </cell>
        </row>
        <row r="1768">
          <cell r="A1768">
            <v>30769</v>
          </cell>
          <cell r="B1768" t="str">
            <v>CORPORATION</v>
          </cell>
          <cell r="C1768" t="str">
            <v>Jp Buritama Ferramentas Ltda</v>
          </cell>
          <cell r="D1768" t="str">
            <v>J.P. Abrasivos</v>
          </cell>
          <cell r="E1768" t="str">
            <v>BR_CNPJ</v>
          </cell>
          <cell r="F1768" t="str">
            <v>16.586.672/0001-60</v>
          </cell>
        </row>
        <row r="1769">
          <cell r="A1769">
            <v>30771</v>
          </cell>
          <cell r="B1769" t="str">
            <v>CORPORATION</v>
          </cell>
          <cell r="C1769" t="str">
            <v>Jundipar Parafusos E Ferramentas Ltda</v>
          </cell>
          <cell r="D1769" t="str">
            <v>Jundipar Parafusos E Ferramentas Ltda</v>
          </cell>
          <cell r="E1769" t="str">
            <v>BR_CNPJ</v>
          </cell>
          <cell r="F1769" t="str">
            <v>50.975.853/0001-17</v>
          </cell>
        </row>
        <row r="1770">
          <cell r="A1770">
            <v>30774</v>
          </cell>
          <cell r="B1770" t="str">
            <v>CORPORATION</v>
          </cell>
          <cell r="C1770" t="str">
            <v>S. Ruy Ferragens - Me</v>
          </cell>
          <cell r="D1770" t="str">
            <v>S. Ruy Ferragens</v>
          </cell>
          <cell r="E1770" t="str">
            <v>BR_CNPJ</v>
          </cell>
          <cell r="F1770" t="str">
            <v>02.326.185/0001-54</v>
          </cell>
        </row>
        <row r="1771">
          <cell r="A1771">
            <v>30777</v>
          </cell>
          <cell r="B1771" t="str">
            <v>CORPORATION</v>
          </cell>
          <cell r="C1771" t="str">
            <v>Ferragens Rio Branco Ltda - Me</v>
          </cell>
          <cell r="D1771" t="str">
            <v>Ferragens Rio Branco</v>
          </cell>
          <cell r="E1771" t="str">
            <v>BR_CNPJ</v>
          </cell>
          <cell r="F1771" t="str">
            <v>25.999.079/0001-37</v>
          </cell>
        </row>
        <row r="1772">
          <cell r="A1772">
            <v>30778</v>
          </cell>
          <cell r="B1772" t="str">
            <v>CORPORATION</v>
          </cell>
          <cell r="C1772" t="str">
            <v>Tecborr Tecnologia Elastomeros Plasticos Industriais Ltda</v>
          </cell>
          <cell r="D1772" t="str">
            <v>Tecborr Tecnologia Elastomeros Plasticos Industriais Ltda</v>
          </cell>
          <cell r="E1772" t="str">
            <v>BR_CNPJ</v>
          </cell>
          <cell r="F1772" t="str">
            <v>25.484.098/0001-20</v>
          </cell>
        </row>
        <row r="1773">
          <cell r="A1773">
            <v>30779</v>
          </cell>
          <cell r="B1773" t="str">
            <v>CORPORATION</v>
          </cell>
          <cell r="C1773" t="str">
            <v>Jws Comercial De Ferragens Ltda</v>
          </cell>
          <cell r="D1773" t="str">
            <v>Jws Comercial</v>
          </cell>
          <cell r="E1773" t="str">
            <v>BR_CNPJ</v>
          </cell>
          <cell r="F1773" t="str">
            <v>21.316.574/0001-43</v>
          </cell>
        </row>
        <row r="1774">
          <cell r="A1774">
            <v>30780</v>
          </cell>
          <cell r="B1774" t="str">
            <v>CORPORATION</v>
          </cell>
          <cell r="C1774" t="str">
            <v>Proager Ltda - Me</v>
          </cell>
          <cell r="D1774" t="str">
            <v>Proager</v>
          </cell>
          <cell r="E1774" t="str">
            <v>BR_CNPJ</v>
          </cell>
          <cell r="F1774" t="str">
            <v>16.924.326/0001-45</v>
          </cell>
        </row>
        <row r="1775">
          <cell r="A1775">
            <v>30781</v>
          </cell>
          <cell r="B1775" t="str">
            <v>CORPORATION</v>
          </cell>
          <cell r="C1775" t="str">
            <v>Viegas &amp; Almeida Ltda - Me</v>
          </cell>
          <cell r="D1775" t="str">
            <v>Viegas &amp; Almeida</v>
          </cell>
          <cell r="E1775" t="str">
            <v>BR_CNPJ</v>
          </cell>
          <cell r="F1775" t="str">
            <v>08.508.016/0001-11</v>
          </cell>
        </row>
        <row r="1776">
          <cell r="A1776">
            <v>30785</v>
          </cell>
          <cell r="B1776" t="str">
            <v>CORPORATION</v>
          </cell>
          <cell r="C1776" t="str">
            <v>Plinio Pierozzi - Me</v>
          </cell>
          <cell r="D1776" t="str">
            <v>Comercial E Eletrica Pierozzi</v>
          </cell>
          <cell r="E1776" t="str">
            <v>BR_CNPJ</v>
          </cell>
          <cell r="F1776" t="str">
            <v>44.694.610/0001-08</v>
          </cell>
        </row>
        <row r="1777">
          <cell r="A1777">
            <v>30788</v>
          </cell>
          <cell r="B1777" t="str">
            <v>CORPORATION</v>
          </cell>
          <cell r="C1777" t="str">
            <v>G.O.Hidraulica E Comercio Ltda - Me</v>
          </cell>
          <cell r="D1777" t="str">
            <v>G.O.Hidraulica E Comercio</v>
          </cell>
          <cell r="E1777" t="str">
            <v>BR_CNPJ</v>
          </cell>
          <cell r="F1777" t="str">
            <v>00.285.665/0001-99</v>
          </cell>
        </row>
        <row r="1778">
          <cell r="A1778">
            <v>30792</v>
          </cell>
          <cell r="B1778" t="str">
            <v>CORPORATION</v>
          </cell>
          <cell r="C1778" t="str">
            <v>Materiais De Construcoes Alianca Ltda - Epp</v>
          </cell>
          <cell r="D1778" t="str">
            <v>Materiais De Construcoes Alianca Ltda - Epp</v>
          </cell>
          <cell r="E1778" t="str">
            <v>BR_CNPJ</v>
          </cell>
          <cell r="F1778" t="str">
            <v>45.831.096/0001-78</v>
          </cell>
        </row>
        <row r="1779">
          <cell r="A1779">
            <v>30795</v>
          </cell>
          <cell r="B1779" t="str">
            <v>CORPORATION</v>
          </cell>
          <cell r="C1779" t="str">
            <v>Maria De Lourdes De Oliveira Roma &amp; Cia.Ltda. - Epp</v>
          </cell>
          <cell r="D1779" t="str">
            <v>Roma Equipamentos Industriais</v>
          </cell>
          <cell r="E1779" t="str">
            <v>BR_CNPJ</v>
          </cell>
          <cell r="F1779" t="str">
            <v>03.575.419/0001-60</v>
          </cell>
        </row>
        <row r="1780">
          <cell r="A1780">
            <v>30796</v>
          </cell>
          <cell r="B1780" t="str">
            <v>CORPORATION</v>
          </cell>
          <cell r="C1780" t="str">
            <v>Oliveira Comercio De Maquinas E Motores Ltda</v>
          </cell>
          <cell r="D1780" t="str">
            <v>Moto Motores</v>
          </cell>
          <cell r="E1780" t="str">
            <v>BR_CNPJ</v>
          </cell>
          <cell r="F1780" t="str">
            <v>08.960.427/0001-43</v>
          </cell>
          <cell r="G1780" t="str">
            <v>MOTO MOTORES</v>
          </cell>
        </row>
        <row r="1781">
          <cell r="A1781">
            <v>30798</v>
          </cell>
          <cell r="B1781" t="str">
            <v>CORPORATION</v>
          </cell>
          <cell r="C1781" t="str">
            <v>Motortec Lubrificantes Maquinas E Motores Ltda</v>
          </cell>
          <cell r="D1781" t="str">
            <v>Motortec - Lubrificantes, Maquinas E Motores</v>
          </cell>
          <cell r="E1781" t="str">
            <v>BR_CNPJ</v>
          </cell>
          <cell r="F1781" t="str">
            <v>10.924.508/0001-30</v>
          </cell>
        </row>
        <row r="1782">
          <cell r="A1782">
            <v>30800</v>
          </cell>
          <cell r="B1782" t="str">
            <v>CORPORATION</v>
          </cell>
          <cell r="C1782" t="str">
            <v>Oliveira Motores Ltda</v>
          </cell>
          <cell r="D1782" t="str">
            <v>Moto Motores</v>
          </cell>
          <cell r="E1782" t="str">
            <v>BR_CNPJ</v>
          </cell>
          <cell r="F1782" t="str">
            <v>22.874.937/0002-00</v>
          </cell>
          <cell r="G1782" t="str">
            <v>MOTO MOTORES</v>
          </cell>
        </row>
        <row r="1783">
          <cell r="A1783">
            <v>30801</v>
          </cell>
          <cell r="B1783" t="str">
            <v>CORPORATION</v>
          </cell>
          <cell r="C1783" t="str">
            <v>Ag Bezerra Ferramentas</v>
          </cell>
          <cell r="D1783" t="str">
            <v>Primeira Ferramenta</v>
          </cell>
          <cell r="E1783" t="str">
            <v>BR_CNPJ</v>
          </cell>
          <cell r="F1783" t="str">
            <v>11.567.172/0001-68</v>
          </cell>
        </row>
        <row r="1784">
          <cell r="A1784">
            <v>30802</v>
          </cell>
          <cell r="B1784" t="str">
            <v>CORPORATION</v>
          </cell>
          <cell r="C1784" t="str">
            <v>Cordeiro Maquinas E Ferramentas Ltda</v>
          </cell>
          <cell r="D1784" t="str">
            <v>Cordeiro Maquinas E Ferramentas</v>
          </cell>
          <cell r="E1784" t="str">
            <v>BR_CNPJ</v>
          </cell>
          <cell r="F1784" t="str">
            <v>71.449.201/0001-19</v>
          </cell>
          <cell r="G1784" t="str">
            <v>CORDEIRO MÁQUINAS</v>
          </cell>
        </row>
        <row r="1785">
          <cell r="A1785">
            <v>30803</v>
          </cell>
          <cell r="B1785" t="str">
            <v>CORPORATION</v>
          </cell>
          <cell r="C1785" t="str">
            <v>Oliveira Motores Ltda</v>
          </cell>
          <cell r="D1785" t="str">
            <v>Moto Motores</v>
          </cell>
          <cell r="E1785" t="str">
            <v>BR_CNPJ</v>
          </cell>
          <cell r="F1785" t="str">
            <v>22.874.937/0001-29</v>
          </cell>
          <cell r="G1785" t="str">
            <v>MOTO MOTORES</v>
          </cell>
        </row>
        <row r="1786">
          <cell r="A1786">
            <v>30804</v>
          </cell>
          <cell r="B1786" t="str">
            <v>CORPORATION</v>
          </cell>
          <cell r="C1786" t="str">
            <v>Tecmac Comercio De Moto Serras Ltda</v>
          </cell>
          <cell r="D1786" t="str">
            <v>Tecmac</v>
          </cell>
          <cell r="E1786" t="str">
            <v>BR_CNPJ</v>
          </cell>
          <cell r="F1786" t="str">
            <v>93.809.861/0001-04</v>
          </cell>
        </row>
        <row r="1787">
          <cell r="A1787">
            <v>30806</v>
          </cell>
          <cell r="B1787" t="str">
            <v>CORPORATION</v>
          </cell>
          <cell r="C1787" t="str">
            <v>Araujo E Silva Comercio De Ferragens Ltda - Me</v>
          </cell>
          <cell r="D1787" t="str">
            <v>Comercial Ferragens ''A Casa Do Serralheiro''</v>
          </cell>
          <cell r="E1787" t="str">
            <v>BR_CNPJ</v>
          </cell>
          <cell r="F1787" t="str">
            <v>08.141.128/0001-87</v>
          </cell>
        </row>
        <row r="1788">
          <cell r="A1788">
            <v>30809</v>
          </cell>
          <cell r="B1788" t="str">
            <v>CORPORATION</v>
          </cell>
          <cell r="C1788" t="str">
            <v>Valmar - Comercio E Locaao De Edquipamentos De Solda Ltda - Me</v>
          </cell>
          <cell r="D1788" t="str">
            <v>Valmar - Comercio E Locaao De Edquipamentos De Solda</v>
          </cell>
          <cell r="E1788" t="str">
            <v>BR_CNPJ</v>
          </cell>
          <cell r="F1788" t="str">
            <v>08.263.215/0001-07</v>
          </cell>
        </row>
        <row r="1789">
          <cell r="A1789">
            <v>30812</v>
          </cell>
          <cell r="B1789" t="str">
            <v>CORPORATION</v>
          </cell>
          <cell r="C1789" t="str">
            <v>Lauriano Silva Magazine - Me</v>
          </cell>
          <cell r="D1789" t="str">
            <v>Armazem Utilidades</v>
          </cell>
          <cell r="E1789" t="str">
            <v>BR_CNPJ</v>
          </cell>
          <cell r="F1789" t="str">
            <v>11.001.372/0001-59</v>
          </cell>
        </row>
        <row r="1790">
          <cell r="A1790">
            <v>30813</v>
          </cell>
          <cell r="B1790" t="str">
            <v>CORPORATION</v>
          </cell>
          <cell r="C1790" t="str">
            <v>Vidiamil Comercio De Serras E Fresas Ltda</v>
          </cell>
          <cell r="D1790" t="str">
            <v>Vidiamil Comercio De Serras E Fresas Ltda</v>
          </cell>
          <cell r="E1790" t="str">
            <v>BR_CNPJ</v>
          </cell>
          <cell r="F1790" t="str">
            <v>07.328.936/0001-95</v>
          </cell>
        </row>
        <row r="1791">
          <cell r="A1791">
            <v>30814</v>
          </cell>
          <cell r="B1791" t="str">
            <v>CORPORATION</v>
          </cell>
          <cell r="C1791" t="str">
            <v>M. Motores Comercio De Maquinas Agricolas Ltda</v>
          </cell>
          <cell r="D1791" t="str">
            <v>Moto Motores</v>
          </cell>
          <cell r="E1791" t="str">
            <v>BR_CNPJ</v>
          </cell>
          <cell r="F1791" t="str">
            <v>27.056.739/0002-52</v>
          </cell>
          <cell r="G1791" t="str">
            <v>MOTO MOTORES</v>
          </cell>
        </row>
        <row r="1792">
          <cell r="A1792">
            <v>30815</v>
          </cell>
          <cell r="B1792" t="str">
            <v>CORPORATION</v>
          </cell>
          <cell r="C1792" t="str">
            <v>Kaimaq Ferramentas Ltda - Me</v>
          </cell>
          <cell r="D1792" t="str">
            <v>Kaimaq Ferramentas Ltda - Me</v>
          </cell>
          <cell r="E1792" t="str">
            <v>BR_CNPJ</v>
          </cell>
          <cell r="F1792" t="str">
            <v>09.450.477/0001-43</v>
          </cell>
        </row>
        <row r="1793">
          <cell r="A1793">
            <v>30816</v>
          </cell>
          <cell r="B1793" t="str">
            <v>CORPORATION</v>
          </cell>
          <cell r="C1793" t="str">
            <v>S. Nascimento Freitas</v>
          </cell>
          <cell r="D1793" t="str">
            <v>Fepe</v>
          </cell>
          <cell r="E1793" t="str">
            <v>BR_CNPJ</v>
          </cell>
          <cell r="F1793" t="str">
            <v>35.082.190/0002-07</v>
          </cell>
        </row>
        <row r="1794">
          <cell r="A1794">
            <v>30818</v>
          </cell>
          <cell r="B1794" t="str">
            <v>CORPORATION</v>
          </cell>
          <cell r="C1794" t="str">
            <v>Bertami Consultoria E Comercio Ltda-Me</v>
          </cell>
          <cell r="D1794" t="str">
            <v>Bertami Consultoria E Comercio Ltda-Me</v>
          </cell>
          <cell r="E1794" t="str">
            <v>BR_CNPJ</v>
          </cell>
          <cell r="F1794" t="str">
            <v>08.441.402/0001-33</v>
          </cell>
        </row>
        <row r="1795">
          <cell r="A1795">
            <v>30820</v>
          </cell>
          <cell r="B1795" t="str">
            <v>CORPORATION</v>
          </cell>
          <cell r="C1795" t="str">
            <v>J. Universal Comercio De Ferro E Aco Ltda - Epp</v>
          </cell>
          <cell r="D1795" t="str">
            <v>J. Universal Comercio De Ferro E Aco</v>
          </cell>
          <cell r="E1795" t="str">
            <v>BR_CNPJ</v>
          </cell>
          <cell r="F1795" t="str">
            <v>68.958.461/0001-05</v>
          </cell>
        </row>
        <row r="1796">
          <cell r="A1796">
            <v>30821</v>
          </cell>
          <cell r="B1796" t="str">
            <v>CORPORATION</v>
          </cell>
          <cell r="C1796" t="str">
            <v>Marcelo De Lima 20178877816</v>
          </cell>
          <cell r="D1796" t="str">
            <v>M D L Distribuidora</v>
          </cell>
          <cell r="E1796" t="str">
            <v>BR_CNPJ</v>
          </cell>
          <cell r="F1796" t="str">
            <v>19.984.390/0001-00</v>
          </cell>
        </row>
        <row r="1797">
          <cell r="A1797">
            <v>30825</v>
          </cell>
          <cell r="B1797" t="str">
            <v>CORPORATION</v>
          </cell>
          <cell r="C1797" t="str">
            <v>Comercial Passos Dist De Parafusos E Ferramentas Ltda - Me</v>
          </cell>
          <cell r="D1797" t="str">
            <v>Parafuso E Cia</v>
          </cell>
          <cell r="E1797" t="str">
            <v>BR_CNPJ</v>
          </cell>
          <cell r="F1797" t="str">
            <v>41.817.370/0001-01</v>
          </cell>
        </row>
        <row r="1798">
          <cell r="A1798">
            <v>30827</v>
          </cell>
          <cell r="B1798" t="str">
            <v>CORPORATION</v>
          </cell>
          <cell r="C1798" t="str">
            <v>Sousa Comercio De Ferragens E Ferramentas Ltda</v>
          </cell>
          <cell r="D1798" t="str">
            <v>Ferragista Vitoria</v>
          </cell>
          <cell r="E1798" t="str">
            <v>BR_CNPJ</v>
          </cell>
          <cell r="F1798" t="str">
            <v>33.485.023/0001-92</v>
          </cell>
        </row>
        <row r="1799">
          <cell r="A1799">
            <v>30828</v>
          </cell>
          <cell r="B1799" t="str">
            <v>CORPORATION</v>
          </cell>
          <cell r="C1799" t="str">
            <v>Paula Delorenzo Nardi Jorge - Cpf 524.191.776-49 - Me</v>
          </cell>
          <cell r="D1799" t="str">
            <v>Hyban Atacadista</v>
          </cell>
          <cell r="E1799" t="str">
            <v>BR_CNPJ</v>
          </cell>
          <cell r="F1799" t="str">
            <v>07.821.461/0001-74</v>
          </cell>
        </row>
        <row r="1800">
          <cell r="A1800">
            <v>30831</v>
          </cell>
          <cell r="B1800" t="str">
            <v>CORPORATION</v>
          </cell>
          <cell r="C1800" t="str">
            <v>Piumhy Maquinas Agricolas Ltda - Me</v>
          </cell>
          <cell r="D1800" t="str">
            <v>Piumhy Maquinas Agricolas</v>
          </cell>
          <cell r="E1800" t="str">
            <v>BR_CNPJ</v>
          </cell>
          <cell r="F1800" t="str">
            <v>17.322.868/0001-00</v>
          </cell>
        </row>
        <row r="1801">
          <cell r="A1801">
            <v>30834</v>
          </cell>
          <cell r="B1801" t="str">
            <v>CORPORATION</v>
          </cell>
          <cell r="C1801" t="str">
            <v>Ferragens Veneza Ltda - Me</v>
          </cell>
          <cell r="D1801" t="str">
            <v>Ferragens Veneza</v>
          </cell>
          <cell r="E1801" t="str">
            <v>BR_CNPJ</v>
          </cell>
          <cell r="F1801" t="str">
            <v>03.285.153/0001-10</v>
          </cell>
        </row>
        <row r="1802">
          <cell r="A1802">
            <v>30836</v>
          </cell>
          <cell r="B1802" t="str">
            <v>CORPORATION</v>
          </cell>
          <cell r="C1802" t="str">
            <v>Rj Imports Comercio De Pecas Ltda</v>
          </cell>
          <cell r="D1802" t="str">
            <v>Rj Imports</v>
          </cell>
          <cell r="E1802" t="str">
            <v>BR_CNPJ</v>
          </cell>
          <cell r="F1802" t="str">
            <v>10.929.707/0001-30</v>
          </cell>
        </row>
        <row r="1803">
          <cell r="A1803">
            <v>30837</v>
          </cell>
          <cell r="B1803" t="str">
            <v>CORPORATION</v>
          </cell>
          <cell r="C1803" t="str">
            <v>A Turbo Maquinas E Ferramentas Ltda - Me</v>
          </cell>
          <cell r="D1803" t="str">
            <v>Minas Multimaquinas</v>
          </cell>
          <cell r="E1803" t="str">
            <v>BR_CNPJ</v>
          </cell>
          <cell r="F1803" t="str">
            <v>05.276.582/0001-57</v>
          </cell>
        </row>
        <row r="1804">
          <cell r="A1804">
            <v>30840</v>
          </cell>
          <cell r="B1804" t="str">
            <v>CORPORATION</v>
          </cell>
          <cell r="C1804" t="str">
            <v>Acos Nobre Industria E Comercio Ltda - Epp</v>
          </cell>
          <cell r="D1804" t="str">
            <v>Nobre Parafusos</v>
          </cell>
          <cell r="E1804" t="str">
            <v>BR_CNPJ</v>
          </cell>
          <cell r="F1804" t="str">
            <v>03.774.618/0001-05</v>
          </cell>
        </row>
        <row r="1805">
          <cell r="A1805">
            <v>30841</v>
          </cell>
          <cell r="B1805" t="str">
            <v>CORPORATION</v>
          </cell>
          <cell r="C1805" t="str">
            <v>Sachet Tecnologia Em Automacao E Robotica Ltda</v>
          </cell>
          <cell r="D1805" t="str">
            <v>Sachet Tecnologia Em Automacao E Robotica Ltda</v>
          </cell>
          <cell r="E1805" t="str">
            <v>BR_CNPJ</v>
          </cell>
          <cell r="F1805" t="str">
            <v>02.095.629/0001-98</v>
          </cell>
        </row>
        <row r="1806">
          <cell r="A1806">
            <v>30843</v>
          </cell>
          <cell r="B1806" t="str">
            <v>CORPORATION</v>
          </cell>
          <cell r="C1806" t="str">
            <v>Silmaquinas Comercial Ltda</v>
          </cell>
          <cell r="D1806" t="str">
            <v>Silmaquinas Comercial Ltda</v>
          </cell>
          <cell r="E1806" t="str">
            <v>BR_CNPJ</v>
          </cell>
          <cell r="F1806" t="str">
            <v>06.298.222/0001-19</v>
          </cell>
        </row>
        <row r="1807">
          <cell r="A1807">
            <v>30844</v>
          </cell>
          <cell r="B1807" t="str">
            <v>CORPORATION</v>
          </cell>
          <cell r="C1807" t="str">
            <v>Motoman Robotica Do Brasil Ltda.</v>
          </cell>
          <cell r="D1807" t="str">
            <v>Motoman Robotica Do Brasil</v>
          </cell>
          <cell r="E1807" t="str">
            <v>BR_CNPJ</v>
          </cell>
          <cell r="F1807" t="str">
            <v>08.515.495/0001-01</v>
          </cell>
        </row>
        <row r="1808">
          <cell r="A1808">
            <v>30845</v>
          </cell>
          <cell r="B1808" t="str">
            <v>CORPORATION</v>
          </cell>
          <cell r="C1808" t="str">
            <v>Aline Aparecida Silva De Faria</v>
          </cell>
          <cell r="D1808" t="str">
            <v>Rf Ferragens</v>
          </cell>
          <cell r="E1808" t="str">
            <v>BR_CNPJ</v>
          </cell>
          <cell r="F1808" t="str">
            <v>26.153.350/0001-81</v>
          </cell>
        </row>
        <row r="1809">
          <cell r="A1809">
            <v>30846</v>
          </cell>
          <cell r="B1809" t="str">
            <v>CORPORATION</v>
          </cell>
          <cell r="C1809" t="str">
            <v>Briman Mult Equipamentos Ltda - Me</v>
          </cell>
          <cell r="D1809" t="str">
            <v>Briman Mult Equipamentos</v>
          </cell>
          <cell r="E1809" t="str">
            <v>BR_CNPJ</v>
          </cell>
          <cell r="F1809" t="str">
            <v>10.772.285/0001-32</v>
          </cell>
        </row>
        <row r="1810">
          <cell r="A1810">
            <v>30848</v>
          </cell>
          <cell r="B1810" t="str">
            <v>CORPORATION</v>
          </cell>
          <cell r="C1810" t="str">
            <v>Comercial De Bombas E Motores Ltda</v>
          </cell>
          <cell r="D1810" t="str">
            <v>Paraiso Das Bombas</v>
          </cell>
          <cell r="E1810" t="str">
            <v>BR_CNPJ</v>
          </cell>
          <cell r="F1810" t="str">
            <v>00.057.359/0001-03</v>
          </cell>
        </row>
        <row r="1811">
          <cell r="A1811">
            <v>30851</v>
          </cell>
          <cell r="B1811" t="str">
            <v>CORPORATION</v>
          </cell>
          <cell r="C1811" t="str">
            <v>Montana Equipamentos De Protecao Individual E Coletivo Ltda</v>
          </cell>
          <cell r="D1811" t="str">
            <v>Montana</v>
          </cell>
          <cell r="E1811" t="str">
            <v>BR_CNPJ</v>
          </cell>
          <cell r="F1811" t="str">
            <v>35.099.251/0001-50</v>
          </cell>
        </row>
        <row r="1812">
          <cell r="A1812">
            <v>30853</v>
          </cell>
          <cell r="B1812" t="str">
            <v>CORPORATION</v>
          </cell>
          <cell r="C1812" t="str">
            <v>Tks Industria E Comercio De Ferro E Aco Eireli - Epp</v>
          </cell>
          <cell r="D1812" t="str">
            <v>Tks Industria E Comercio De Ferro E Aco</v>
          </cell>
          <cell r="E1812" t="str">
            <v>BR_CNPJ</v>
          </cell>
          <cell r="F1812" t="str">
            <v>41.732.637/0001-50</v>
          </cell>
        </row>
        <row r="1813">
          <cell r="A1813">
            <v>30855</v>
          </cell>
          <cell r="B1813" t="str">
            <v>CORPORATION</v>
          </cell>
          <cell r="C1813" t="str">
            <v>Jesuel Gerez Miguel Bauru - Me</v>
          </cell>
          <cell r="D1813" t="str">
            <v>Ferramentas Bauru</v>
          </cell>
          <cell r="E1813" t="str">
            <v>BR_CNPJ</v>
          </cell>
          <cell r="F1813" t="str">
            <v>01.786.769/0001-40</v>
          </cell>
        </row>
        <row r="1814">
          <cell r="A1814">
            <v>30856</v>
          </cell>
          <cell r="B1814" t="str">
            <v>CORPORATION</v>
          </cell>
          <cell r="C1814" t="str">
            <v>Maria Amalia Chuchelski Comercio De Ferros Ltda</v>
          </cell>
          <cell r="D1814" t="str">
            <v>Maria Amalia Chuchelski</v>
          </cell>
          <cell r="E1814" t="str">
            <v>BR_CNPJ</v>
          </cell>
          <cell r="F1814" t="str">
            <v>09.061.462/0001-93</v>
          </cell>
        </row>
        <row r="1815">
          <cell r="A1815">
            <v>30858</v>
          </cell>
          <cell r="B1815" t="str">
            <v>CORPORATION</v>
          </cell>
          <cell r="C1815" t="str">
            <v>Comercial Parafusos Acedo Ltda - Epp</v>
          </cell>
          <cell r="D1815" t="str">
            <v>Comercial Parafusos Acedo</v>
          </cell>
          <cell r="E1815" t="str">
            <v>BR_CNPJ</v>
          </cell>
          <cell r="F1815" t="str">
            <v>58.523.119/0001-29</v>
          </cell>
        </row>
        <row r="1816">
          <cell r="A1816">
            <v>30861</v>
          </cell>
          <cell r="B1816" t="str">
            <v>CORPORATION</v>
          </cell>
          <cell r="C1816" t="str">
            <v>M S Feijo Gomes - Me</v>
          </cell>
          <cell r="D1816" t="str">
            <v>Parafix</v>
          </cell>
          <cell r="E1816" t="str">
            <v>BR_CNPJ</v>
          </cell>
          <cell r="F1816" t="str">
            <v>00.656.005/0001-77</v>
          </cell>
        </row>
        <row r="1817">
          <cell r="A1817">
            <v>30867</v>
          </cell>
          <cell r="B1817" t="str">
            <v>CORPORATION</v>
          </cell>
          <cell r="C1817" t="str">
            <v>S. Ramos &amp; Filhos Ltda - Epp</v>
          </cell>
          <cell r="D1817" t="str">
            <v>Ultramaq</v>
          </cell>
          <cell r="E1817" t="str">
            <v>BR_CNPJ</v>
          </cell>
          <cell r="F1817" t="str">
            <v>57.573.693/0001-29</v>
          </cell>
        </row>
        <row r="1818">
          <cell r="A1818">
            <v>30869</v>
          </cell>
          <cell r="B1818" t="str">
            <v>CORPORATION</v>
          </cell>
          <cell r="C1818" t="str">
            <v>R. J. Trevisan Comercio</v>
          </cell>
          <cell r="D1818" t="str">
            <v>Rjt Variedades</v>
          </cell>
          <cell r="E1818" t="str">
            <v>BR_CNPJ</v>
          </cell>
          <cell r="F1818" t="str">
            <v>41.542.746/0001-04</v>
          </cell>
        </row>
        <row r="1819">
          <cell r="A1819">
            <v>30870</v>
          </cell>
          <cell r="B1819" t="str">
            <v>CORPORATION</v>
          </cell>
          <cell r="C1819" t="str">
            <v>Flavio Correia Maia - Me</v>
          </cell>
          <cell r="D1819" t="str">
            <v>Opcao Equipamentos Para Oficinas</v>
          </cell>
          <cell r="E1819" t="str">
            <v>BR_CNPJ</v>
          </cell>
          <cell r="F1819" t="str">
            <v>10.524.993/0001-54</v>
          </cell>
        </row>
        <row r="1820">
          <cell r="A1820">
            <v>30873</v>
          </cell>
          <cell r="B1820" t="str">
            <v>CORPORATION</v>
          </cell>
          <cell r="C1820" t="str">
            <v>Mercadao Da Chapa Ltda - Me</v>
          </cell>
          <cell r="D1820" t="str">
            <v>Mercadao Da Chapa</v>
          </cell>
          <cell r="E1820" t="str">
            <v>BR_CNPJ</v>
          </cell>
          <cell r="F1820" t="str">
            <v>12.357.122/0001-19</v>
          </cell>
          <cell r="G1820" t="str">
            <v>MERCADAO DA CHAPA</v>
          </cell>
        </row>
        <row r="1821">
          <cell r="A1821">
            <v>30876</v>
          </cell>
          <cell r="B1821" t="str">
            <v>CORPORATION</v>
          </cell>
          <cell r="C1821" t="str">
            <v>Sabadin E Irmao Ltda</v>
          </cell>
          <cell r="D1821" t="str">
            <v>Calhas Sabadin</v>
          </cell>
          <cell r="E1821" t="str">
            <v>BR_CNPJ</v>
          </cell>
          <cell r="F1821" t="str">
            <v>02.296.404/0001-08</v>
          </cell>
        </row>
        <row r="1822">
          <cell r="A1822">
            <v>30880</v>
          </cell>
          <cell r="B1822" t="str">
            <v>CORPORATION</v>
          </cell>
          <cell r="C1822" t="str">
            <v>Gustavo Bucci Gimenes</v>
          </cell>
          <cell r="D1822" t="str">
            <v>Cyber Epi</v>
          </cell>
          <cell r="E1822" t="str">
            <v>BR_CNPJ</v>
          </cell>
          <cell r="F1822" t="str">
            <v>47.049.885/0001-87</v>
          </cell>
        </row>
        <row r="1823">
          <cell r="A1823">
            <v>30881</v>
          </cell>
          <cell r="B1823" t="str">
            <v>CORPORATION</v>
          </cell>
          <cell r="C1823" t="str">
            <v>Disgal Distribuidora De Gases Aracaju Ltda</v>
          </cell>
          <cell r="D1823" t="str">
            <v>Disgal</v>
          </cell>
          <cell r="E1823" t="str">
            <v>BR_CNPJ</v>
          </cell>
          <cell r="F1823" t="str">
            <v>32.732.679/0001-08</v>
          </cell>
        </row>
        <row r="1824">
          <cell r="A1824">
            <v>30884</v>
          </cell>
          <cell r="B1824" t="str">
            <v>CORPORATION</v>
          </cell>
          <cell r="C1824" t="str">
            <v>Elcio Valmir Tulio &amp; Cia Ltda - Epp</v>
          </cell>
          <cell r="D1824" t="str">
            <v>Santa Felicidade Materiais De Construcao</v>
          </cell>
          <cell r="E1824" t="str">
            <v>BR_CNPJ</v>
          </cell>
          <cell r="F1824" t="str">
            <v>95.365.680/0001-53</v>
          </cell>
        </row>
        <row r="1825">
          <cell r="A1825">
            <v>30887</v>
          </cell>
          <cell r="B1825" t="str">
            <v>CORPORATION</v>
          </cell>
          <cell r="C1825" t="str">
            <v>Saraiva Comercio Automotivo Ltda Me</v>
          </cell>
          <cell r="D1825" t="str">
            <v>Saraiva Comercio Automotivo Ltda Me</v>
          </cell>
          <cell r="E1825" t="str">
            <v>BR_CNPJ</v>
          </cell>
          <cell r="F1825" t="str">
            <v>11.007.707/0001-46</v>
          </cell>
        </row>
        <row r="1826">
          <cell r="A1826">
            <v>30889</v>
          </cell>
          <cell r="B1826" t="str">
            <v>CORPORATION</v>
          </cell>
          <cell r="C1826" t="str">
            <v>V L Da Costa Junior</v>
          </cell>
          <cell r="D1826" t="str">
            <v>Fv Servicos E Manutencao</v>
          </cell>
          <cell r="E1826" t="str">
            <v>BR_CNPJ</v>
          </cell>
          <cell r="F1826" t="str">
            <v>41.070.474/0001-97</v>
          </cell>
        </row>
        <row r="1827">
          <cell r="A1827">
            <v>30890</v>
          </cell>
          <cell r="B1827" t="str">
            <v>CORPORATION</v>
          </cell>
          <cell r="C1827" t="str">
            <v>Mult Fix Comercio De Parafusos Ltda - Epp</v>
          </cell>
          <cell r="D1827" t="str">
            <v>Mult Fix Comercio De Parafusos</v>
          </cell>
          <cell r="E1827" t="str">
            <v>BR_CNPJ</v>
          </cell>
          <cell r="F1827" t="str">
            <v>64.860.471/0001-52</v>
          </cell>
        </row>
        <row r="1828">
          <cell r="A1828">
            <v>30892</v>
          </cell>
          <cell r="B1828" t="str">
            <v>CORPORATION</v>
          </cell>
          <cell r="C1828" t="str">
            <v>Casa &amp; Construcao Bernardi Ltda - Epp</v>
          </cell>
          <cell r="D1828" t="str">
            <v>Casa &amp; Construcao Bernardi</v>
          </cell>
          <cell r="E1828" t="str">
            <v>BR_CNPJ</v>
          </cell>
          <cell r="F1828" t="str">
            <v>50.088.244/0001-46</v>
          </cell>
        </row>
        <row r="1829">
          <cell r="A1829">
            <v>30895</v>
          </cell>
          <cell r="B1829" t="str">
            <v>CORPORATION</v>
          </cell>
          <cell r="C1829" t="str">
            <v>Seguranca Total Multivariedades Ltda - Me</v>
          </cell>
          <cell r="D1829" t="str">
            <v>Seguranca Total Multivariedades Ltda - Me</v>
          </cell>
          <cell r="E1829" t="str">
            <v>BR_CNPJ</v>
          </cell>
          <cell r="F1829" t="str">
            <v>05.999.074/0001-05</v>
          </cell>
        </row>
        <row r="1830">
          <cell r="A1830">
            <v>30897</v>
          </cell>
          <cell r="B1830" t="str">
            <v>CORPORATION</v>
          </cell>
          <cell r="C1830" t="str">
            <v>Ayoub Comercio De Ferramentas Ltda - Epp</v>
          </cell>
          <cell r="D1830" t="str">
            <v>Imperial Ferramentas</v>
          </cell>
          <cell r="E1830" t="str">
            <v>BR_CNPJ</v>
          </cell>
          <cell r="F1830" t="str">
            <v>00.984.118/0001-00</v>
          </cell>
        </row>
        <row r="1831">
          <cell r="A1831">
            <v>30900</v>
          </cell>
          <cell r="B1831" t="str">
            <v>CORPORATION</v>
          </cell>
          <cell r="C1831" t="str">
            <v>Luciana Manara Bruno</v>
          </cell>
          <cell r="D1831" t="str">
            <v>Luciana Manara Bruno</v>
          </cell>
          <cell r="E1831" t="str">
            <v>BR_CNPJ</v>
          </cell>
          <cell r="F1831" t="str">
            <v>00.985.708/0001-49</v>
          </cell>
        </row>
        <row r="1832">
          <cell r="A1832">
            <v>30903</v>
          </cell>
          <cell r="B1832" t="str">
            <v>CORPORATION</v>
          </cell>
          <cell r="C1832" t="str">
            <v>Comercial Eletrica Brandao Ltda - Me</v>
          </cell>
          <cell r="D1832" t="str">
            <v>Comercial Eletrica Brandao Ltda</v>
          </cell>
          <cell r="E1832" t="str">
            <v>BR_CNPJ</v>
          </cell>
          <cell r="F1832" t="str">
            <v>61.350.765/0001-46</v>
          </cell>
        </row>
        <row r="1833">
          <cell r="A1833">
            <v>30906</v>
          </cell>
          <cell r="B1833" t="str">
            <v>CORPORATION</v>
          </cell>
          <cell r="C1833" t="str">
            <v>Alfa Fix Comercial Ltda. - Epp</v>
          </cell>
          <cell r="D1833" t="str">
            <v>Alfa Fix Comercial Ltda</v>
          </cell>
          <cell r="E1833" t="str">
            <v>BR_CNPJ</v>
          </cell>
          <cell r="F1833" t="str">
            <v>09.497.291/0001-40</v>
          </cell>
        </row>
        <row r="1834">
          <cell r="A1834">
            <v>30907</v>
          </cell>
          <cell r="B1834" t="str">
            <v>CORPORATION</v>
          </cell>
          <cell r="C1834" t="str">
            <v>Comercial Mix Offshore Ltda</v>
          </cell>
          <cell r="D1834" t="str">
            <v>Comercial Mix Offshore Ltda</v>
          </cell>
          <cell r="E1834" t="str">
            <v>BR_CNPJ</v>
          </cell>
          <cell r="F1834" t="str">
            <v>17.423.026/0001-45</v>
          </cell>
          <cell r="G1834" t="str">
            <v>FERRAGENS AVENIDA</v>
          </cell>
        </row>
        <row r="1835">
          <cell r="A1835">
            <v>30909</v>
          </cell>
          <cell r="B1835" t="str">
            <v>CORPORATION</v>
          </cell>
          <cell r="C1835" t="str">
            <v>Bonafer Ferragens E Ferramentas Ltda. - Me</v>
          </cell>
          <cell r="D1835" t="str">
            <v>Casa Do Marceneiro</v>
          </cell>
          <cell r="E1835" t="str">
            <v>BR_CNPJ</v>
          </cell>
          <cell r="F1835" t="str">
            <v>08.576.203/0001-32</v>
          </cell>
        </row>
        <row r="1836">
          <cell r="A1836">
            <v>30914</v>
          </cell>
          <cell r="B1836" t="str">
            <v>CORPORATION</v>
          </cell>
          <cell r="C1836" t="str">
            <v>Al Ferragista E Materiais De Construcao Ltda</v>
          </cell>
          <cell r="D1836" t="str">
            <v>A&amp;L Ferragista</v>
          </cell>
          <cell r="E1836" t="str">
            <v>BR_CNPJ</v>
          </cell>
          <cell r="F1836" t="str">
            <v>26.605.714/0001-17</v>
          </cell>
        </row>
        <row r="1837">
          <cell r="A1837">
            <v>30916</v>
          </cell>
          <cell r="B1837" t="str">
            <v>CORPORATION</v>
          </cell>
          <cell r="C1837" t="str">
            <v>Grandefix Comercial Ltda - Me</v>
          </cell>
          <cell r="D1837" t="str">
            <v>Grandefix Comercial Ltda - Me</v>
          </cell>
          <cell r="E1837" t="str">
            <v>BR_CNPJ</v>
          </cell>
          <cell r="F1837" t="str">
            <v>03.795.691/0001-55</v>
          </cell>
        </row>
        <row r="1838">
          <cell r="A1838">
            <v>30918</v>
          </cell>
          <cell r="B1838" t="str">
            <v>CORPORATION</v>
          </cell>
          <cell r="C1838" t="str">
            <v>Nataltem Maquinas E Ferramentas Ltda</v>
          </cell>
          <cell r="D1838" t="str">
            <v>Natal Tem</v>
          </cell>
          <cell r="E1838" t="str">
            <v>BR_CNPJ</v>
          </cell>
          <cell r="F1838" t="str">
            <v>34.906.287/0001-35</v>
          </cell>
        </row>
        <row r="1839">
          <cell r="A1839">
            <v>30919</v>
          </cell>
          <cell r="B1839" t="str">
            <v>CORPORATION</v>
          </cell>
          <cell r="C1839" t="str">
            <v>Eletroagua Comercial De Bombas E Pecas Ltda - Me</v>
          </cell>
          <cell r="D1839" t="str">
            <v>Eletroagua Comercial De Bombas E Pecas Ltda - Me</v>
          </cell>
          <cell r="E1839" t="str">
            <v>BR_CNPJ</v>
          </cell>
          <cell r="F1839" t="str">
            <v>00.534.896/0001-99</v>
          </cell>
        </row>
        <row r="1840">
          <cell r="A1840">
            <v>30921</v>
          </cell>
          <cell r="B1840" t="str">
            <v>CORPORATION</v>
          </cell>
          <cell r="C1840" t="str">
            <v>Cema Comercio Ltda - Me</v>
          </cell>
          <cell r="D1840" t="str">
            <v>Cema</v>
          </cell>
          <cell r="E1840" t="str">
            <v>BR_CNPJ</v>
          </cell>
          <cell r="F1840" t="str">
            <v>17.097.973/0001-93</v>
          </cell>
        </row>
        <row r="1841">
          <cell r="A1841">
            <v>30922</v>
          </cell>
          <cell r="B1841" t="str">
            <v>CORPORATION</v>
          </cell>
          <cell r="C1841" t="str">
            <v>M V Comercial De Gases Ltda</v>
          </cell>
          <cell r="D1841" t="str">
            <v>M V Gases</v>
          </cell>
          <cell r="E1841" t="str">
            <v>BR_CNPJ</v>
          </cell>
          <cell r="F1841" t="str">
            <v>02.808.881/0001-05</v>
          </cell>
        </row>
        <row r="1842">
          <cell r="A1842">
            <v>30924</v>
          </cell>
          <cell r="B1842" t="str">
            <v>CORPORATION</v>
          </cell>
          <cell r="C1842" t="str">
            <v>Somatex Ltda</v>
          </cell>
          <cell r="D1842" t="str">
            <v>Somatex Ltda</v>
          </cell>
          <cell r="E1842" t="str">
            <v>BR_CNPJ</v>
          </cell>
          <cell r="F1842" t="str">
            <v>17.183.039/0001-94</v>
          </cell>
        </row>
        <row r="1843">
          <cell r="A1843">
            <v>30928</v>
          </cell>
          <cell r="B1843" t="str">
            <v>CORPORATION</v>
          </cell>
          <cell r="C1843" t="str">
            <v>Casa Da Solda Ferramentas Maquinas E Assistencia Tecnica Ltda - Epp</v>
          </cell>
          <cell r="D1843" t="str">
            <v>Casa Da Solda</v>
          </cell>
          <cell r="E1843" t="str">
            <v>BR_CNPJ</v>
          </cell>
          <cell r="F1843" t="str">
            <v>83.116.442/0001-25</v>
          </cell>
        </row>
        <row r="1844">
          <cell r="A1844">
            <v>30929</v>
          </cell>
          <cell r="B1844" t="str">
            <v>CORPORATION</v>
          </cell>
          <cell r="C1844" t="str">
            <v>Polati &amp; Gomes Distribuidora De Perfilados Ltda</v>
          </cell>
          <cell r="D1844" t="str">
            <v>Polati Ferro E Aço</v>
          </cell>
          <cell r="E1844" t="str">
            <v>BR_CNPJ</v>
          </cell>
          <cell r="F1844" t="str">
            <v>15.757.992/0001-73</v>
          </cell>
        </row>
        <row r="1845">
          <cell r="A1845">
            <v>30931</v>
          </cell>
          <cell r="B1845" t="str">
            <v>CORPORATION</v>
          </cell>
          <cell r="C1845" t="str">
            <v>P A Da Silva Duzzi - Me</v>
          </cell>
          <cell r="D1845" t="str">
            <v>P A Comercio E Manutencao De Maquinas E Ferramentas (Brasil Ferramentas)</v>
          </cell>
          <cell r="E1845" t="str">
            <v>BR_CNPJ</v>
          </cell>
          <cell r="F1845" t="str">
            <v>13.786.004/0001-99</v>
          </cell>
        </row>
        <row r="1846">
          <cell r="A1846">
            <v>30932</v>
          </cell>
          <cell r="B1846" t="str">
            <v>CORPORATION</v>
          </cell>
          <cell r="C1846" t="str">
            <v>Cbs Comercial Brasileira De Solda Ltda</v>
          </cell>
          <cell r="D1846" t="str">
            <v>Cbs</v>
          </cell>
          <cell r="E1846" t="str">
            <v>BR_CNPJ</v>
          </cell>
          <cell r="F1846" t="str">
            <v>53.468.112/0001-38</v>
          </cell>
        </row>
        <row r="1847">
          <cell r="A1847">
            <v>30933</v>
          </cell>
          <cell r="B1847" t="str">
            <v>CORPORATION</v>
          </cell>
          <cell r="C1847" t="str">
            <v>Parafusao Ferragens Eireli</v>
          </cell>
          <cell r="D1847" t="str">
            <v>Parafusao Ferragens</v>
          </cell>
          <cell r="E1847" t="str">
            <v>BR_CNPJ</v>
          </cell>
          <cell r="F1847" t="str">
            <v>26.854.282/0001-88</v>
          </cell>
        </row>
        <row r="1848">
          <cell r="A1848">
            <v>30934</v>
          </cell>
          <cell r="B1848" t="str">
            <v>CORPORATION</v>
          </cell>
          <cell r="C1848" t="str">
            <v>Dismacon Distribuidora De Materiais De Construcao Ltda</v>
          </cell>
          <cell r="D1848" t="str">
            <v>Dismacon Distribuidora De Materiais De Construcao</v>
          </cell>
          <cell r="E1848" t="str">
            <v>BR_CNPJ</v>
          </cell>
          <cell r="F1848" t="str">
            <v>19.154.236/0001-00</v>
          </cell>
        </row>
        <row r="1849">
          <cell r="A1849">
            <v>30935</v>
          </cell>
          <cell r="B1849" t="str">
            <v>CORPORATION</v>
          </cell>
          <cell r="C1849" t="str">
            <v>M Da S Rodrigues Eireli</v>
          </cell>
          <cell r="D1849" t="str">
            <v>Master Epi</v>
          </cell>
          <cell r="E1849" t="str">
            <v>BR_CNPJ</v>
          </cell>
          <cell r="F1849" t="str">
            <v>26.981.138/0001-02</v>
          </cell>
        </row>
        <row r="1850">
          <cell r="A1850">
            <v>30936</v>
          </cell>
          <cell r="B1850" t="str">
            <v>CORPORATION</v>
          </cell>
          <cell r="C1850" t="str">
            <v>Prosolda Comercio De Gases E Transportes Ltda - Epp</v>
          </cell>
          <cell r="D1850" t="str">
            <v>Prosolda</v>
          </cell>
          <cell r="E1850" t="str">
            <v>BR_CNPJ</v>
          </cell>
          <cell r="F1850" t="str">
            <v>19.438.183/0001-50</v>
          </cell>
        </row>
        <row r="1851">
          <cell r="A1851">
            <v>30937</v>
          </cell>
          <cell r="B1851" t="str">
            <v>CORPORATION</v>
          </cell>
          <cell r="C1851" t="str">
            <v>M.R. Pimentel Comercio De Aco Ltda</v>
          </cell>
          <cell r="D1851" t="str">
            <v>Pimentel Ferro E Aco</v>
          </cell>
          <cell r="E1851" t="str">
            <v>BR_CNPJ</v>
          </cell>
          <cell r="F1851" t="str">
            <v>05.977.671/0001-20</v>
          </cell>
        </row>
        <row r="1852">
          <cell r="A1852">
            <v>30938</v>
          </cell>
          <cell r="B1852" t="str">
            <v>CORPORATION</v>
          </cell>
          <cell r="C1852" t="str">
            <v>Distribuidora De Artefatos De Borracha Diabol Limitada</v>
          </cell>
          <cell r="D1852" t="str">
            <v>Diabol Borrachas</v>
          </cell>
          <cell r="E1852" t="str">
            <v>BR_CNPJ</v>
          </cell>
          <cell r="F1852" t="str">
            <v>28.930.832/0001-26</v>
          </cell>
        </row>
        <row r="1853">
          <cell r="A1853">
            <v>30940</v>
          </cell>
          <cell r="B1853" t="str">
            <v>CORPORATION</v>
          </cell>
          <cell r="C1853" t="str">
            <v>Lemaq Ltda - Epp</v>
          </cell>
          <cell r="D1853" t="str">
            <v>Lemaq Ltda - Epp</v>
          </cell>
          <cell r="E1853" t="str">
            <v>BR_CNPJ</v>
          </cell>
          <cell r="F1853" t="str">
            <v>71.053.847/0001-82</v>
          </cell>
        </row>
        <row r="1854">
          <cell r="A1854">
            <v>30942</v>
          </cell>
          <cell r="B1854" t="str">
            <v>CORPORATION</v>
          </cell>
          <cell r="C1854" t="str">
            <v>M &amp; V Usinagem E Ferramentaria Ltda</v>
          </cell>
          <cell r="D1854" t="str">
            <v>M &amp; V Usinagem</v>
          </cell>
          <cell r="E1854" t="str">
            <v>BR_CNPJ</v>
          </cell>
          <cell r="F1854" t="str">
            <v>26.062.511/0001-21</v>
          </cell>
        </row>
        <row r="1855">
          <cell r="A1855">
            <v>30943</v>
          </cell>
          <cell r="B1855" t="str">
            <v>CORPORATION</v>
          </cell>
          <cell r="C1855" t="str">
            <v>Comfital Comercio De Ferro Itabira Ltda - Epp</v>
          </cell>
          <cell r="D1855" t="str">
            <v>Comfital Comercio De Ferro Itabira</v>
          </cell>
          <cell r="E1855" t="str">
            <v>BR_CNPJ</v>
          </cell>
          <cell r="F1855" t="str">
            <v>18.768.580/0001-27</v>
          </cell>
        </row>
        <row r="1856">
          <cell r="A1856">
            <v>30946</v>
          </cell>
          <cell r="B1856" t="str">
            <v>CORPORATION</v>
          </cell>
          <cell r="C1856" t="str">
            <v>Rp Parafusos Ltda - Me</v>
          </cell>
          <cell r="D1856" t="str">
            <v>Casa Dos Parafusos (Ercol)</v>
          </cell>
          <cell r="E1856" t="str">
            <v>BR_CNPJ</v>
          </cell>
          <cell r="F1856" t="str">
            <v>86.383.239/0001-03</v>
          </cell>
          <cell r="G1856" t="str">
            <v>ERCOL</v>
          </cell>
        </row>
        <row r="1857">
          <cell r="A1857">
            <v>30948</v>
          </cell>
          <cell r="B1857" t="str">
            <v>CORPORATION</v>
          </cell>
          <cell r="C1857" t="str">
            <v>Remaclo Da Silva Ferragens Eireli</v>
          </cell>
          <cell r="D1857" t="str">
            <v>Mark Ferragens</v>
          </cell>
          <cell r="E1857" t="str">
            <v>BR_CNPJ</v>
          </cell>
          <cell r="F1857" t="str">
            <v>12.616.548/0001-40</v>
          </cell>
        </row>
        <row r="1858">
          <cell r="A1858">
            <v>30949</v>
          </cell>
          <cell r="B1858" t="str">
            <v>CORPORATION</v>
          </cell>
          <cell r="C1858" t="str">
            <v>Sette Materiais De Construcao Ltda</v>
          </cell>
          <cell r="D1858" t="str">
            <v>Sette Construcao E Utildades</v>
          </cell>
          <cell r="E1858" t="str">
            <v>BR_CNPJ</v>
          </cell>
          <cell r="F1858" t="str">
            <v>04.599.561/0001-00</v>
          </cell>
        </row>
        <row r="1859">
          <cell r="A1859">
            <v>30953</v>
          </cell>
          <cell r="B1859" t="str">
            <v>CORPORATION</v>
          </cell>
          <cell r="C1859" t="str">
            <v>Casa Dos Parafusos E Ferramentas Ltda - Me</v>
          </cell>
          <cell r="D1859" t="str">
            <v>Ferragens Palhares</v>
          </cell>
          <cell r="E1859" t="str">
            <v>BR_CNPJ</v>
          </cell>
          <cell r="F1859" t="str">
            <v>22.479.323/0001-42</v>
          </cell>
        </row>
        <row r="1860">
          <cell r="A1860">
            <v>30954</v>
          </cell>
          <cell r="B1860" t="str">
            <v>CORPORATION</v>
          </cell>
          <cell r="C1860" t="str">
            <v>Ferraminas Comercio Online E Varejo Ltda</v>
          </cell>
          <cell r="D1860" t="str">
            <v>Ferraminas</v>
          </cell>
          <cell r="E1860" t="str">
            <v>BR_CNPJ</v>
          </cell>
          <cell r="F1860" t="str">
            <v>41.464.917/0001-24</v>
          </cell>
          <cell r="G1860" t="str">
            <v>FERRAMINAS</v>
          </cell>
        </row>
        <row r="1861">
          <cell r="A1861">
            <v>30956</v>
          </cell>
          <cell r="B1861" t="str">
            <v>CORPORATION</v>
          </cell>
          <cell r="C1861" t="str">
            <v>Maria Lucia Pinheiro Novais - Me</v>
          </cell>
          <cell r="D1861" t="str">
            <v>Mega</v>
          </cell>
          <cell r="E1861" t="str">
            <v>BR_CNPJ</v>
          </cell>
          <cell r="F1861" t="str">
            <v>11.322.032/0001-20</v>
          </cell>
        </row>
        <row r="1862">
          <cell r="A1862">
            <v>30959</v>
          </cell>
          <cell r="B1862" t="str">
            <v>CORPORATION</v>
          </cell>
          <cell r="C1862" t="str">
            <v>Deposito Sermec E Sermec Ltda - Me</v>
          </cell>
          <cell r="D1862" t="str">
            <v>Deposito Sermec E Sermec Ltda - Me</v>
          </cell>
          <cell r="E1862" t="str">
            <v>BR_CNPJ</v>
          </cell>
          <cell r="F1862" t="str">
            <v>05.370.274/0001-96</v>
          </cell>
        </row>
        <row r="1863">
          <cell r="A1863">
            <v>30960</v>
          </cell>
          <cell r="B1863" t="str">
            <v>CORPORATION</v>
          </cell>
          <cell r="C1863" t="str">
            <v>Schneider Ferramentas Ltda</v>
          </cell>
          <cell r="D1863" t="str">
            <v>Schneider Ferramentas</v>
          </cell>
          <cell r="E1863" t="str">
            <v>BR_CNPJ</v>
          </cell>
          <cell r="F1863" t="str">
            <v>06.173.829/0001-72</v>
          </cell>
          <cell r="G1863" t="str">
            <v>SCHNEIDER FERRAMENTAS</v>
          </cell>
        </row>
        <row r="1864">
          <cell r="A1864">
            <v>30962</v>
          </cell>
          <cell r="B1864" t="str">
            <v>CORPORATION</v>
          </cell>
          <cell r="C1864" t="str">
            <v>Munir Augusto Da Silva - Me</v>
          </cell>
          <cell r="D1864" t="str">
            <v>Munir Augusto Da Silva - Me</v>
          </cell>
          <cell r="E1864" t="str">
            <v>BR_CNPJ</v>
          </cell>
          <cell r="F1864" t="str">
            <v>03.459.663/0001-67</v>
          </cell>
        </row>
        <row r="1865">
          <cell r="A1865">
            <v>30965</v>
          </cell>
          <cell r="B1865" t="str">
            <v>CORPORATION</v>
          </cell>
          <cell r="C1865" t="str">
            <v>Locs - Locacao Comercio E Servicos De Maquinas E Equipa- Mentos Ltda - Me</v>
          </cell>
          <cell r="D1865" t="str">
            <v>Locs- Locacao E Servicos De Maquinas E Equipamentos</v>
          </cell>
          <cell r="E1865" t="str">
            <v>BR_CNPJ</v>
          </cell>
          <cell r="F1865" t="str">
            <v>01.946.196/0001-74</v>
          </cell>
        </row>
        <row r="1866">
          <cell r="A1866">
            <v>30967</v>
          </cell>
          <cell r="B1866" t="str">
            <v>CORPORATION</v>
          </cell>
          <cell r="C1866" t="str">
            <v>Anderson Emanoel Da Silva 08939113993</v>
          </cell>
          <cell r="D1866" t="str">
            <v>Adr Montagem E Manutencao Em Estruturas Metalicas</v>
          </cell>
          <cell r="E1866" t="str">
            <v>BR_CNPJ</v>
          </cell>
          <cell r="F1866" t="str">
            <v>27.049.106/0001-36</v>
          </cell>
        </row>
        <row r="1867">
          <cell r="A1867">
            <v>30968</v>
          </cell>
          <cell r="B1867" t="str">
            <v>CORPORATION</v>
          </cell>
          <cell r="C1867" t="str">
            <v>Distribuidora Sao Jorge Ltda - Matriz</v>
          </cell>
          <cell r="D1867" t="str">
            <v>Armazem Sao Jorge</v>
          </cell>
          <cell r="E1867" t="str">
            <v>BR_CNPJ</v>
          </cell>
          <cell r="F1867" t="str">
            <v>03.057.792/0001-29</v>
          </cell>
        </row>
        <row r="1868">
          <cell r="A1868">
            <v>30970</v>
          </cell>
          <cell r="B1868" t="str">
            <v>CORPORATION</v>
          </cell>
          <cell r="C1868" t="str">
            <v>Lidia Mariana Da Silva - Me</v>
          </cell>
          <cell r="D1868" t="str">
            <v>Comercial Azevedo E Silva</v>
          </cell>
          <cell r="E1868" t="str">
            <v>BR_CNPJ</v>
          </cell>
          <cell r="F1868" t="str">
            <v>00.335.145/0001-43</v>
          </cell>
        </row>
        <row r="1869">
          <cell r="A1869">
            <v>30971</v>
          </cell>
          <cell r="B1869" t="str">
            <v>CORPORATION</v>
          </cell>
          <cell r="C1869" t="str">
            <v>Robertson Nunes De Lima</v>
          </cell>
          <cell r="D1869" t="str">
            <v>R L Ferramentas</v>
          </cell>
          <cell r="E1869" t="str">
            <v>BR_CNPJ</v>
          </cell>
          <cell r="F1869" t="str">
            <v>22.776.079/0001-80</v>
          </cell>
        </row>
        <row r="1870">
          <cell r="A1870">
            <v>30973</v>
          </cell>
          <cell r="B1870" t="str">
            <v>CORPORATION</v>
          </cell>
          <cell r="C1870" t="str">
            <v>Jb Comercio De Soldas E Servicos Ltda - Me</v>
          </cell>
          <cell r="D1870" t="str">
            <v>Jb Comercio De Soldas E Servicos Ltda Me</v>
          </cell>
          <cell r="E1870" t="str">
            <v>BR_CNPJ</v>
          </cell>
          <cell r="F1870" t="str">
            <v>08.580.492/0001-43</v>
          </cell>
        </row>
        <row r="1871">
          <cell r="A1871">
            <v>30975</v>
          </cell>
          <cell r="B1871" t="str">
            <v>CORPORATION</v>
          </cell>
          <cell r="C1871" t="str">
            <v>Comercial Lambu Materiais Hidraulicos Ltda</v>
          </cell>
          <cell r="D1871" t="str">
            <v>Comercial Lambu</v>
          </cell>
          <cell r="E1871" t="str">
            <v>BR_CNPJ</v>
          </cell>
          <cell r="F1871" t="str">
            <v>15.113.214/0001-41</v>
          </cell>
        </row>
        <row r="1872">
          <cell r="A1872">
            <v>30976</v>
          </cell>
          <cell r="B1872" t="str">
            <v>CORPORATION</v>
          </cell>
          <cell r="C1872" t="str">
            <v>Casa Do Serralheiro Ltda</v>
          </cell>
          <cell r="D1872" t="str">
            <v>Casa Do Serralheiro</v>
          </cell>
          <cell r="E1872" t="str">
            <v>BR_CNPJ</v>
          </cell>
          <cell r="F1872" t="str">
            <v>17.095.100/0001-41</v>
          </cell>
        </row>
        <row r="1873">
          <cell r="A1873">
            <v>30982</v>
          </cell>
          <cell r="B1873" t="str">
            <v>CORPORATION</v>
          </cell>
          <cell r="C1873" t="str">
            <v>Mouragases Comercial Eireli - Epp</v>
          </cell>
          <cell r="D1873" t="str">
            <v>Mouragases Comercial Eireli</v>
          </cell>
          <cell r="E1873" t="str">
            <v>BR_CNPJ</v>
          </cell>
          <cell r="F1873" t="str">
            <v>17.639.142/0001-04</v>
          </cell>
        </row>
        <row r="1874">
          <cell r="A1874">
            <v>30985</v>
          </cell>
          <cell r="B1874" t="str">
            <v>CORPORATION</v>
          </cell>
          <cell r="C1874" t="str">
            <v>Armazem Gomes Ltda - Me</v>
          </cell>
          <cell r="D1874" t="str">
            <v>Armazem Gomes</v>
          </cell>
          <cell r="E1874" t="str">
            <v>BR_CNPJ</v>
          </cell>
          <cell r="F1874" t="str">
            <v>21.551.494/0001-72</v>
          </cell>
        </row>
        <row r="1875">
          <cell r="A1875">
            <v>30988</v>
          </cell>
          <cell r="B1875" t="str">
            <v>CORPORATION</v>
          </cell>
          <cell r="C1875" t="str">
            <v>Bellei &amp; Cia Ltda - Me</v>
          </cell>
          <cell r="D1875" t="str">
            <v>Casa Pipa</v>
          </cell>
          <cell r="E1875" t="str">
            <v>BR_CNPJ</v>
          </cell>
          <cell r="F1875" t="str">
            <v>02.654.246/0001-02</v>
          </cell>
        </row>
        <row r="1876">
          <cell r="A1876">
            <v>30991</v>
          </cell>
          <cell r="B1876" t="str">
            <v>CORPORATION</v>
          </cell>
          <cell r="C1876" t="str">
            <v>D'Tudo Comercio De Ferramentas Ltda - Me</v>
          </cell>
          <cell r="D1876" t="str">
            <v>D'Tudo Comercio De Ferramentas</v>
          </cell>
          <cell r="E1876" t="str">
            <v>BR_CNPJ</v>
          </cell>
          <cell r="F1876" t="str">
            <v>10.618.936/0001-34</v>
          </cell>
        </row>
        <row r="1877">
          <cell r="A1877">
            <v>30993</v>
          </cell>
          <cell r="B1877" t="str">
            <v>CORPORATION</v>
          </cell>
          <cell r="C1877" t="str">
            <v>Eletrica Edp Industrial Ltda</v>
          </cell>
          <cell r="D1877" t="str">
            <v>Eletrica Edp</v>
          </cell>
          <cell r="E1877" t="str">
            <v>BR_CNPJ</v>
          </cell>
          <cell r="F1877" t="str">
            <v>29.168.776/0001-05</v>
          </cell>
        </row>
        <row r="1878">
          <cell r="A1878">
            <v>30994</v>
          </cell>
          <cell r="B1878" t="str">
            <v>CORPORATION</v>
          </cell>
          <cell r="C1878" t="str">
            <v>Freicom Eletro Ferragens Ltda - Me</v>
          </cell>
          <cell r="D1878" t="str">
            <v>Freicom Eletro Ferragens Ltda - Me</v>
          </cell>
          <cell r="E1878" t="str">
            <v>BR_CNPJ</v>
          </cell>
          <cell r="F1878" t="str">
            <v>86.473.535/0001-03</v>
          </cell>
        </row>
        <row r="1879">
          <cell r="A1879">
            <v>30997</v>
          </cell>
          <cell r="B1879" t="str">
            <v>CORPORATION</v>
          </cell>
          <cell r="C1879" t="str">
            <v>Migfer Eletrotecnica De Itapira Ltda - Me</v>
          </cell>
          <cell r="D1879" t="str">
            <v>Migfer Eletrotecnica</v>
          </cell>
          <cell r="E1879" t="str">
            <v>BR_CNPJ</v>
          </cell>
          <cell r="F1879" t="str">
            <v>02.880.056/0001-03</v>
          </cell>
        </row>
        <row r="1880">
          <cell r="A1880">
            <v>30998</v>
          </cell>
          <cell r="B1880" t="str">
            <v>CORPORATION</v>
          </cell>
          <cell r="C1880" t="str">
            <v>Maben Com.Parafusos,Ferragens E Ferramentas Ltda</v>
          </cell>
          <cell r="D1880" t="str">
            <v>Maben</v>
          </cell>
          <cell r="E1880" t="str">
            <v>BR_CNPJ</v>
          </cell>
          <cell r="F1880" t="str">
            <v>68.245.950/0001-10</v>
          </cell>
        </row>
        <row r="1881">
          <cell r="A1881">
            <v>31002</v>
          </cell>
          <cell r="B1881" t="str">
            <v>CORPORATION</v>
          </cell>
          <cell r="C1881" t="str">
            <v>Locatek Locacao E Assistencia Tecnica De Maquinas Ltda</v>
          </cell>
          <cell r="D1881" t="str">
            <v>Locatek Locacao E Assistencia Tecnica De Maquinas Ltda</v>
          </cell>
          <cell r="E1881" t="str">
            <v>BR_CNPJ</v>
          </cell>
          <cell r="F1881" t="str">
            <v>18.166.955/0001-89</v>
          </cell>
        </row>
        <row r="1882">
          <cell r="A1882">
            <v>31003</v>
          </cell>
          <cell r="B1882" t="str">
            <v>CORPORATION</v>
          </cell>
          <cell r="C1882" t="str">
            <v>Cicampo Maquinas E Ferramentas Ltda - Me</v>
          </cell>
          <cell r="D1882" t="str">
            <v>Cicampo</v>
          </cell>
          <cell r="E1882" t="str">
            <v>BR_CNPJ</v>
          </cell>
          <cell r="F1882" t="str">
            <v>80.479.231/0001-69</v>
          </cell>
          <cell r="G1882" t="str">
            <v>CICAMPO</v>
          </cell>
        </row>
        <row r="1883">
          <cell r="A1883">
            <v>31005</v>
          </cell>
          <cell r="B1883" t="str">
            <v>CORPORATION</v>
          </cell>
          <cell r="C1883" t="str">
            <v>Alex Borba</v>
          </cell>
          <cell r="D1883" t="str">
            <v>Borba Parafusos E Ferramentas</v>
          </cell>
          <cell r="E1883" t="str">
            <v>BR_CNPJ</v>
          </cell>
          <cell r="F1883" t="str">
            <v>15.673.357/0002-99</v>
          </cell>
        </row>
        <row r="1884">
          <cell r="A1884">
            <v>31006</v>
          </cell>
          <cell r="B1884" t="str">
            <v>CORPORATION</v>
          </cell>
          <cell r="C1884" t="str">
            <v>Matheus Bovoloni Verne - Me</v>
          </cell>
          <cell r="D1884" t="str">
            <v>Andorinha Ferramentas</v>
          </cell>
          <cell r="E1884" t="str">
            <v>BR_CNPJ</v>
          </cell>
          <cell r="F1884" t="str">
            <v>11.137.291/0001-80</v>
          </cell>
        </row>
        <row r="1885">
          <cell r="A1885">
            <v>31009</v>
          </cell>
          <cell r="B1885" t="str">
            <v>CORPORATION</v>
          </cell>
          <cell r="C1885" t="str">
            <v>Justi Comercio E Servicos De Maquinas E Pecas Ltda</v>
          </cell>
          <cell r="D1885" t="str">
            <v>Justi</v>
          </cell>
          <cell r="E1885" t="str">
            <v>BR_CNPJ</v>
          </cell>
          <cell r="F1885" t="str">
            <v>91.614.149/0013-50</v>
          </cell>
          <cell r="G1885" t="str">
            <v>JUSTI</v>
          </cell>
        </row>
        <row r="1886">
          <cell r="A1886">
            <v>31010</v>
          </cell>
          <cell r="B1886" t="str">
            <v>CORPORATION</v>
          </cell>
          <cell r="C1886" t="str">
            <v>Casa Do Torneiro Ltda</v>
          </cell>
          <cell r="D1886" t="str">
            <v>Casa Do Torneiro Ltda</v>
          </cell>
          <cell r="E1886" t="str">
            <v>BR_CNPJ</v>
          </cell>
          <cell r="F1886" t="str">
            <v>78.260.445/0001-06</v>
          </cell>
        </row>
        <row r="1887">
          <cell r="A1887">
            <v>31013</v>
          </cell>
          <cell r="B1887" t="str">
            <v>CORPORATION</v>
          </cell>
          <cell r="C1887" t="str">
            <v>Lt - Parrofer Comercio De Parafusos Ltda - Me</v>
          </cell>
          <cell r="D1887" t="str">
            <v>Lt - Parrofer</v>
          </cell>
          <cell r="E1887" t="str">
            <v>BR_CNPJ</v>
          </cell>
          <cell r="F1887" t="str">
            <v>10.620.512/0001-04</v>
          </cell>
        </row>
        <row r="1888">
          <cell r="A1888">
            <v>31015</v>
          </cell>
          <cell r="B1888" t="str">
            <v>CORPORATION</v>
          </cell>
          <cell r="C1888" t="str">
            <v>Casa Sao Geraldo Ltda - Me</v>
          </cell>
          <cell r="D1888" t="str">
            <v>Casa Sao Geraldo Ltda - Me</v>
          </cell>
          <cell r="E1888" t="str">
            <v>BR_CNPJ</v>
          </cell>
          <cell r="F1888" t="str">
            <v>17.830.787/0001-11</v>
          </cell>
        </row>
        <row r="1889">
          <cell r="A1889">
            <v>31018</v>
          </cell>
          <cell r="B1889" t="str">
            <v>CORPORATION</v>
          </cell>
          <cell r="C1889" t="str">
            <v>Solfer Ltda - Epp</v>
          </cell>
          <cell r="D1889" t="str">
            <v>Solfer</v>
          </cell>
          <cell r="E1889" t="str">
            <v>BR_CNPJ</v>
          </cell>
          <cell r="F1889" t="str">
            <v>17.100.926/0001-51</v>
          </cell>
        </row>
        <row r="1890">
          <cell r="A1890">
            <v>31019</v>
          </cell>
          <cell r="B1890" t="str">
            <v>CORPORATION</v>
          </cell>
          <cell r="C1890" t="str">
            <v>Eliene Carolina Capello</v>
          </cell>
          <cell r="D1890" t="str">
            <v>Eliene Carolina Capello</v>
          </cell>
          <cell r="E1890" t="str">
            <v>BR_CNPJ</v>
          </cell>
          <cell r="F1890" t="str">
            <v>10.549.415/0001-72</v>
          </cell>
        </row>
        <row r="1891">
          <cell r="A1891">
            <v>31021</v>
          </cell>
          <cell r="B1891" t="str">
            <v>CORPORATION</v>
          </cell>
          <cell r="C1891" t="str">
            <v>Cesar Alencar De Carvalho Destri - Me</v>
          </cell>
          <cell r="D1891" t="str">
            <v>Cesar Alencar De Carvalho Destri</v>
          </cell>
          <cell r="E1891" t="str">
            <v>BR_CNPJ</v>
          </cell>
          <cell r="F1891" t="str">
            <v>02.917.384/0001-37</v>
          </cell>
        </row>
        <row r="1892">
          <cell r="A1892">
            <v>31023</v>
          </cell>
          <cell r="B1892" t="str">
            <v>CORPORATION</v>
          </cell>
          <cell r="C1892" t="str">
            <v>Heitor Nogueira Da Silva</v>
          </cell>
          <cell r="D1892" t="str">
            <v>Suprimig Suprimentos Industriais</v>
          </cell>
          <cell r="E1892" t="str">
            <v>BR_CNPJ</v>
          </cell>
          <cell r="F1892" t="str">
            <v>48.996.522/0001-11</v>
          </cell>
        </row>
        <row r="1893">
          <cell r="A1893">
            <v>31024</v>
          </cell>
          <cell r="B1893" t="str">
            <v>CORPORATION</v>
          </cell>
          <cell r="C1893" t="str">
            <v>Blanco &amp; Piao Comercio De Parafusos Ltda - Epp</v>
          </cell>
          <cell r="D1893" t="str">
            <v>Blanco &amp; Piao Comercio De Parafusos Ltda - Epp</v>
          </cell>
          <cell r="E1893" t="str">
            <v>BR_CNPJ</v>
          </cell>
          <cell r="F1893" t="str">
            <v>06.987.329/0001-74</v>
          </cell>
        </row>
        <row r="1894">
          <cell r="A1894">
            <v>31025</v>
          </cell>
          <cell r="B1894" t="str">
            <v>CORPORATION</v>
          </cell>
          <cell r="C1894" t="str">
            <v>Irmaos Oliveira Comercio De Ferramentas Ltda</v>
          </cell>
          <cell r="D1894" t="str">
            <v>Irmaos Oliveira Comercio De Ferramentas</v>
          </cell>
          <cell r="E1894" t="str">
            <v>BR_CNPJ</v>
          </cell>
          <cell r="F1894" t="str">
            <v>29.778.843/0001-03</v>
          </cell>
        </row>
        <row r="1895">
          <cell r="A1895">
            <v>31026</v>
          </cell>
          <cell r="B1895" t="str">
            <v>CORPORATION</v>
          </cell>
          <cell r="C1895" t="str">
            <v>Fausto Martins Vanzella</v>
          </cell>
          <cell r="D1895" t="str">
            <v>Usifam - Pecas E Acessorios P Soldas</v>
          </cell>
          <cell r="E1895" t="str">
            <v>BR_CNPJ</v>
          </cell>
          <cell r="F1895" t="str">
            <v>18.536.496/0001-88</v>
          </cell>
        </row>
        <row r="1896">
          <cell r="A1896">
            <v>31027</v>
          </cell>
          <cell r="B1896" t="str">
            <v>CORPORATION</v>
          </cell>
          <cell r="C1896" t="str">
            <v>Jose Barbosa Da Rocha Neto - Me</v>
          </cell>
          <cell r="D1896" t="str">
            <v>Jose Barbosa Da Rocha Neto</v>
          </cell>
          <cell r="E1896" t="str">
            <v>BR_CNPJ</v>
          </cell>
          <cell r="F1896" t="str">
            <v>08.197.616/0001-06</v>
          </cell>
        </row>
        <row r="1897">
          <cell r="A1897">
            <v>31029</v>
          </cell>
          <cell r="B1897" t="str">
            <v>CORPORATION</v>
          </cell>
          <cell r="C1897" t="str">
            <v>Comercio De Materiais Para Construcao M.M.Ltda</v>
          </cell>
          <cell r="D1897" t="str">
            <v>Comercio De Materiais Para Construcao M.M.Ltda</v>
          </cell>
          <cell r="E1897" t="str">
            <v>BR_CNPJ</v>
          </cell>
          <cell r="F1897" t="str">
            <v>65.464.745/0001-57</v>
          </cell>
        </row>
        <row r="1898">
          <cell r="A1898">
            <v>31031</v>
          </cell>
          <cell r="B1898" t="str">
            <v>CORPORATION</v>
          </cell>
          <cell r="C1898" t="str">
            <v>Casa De Tintas Camero Ltda</v>
          </cell>
          <cell r="D1898" t="str">
            <v>Camero Tintas</v>
          </cell>
          <cell r="E1898" t="str">
            <v>BR_CNPJ</v>
          </cell>
          <cell r="F1898" t="str">
            <v>07.757.148/0001-14</v>
          </cell>
        </row>
        <row r="1899">
          <cell r="A1899">
            <v>31032</v>
          </cell>
          <cell r="B1899" t="str">
            <v>CORPORATION</v>
          </cell>
          <cell r="C1899" t="str">
            <v>H S Industria E Comercio De Bombas Ltda</v>
          </cell>
          <cell r="D1899" t="str">
            <v>Loja Das Bombas</v>
          </cell>
          <cell r="E1899" t="str">
            <v>BR_CNPJ</v>
          </cell>
          <cell r="F1899" t="str">
            <v>03.675.637/0001-76</v>
          </cell>
        </row>
        <row r="1900">
          <cell r="A1900">
            <v>31033</v>
          </cell>
          <cell r="B1900" t="str">
            <v>CORPORATION</v>
          </cell>
          <cell r="C1900" t="str">
            <v>Unisoldas Comercial Ltda</v>
          </cell>
          <cell r="D1900" t="str">
            <v>Unisoldas</v>
          </cell>
          <cell r="E1900" t="str">
            <v>BR_CNPJ</v>
          </cell>
          <cell r="F1900" t="str">
            <v>24.058.612/0001-01</v>
          </cell>
        </row>
        <row r="1901">
          <cell r="A1901">
            <v>31034</v>
          </cell>
          <cell r="B1901" t="str">
            <v>CORPORATION</v>
          </cell>
          <cell r="C1901" t="str">
            <v>50.346.111 Iranice Alexandre Da Costa</v>
          </cell>
          <cell r="D1901" t="str">
            <v>Ferragista Ajs</v>
          </cell>
          <cell r="E1901" t="str">
            <v>BR_CNPJ</v>
          </cell>
          <cell r="F1901" t="str">
            <v>50.346.111/0001-22</v>
          </cell>
        </row>
        <row r="1902">
          <cell r="A1902">
            <v>31036</v>
          </cell>
          <cell r="B1902" t="str">
            <v>CORPORATION</v>
          </cell>
          <cell r="C1902" t="str">
            <v>Bhz Maquinas Ltda - Me</v>
          </cell>
          <cell r="D1902" t="str">
            <v>Bhz Maquinas Ltda - Me</v>
          </cell>
          <cell r="E1902" t="str">
            <v>BR_CNPJ</v>
          </cell>
          <cell r="F1902" t="str">
            <v>02.929.067/0001-30</v>
          </cell>
        </row>
        <row r="1903">
          <cell r="A1903">
            <v>31042</v>
          </cell>
          <cell r="B1903" t="str">
            <v>CORPORATION</v>
          </cell>
          <cell r="C1903" t="str">
            <v>Cervi Manutencao E Pecas De Maquinas Ltda - Me</v>
          </cell>
          <cell r="D1903" t="str">
            <v>Cervi Manutencao E Pecas De Maquinas Ltda - Me</v>
          </cell>
          <cell r="E1903" t="str">
            <v>BR_CNPJ</v>
          </cell>
          <cell r="F1903" t="str">
            <v>00.553.103/0001-89</v>
          </cell>
        </row>
        <row r="1904">
          <cell r="A1904">
            <v>31045</v>
          </cell>
          <cell r="B1904" t="str">
            <v>CORPORATION</v>
          </cell>
          <cell r="C1904" t="str">
            <v>Ferromil Comercio Da Linha Metal Mecanica Ltda</v>
          </cell>
          <cell r="D1904" t="str">
            <v>Ferromil Ferragens</v>
          </cell>
          <cell r="E1904" t="str">
            <v>BR_CNPJ</v>
          </cell>
          <cell r="F1904" t="str">
            <v>85.270.205/0001-40</v>
          </cell>
        </row>
        <row r="1905">
          <cell r="A1905">
            <v>31048</v>
          </cell>
          <cell r="B1905" t="str">
            <v>CORPORATION</v>
          </cell>
          <cell r="C1905" t="str">
            <v>Vandersolda Recuperadora De Equipamentos De Soldagem Ltda - Me</v>
          </cell>
          <cell r="D1905" t="str">
            <v>Imperio Das Rodas</v>
          </cell>
          <cell r="E1905" t="str">
            <v>BR_CNPJ</v>
          </cell>
          <cell r="F1905" t="str">
            <v>04.487.266/0001-61</v>
          </cell>
        </row>
        <row r="1906">
          <cell r="A1906">
            <v>31051</v>
          </cell>
          <cell r="B1906" t="str">
            <v>CORPORATION</v>
          </cell>
          <cell r="C1906" t="str">
            <v>Arcom S/A</v>
          </cell>
          <cell r="D1906" t="str">
            <v>Arcom</v>
          </cell>
          <cell r="E1906" t="str">
            <v>BR_CNPJ</v>
          </cell>
          <cell r="F1906" t="str">
            <v>25.769.266/0001-24</v>
          </cell>
        </row>
        <row r="1907">
          <cell r="A1907">
            <v>31053</v>
          </cell>
          <cell r="B1907" t="str">
            <v>CORPORATION</v>
          </cell>
          <cell r="C1907" t="str">
            <v>M G D De Souza Eireli</v>
          </cell>
          <cell r="D1907" t="str">
            <v>America Epi</v>
          </cell>
          <cell r="E1907" t="str">
            <v>BR_CNPJ</v>
          </cell>
          <cell r="F1907" t="str">
            <v>30.250.924/0001-07</v>
          </cell>
        </row>
        <row r="1908">
          <cell r="A1908">
            <v>31054</v>
          </cell>
          <cell r="B1908" t="str">
            <v>CORPORATION</v>
          </cell>
          <cell r="C1908" t="str">
            <v>M.I.G Pontes Ferragens Eireli</v>
          </cell>
          <cell r="D1908" t="str">
            <v>Pontes Ferragens</v>
          </cell>
          <cell r="E1908" t="str">
            <v>BR_CNPJ</v>
          </cell>
          <cell r="F1908" t="str">
            <v>01.421.359/0001-03</v>
          </cell>
          <cell r="G1908" t="str">
            <v>PONTES FERRAGENS</v>
          </cell>
        </row>
        <row r="1909">
          <cell r="A1909">
            <v>31055</v>
          </cell>
          <cell r="B1909" t="str">
            <v>CORPORATION</v>
          </cell>
          <cell r="C1909" t="str">
            <v>C Sagica Pontes Ltda</v>
          </cell>
          <cell r="D1909" t="str">
            <v>Planalto Ferramental Express</v>
          </cell>
          <cell r="E1909" t="str">
            <v>BR_CNPJ</v>
          </cell>
          <cell r="F1909" t="str">
            <v>34.639.600/0001-16</v>
          </cell>
          <cell r="G1909" t="str">
            <v>PLANALTO FERRAMENTAL</v>
          </cell>
        </row>
        <row r="1910">
          <cell r="A1910">
            <v>31056</v>
          </cell>
          <cell r="B1910" t="str">
            <v>CORPORATION</v>
          </cell>
          <cell r="C1910" t="str">
            <v>Comercial De Ferragens Pgl Ltda</v>
          </cell>
          <cell r="D1910" t="str">
            <v>Casa Dos Parafusos</v>
          </cell>
          <cell r="E1910" t="str">
            <v>BR_CNPJ</v>
          </cell>
          <cell r="F1910" t="str">
            <v>07.932.514/0001-24</v>
          </cell>
        </row>
        <row r="1911">
          <cell r="A1911">
            <v>31061</v>
          </cell>
          <cell r="B1911" t="str">
            <v>CORPORATION</v>
          </cell>
          <cell r="C1911" t="str">
            <v>Jose Araujo Neto Ferramentas</v>
          </cell>
          <cell r="D1911" t="str">
            <v>Casa Faz Ferramentas E Construcao</v>
          </cell>
          <cell r="E1911" t="str">
            <v>BR_CNPJ</v>
          </cell>
          <cell r="F1911" t="str">
            <v>00.204.612/0001-04</v>
          </cell>
        </row>
        <row r="1912">
          <cell r="A1912">
            <v>31064</v>
          </cell>
          <cell r="B1912" t="str">
            <v>CORPORATION</v>
          </cell>
          <cell r="C1912" t="str">
            <v>Darcy Ribeiro De Souza - Me</v>
          </cell>
          <cell r="D1912" t="str">
            <v>Darcy Ribeiro De Souza - Me</v>
          </cell>
          <cell r="E1912" t="str">
            <v>BR_CNPJ</v>
          </cell>
          <cell r="F1912" t="str">
            <v>68.187.574/0001-54</v>
          </cell>
        </row>
        <row r="1913">
          <cell r="A1913">
            <v>31067</v>
          </cell>
          <cell r="B1913" t="str">
            <v>CORPORATION</v>
          </cell>
          <cell r="C1913" t="str">
            <v>J.A. Neto - Me</v>
          </cell>
          <cell r="D1913" t="str">
            <v>Agronova Comercio De Ferramentas E Tintas</v>
          </cell>
          <cell r="E1913" t="str">
            <v>BR_CNPJ</v>
          </cell>
          <cell r="F1913" t="str">
            <v>00.522.174/0001-14</v>
          </cell>
        </row>
        <row r="1914">
          <cell r="A1914">
            <v>31068</v>
          </cell>
          <cell r="B1914" t="str">
            <v>CORPORATION</v>
          </cell>
          <cell r="C1914" t="str">
            <v>Casa Do Epism Distribuidora - Eireli</v>
          </cell>
          <cell r="D1914" t="str">
            <v>Casa Do Epism (Defend)</v>
          </cell>
          <cell r="E1914" t="str">
            <v>BR_CNPJ</v>
          </cell>
          <cell r="F1914" t="str">
            <v>10.324.034/0001-95</v>
          </cell>
          <cell r="G1914" t="str">
            <v>CASA DO EPISM</v>
          </cell>
        </row>
        <row r="1915">
          <cell r="A1915">
            <v>31070</v>
          </cell>
          <cell r="B1915" t="str">
            <v>CORPORATION</v>
          </cell>
          <cell r="C1915" t="str">
            <v>Fernando A. Mistieri - Me</v>
          </cell>
          <cell r="D1915" t="str">
            <v>Fermaq</v>
          </cell>
          <cell r="E1915" t="str">
            <v>BR_CNPJ</v>
          </cell>
          <cell r="F1915" t="str">
            <v>04.050.683/0001-42</v>
          </cell>
        </row>
        <row r="1916">
          <cell r="A1916">
            <v>31071</v>
          </cell>
          <cell r="B1916" t="str">
            <v>CORPORATION</v>
          </cell>
          <cell r="C1916" t="str">
            <v>Defend Ferramentas Ltda</v>
          </cell>
          <cell r="D1916" t="str">
            <v>Defend Ferramentas (Casa Do Epism)</v>
          </cell>
          <cell r="E1916" t="str">
            <v>BR_CNPJ</v>
          </cell>
          <cell r="F1916" t="str">
            <v>07.380.219/0004-55</v>
          </cell>
          <cell r="G1916" t="str">
            <v>CASA DO EPISM</v>
          </cell>
        </row>
        <row r="1917">
          <cell r="A1917">
            <v>31073</v>
          </cell>
          <cell r="B1917" t="str">
            <v>CORPORATION</v>
          </cell>
          <cell r="C1917" t="str">
            <v>Icape Industria E Comercio Ltda - Epp</v>
          </cell>
          <cell r="D1917" t="str">
            <v>Icape Industria E Comercio Ltda - Epp</v>
          </cell>
          <cell r="E1917" t="str">
            <v>BR_CNPJ</v>
          </cell>
          <cell r="F1917" t="str">
            <v>04.013.070/0001-35</v>
          </cell>
        </row>
        <row r="1918">
          <cell r="A1918">
            <v>31074</v>
          </cell>
          <cell r="B1918" t="str">
            <v>CORPORATION</v>
          </cell>
          <cell r="C1918" t="str">
            <v>Rei Dos Parafusos Ltda - Me</v>
          </cell>
          <cell r="D1918" t="str">
            <v>Rei Dos Parafusos Ltda - Me</v>
          </cell>
          <cell r="E1918" t="str">
            <v>BR_CNPJ</v>
          </cell>
          <cell r="F1918" t="str">
            <v>10.660.733/0001-06</v>
          </cell>
        </row>
        <row r="1919">
          <cell r="A1919">
            <v>31077</v>
          </cell>
          <cell r="B1919" t="str">
            <v>CORPORATION</v>
          </cell>
          <cell r="C1919" t="str">
            <v>Auto Pecas Romag Ltda - Me</v>
          </cell>
          <cell r="D1919" t="str">
            <v>Romag-Pecas, Implementos E Oficina Para Tratores</v>
          </cell>
          <cell r="E1919" t="str">
            <v>BR_CNPJ</v>
          </cell>
          <cell r="F1919" t="str">
            <v>23.871.106/0001-66</v>
          </cell>
        </row>
        <row r="1920">
          <cell r="A1920">
            <v>31080</v>
          </cell>
          <cell r="B1920" t="str">
            <v>CORPORATION</v>
          </cell>
          <cell r="C1920" t="str">
            <v>Adilson Messias Ribeiro</v>
          </cell>
          <cell r="D1920" t="str">
            <v>Canta Galo Agropecuaria</v>
          </cell>
          <cell r="E1920" t="str">
            <v>BR_CNPJ</v>
          </cell>
          <cell r="F1920" t="str">
            <v>06.132.122/0001-18</v>
          </cell>
        </row>
        <row r="1921">
          <cell r="A1921">
            <v>31083</v>
          </cell>
          <cell r="B1921" t="str">
            <v>CORPORATION</v>
          </cell>
          <cell r="C1921" t="str">
            <v>Balcao Dos Parafusos E Ferramentas Ltda</v>
          </cell>
          <cell r="D1921" t="str">
            <v>Balcao Dos Parafusos</v>
          </cell>
          <cell r="E1921" t="str">
            <v>BR_CNPJ</v>
          </cell>
          <cell r="F1921" t="str">
            <v>08.605.233/0001-20</v>
          </cell>
        </row>
        <row r="1922">
          <cell r="A1922">
            <v>31086</v>
          </cell>
          <cell r="B1922" t="str">
            <v>CORPORATION</v>
          </cell>
          <cell r="C1922" t="str">
            <v>Marinheiro Ferrarias E Autopecas Ltda</v>
          </cell>
          <cell r="D1922" t="str">
            <v>Marinheiro Ferrarias E Autopecas</v>
          </cell>
          <cell r="E1922" t="str">
            <v>BR_CNPJ</v>
          </cell>
          <cell r="F1922" t="str">
            <v>38.023.580/0001-05</v>
          </cell>
        </row>
        <row r="1923">
          <cell r="A1923">
            <v>31088</v>
          </cell>
          <cell r="B1923" t="str">
            <v>CORPORATION</v>
          </cell>
          <cell r="C1923" t="str">
            <v>Marcio Carlos Rodrigues Cpf: 779536146-34 - Epp</v>
          </cell>
          <cell r="D1923" t="str">
            <v>Agropecuaria Rodrigues</v>
          </cell>
          <cell r="E1923" t="str">
            <v>BR_CNPJ</v>
          </cell>
          <cell r="F1923" t="str">
            <v>38.573.416/0001-71</v>
          </cell>
        </row>
        <row r="1924">
          <cell r="A1924">
            <v>31091</v>
          </cell>
          <cell r="B1924" t="str">
            <v>CORPORATION</v>
          </cell>
          <cell r="C1924" t="str">
            <v>Margarete Fernandes Da Silva E Cia.Ltda - Me</v>
          </cell>
          <cell r="D1924" t="str">
            <v>Casa Das Ferramentas</v>
          </cell>
          <cell r="E1924" t="str">
            <v>BR_CNPJ</v>
          </cell>
          <cell r="F1924" t="str">
            <v>05.959.405/0001-75</v>
          </cell>
        </row>
        <row r="1925">
          <cell r="A1925">
            <v>31094</v>
          </cell>
          <cell r="B1925" t="str">
            <v>CORPORATION</v>
          </cell>
          <cell r="C1925" t="str">
            <v>Borges Ferramentas E Maquinas Ltda - Epp</v>
          </cell>
          <cell r="D1925" t="str">
            <v>Borges Ferramentas Paraiso</v>
          </cell>
          <cell r="E1925" t="str">
            <v>BR_CNPJ</v>
          </cell>
          <cell r="F1925" t="str">
            <v>25.906.678/0001-69</v>
          </cell>
        </row>
        <row r="1926">
          <cell r="A1926">
            <v>31096</v>
          </cell>
          <cell r="B1926" t="str">
            <v>CORPORATION</v>
          </cell>
          <cell r="C1926" t="str">
            <v>Neves &amp; Ferro Comercio De Ferramentas Ltda</v>
          </cell>
          <cell r="D1926" t="str">
            <v>Casa Das Ferramentas</v>
          </cell>
          <cell r="E1926" t="str">
            <v>BR_CNPJ</v>
          </cell>
          <cell r="F1926" t="str">
            <v>38.422.354/0001-05</v>
          </cell>
        </row>
        <row r="1927">
          <cell r="A1927">
            <v>31097</v>
          </cell>
          <cell r="B1927" t="str">
            <v>CORPORATION</v>
          </cell>
          <cell r="C1927" t="str">
            <v>Soares &amp; Reis Comercio De Parafusos Ltda</v>
          </cell>
          <cell r="D1927" t="str">
            <v>Casa Do Parafuso</v>
          </cell>
          <cell r="E1927" t="str">
            <v>BR_CNPJ</v>
          </cell>
          <cell r="F1927" t="str">
            <v>06.866.436/0001-44</v>
          </cell>
        </row>
        <row r="1928">
          <cell r="A1928">
            <v>31101</v>
          </cell>
          <cell r="B1928" t="str">
            <v>CORPORATION</v>
          </cell>
          <cell r="C1928" t="str">
            <v>Castro Maquinas E Ferramentas Ltda - Epp</v>
          </cell>
          <cell r="D1928" t="str">
            <v>Castro Maquinas E Ferramentas</v>
          </cell>
          <cell r="E1928" t="str">
            <v>BR_CNPJ</v>
          </cell>
          <cell r="F1928" t="str">
            <v>08.149.377/0001-19</v>
          </cell>
        </row>
        <row r="1929">
          <cell r="A1929">
            <v>31103</v>
          </cell>
          <cell r="B1929" t="str">
            <v>CORPORATION</v>
          </cell>
          <cell r="C1929" t="str">
            <v>Sinteprol Ferramentas Ltda</v>
          </cell>
          <cell r="D1929" t="str">
            <v>Sinteprol</v>
          </cell>
          <cell r="E1929" t="str">
            <v>BR_CNPJ</v>
          </cell>
          <cell r="F1929" t="str">
            <v>45.424.059/0001-45</v>
          </cell>
          <cell r="G1929" t="str">
            <v>SINTEPROL</v>
          </cell>
        </row>
        <row r="1930">
          <cell r="A1930">
            <v>31105</v>
          </cell>
          <cell r="B1930" t="str">
            <v>CORPORATION</v>
          </cell>
          <cell r="C1930" t="str">
            <v>Camp-Gaservice Ferramentas E Equipamentos De Soldas Ltda</v>
          </cell>
          <cell r="D1930" t="str">
            <v>Camp-Gaservice (Campinas)</v>
          </cell>
          <cell r="E1930" t="str">
            <v>BR_CNPJ</v>
          </cell>
          <cell r="F1930" t="str">
            <v>53.261.939/0001-76</v>
          </cell>
          <cell r="G1930" t="str">
            <v>CAMP-GASERVICE</v>
          </cell>
        </row>
        <row r="1931">
          <cell r="A1931">
            <v>31107</v>
          </cell>
          <cell r="B1931" t="str">
            <v>CORPORATION</v>
          </cell>
          <cell r="C1931" t="str">
            <v>Charrua Comercio De Ferramentas E Epi Ltda</v>
          </cell>
          <cell r="D1931" t="str">
            <v>Charrua Comercio De Ferramentas E Epi Ltda</v>
          </cell>
          <cell r="E1931" t="str">
            <v>BR_CNPJ</v>
          </cell>
          <cell r="F1931" t="str">
            <v>42.478.648/0001-18</v>
          </cell>
        </row>
        <row r="1932">
          <cell r="A1932">
            <v>31114</v>
          </cell>
          <cell r="B1932" t="str">
            <v>CORPORATION</v>
          </cell>
          <cell r="C1932" t="str">
            <v>Com E Ind Breithaupt Sa</v>
          </cell>
          <cell r="D1932" t="str">
            <v>Breithaupt</v>
          </cell>
          <cell r="E1932" t="str">
            <v>BR_CNPJ</v>
          </cell>
          <cell r="F1932" t="str">
            <v>84.429.810/0025-25</v>
          </cell>
        </row>
        <row r="1933">
          <cell r="A1933">
            <v>31119</v>
          </cell>
          <cell r="B1933" t="str">
            <v>CORPORATION</v>
          </cell>
          <cell r="C1933" t="str">
            <v>Eurotools Maquinas E Ferramentas Eireli</v>
          </cell>
          <cell r="D1933" t="str">
            <v>Eurotools Ferramentas</v>
          </cell>
          <cell r="E1933" t="str">
            <v>BR_CNPJ</v>
          </cell>
          <cell r="F1933" t="str">
            <v>17.978.903/0001-44</v>
          </cell>
        </row>
        <row r="1934">
          <cell r="A1934">
            <v>31120</v>
          </cell>
          <cell r="B1934" t="str">
            <v>CORPORATION</v>
          </cell>
          <cell r="C1934" t="str">
            <v>Casa Dos Parafusos Formiguense Ltda - Me</v>
          </cell>
          <cell r="D1934" t="str">
            <v>Casa Dos Parafusos Formiguense Ltda - Me</v>
          </cell>
          <cell r="E1934" t="str">
            <v>BR_CNPJ</v>
          </cell>
          <cell r="F1934" t="str">
            <v>17.268.269/0001-56</v>
          </cell>
        </row>
        <row r="1935">
          <cell r="A1935">
            <v>31123</v>
          </cell>
          <cell r="B1935" t="str">
            <v>CORPORATION</v>
          </cell>
          <cell r="C1935" t="str">
            <v>Loja Dos Parafusos Ltda - Me</v>
          </cell>
          <cell r="D1935" t="str">
            <v>Loja Dos Parafusos Ltda - Me</v>
          </cell>
          <cell r="E1935" t="str">
            <v>BR_CNPJ</v>
          </cell>
          <cell r="F1935" t="str">
            <v>22.061.279/0001-56</v>
          </cell>
        </row>
        <row r="1936">
          <cell r="A1936">
            <v>31127</v>
          </cell>
          <cell r="B1936" t="str">
            <v>CORPORATION</v>
          </cell>
          <cell r="C1936" t="str">
            <v>Arara Comercio De Ferragens Ltda - Me</v>
          </cell>
          <cell r="D1936" t="str">
            <v>Arara Comercio De Ferragens Ltda - Me</v>
          </cell>
          <cell r="E1936" t="str">
            <v>BR_CNPJ</v>
          </cell>
          <cell r="F1936" t="str">
            <v>10.367.830/0002-96</v>
          </cell>
        </row>
        <row r="1937">
          <cell r="A1937">
            <v>31130</v>
          </cell>
          <cell r="B1937" t="str">
            <v>CORPORATION</v>
          </cell>
          <cell r="C1937" t="str">
            <v>Ferragens Andrade Ltda - Me</v>
          </cell>
          <cell r="D1937" t="str">
            <v>Ferragens Andrade</v>
          </cell>
          <cell r="E1937" t="str">
            <v>BR_CNPJ</v>
          </cell>
          <cell r="F1937" t="str">
            <v>05.759.008/0001-50</v>
          </cell>
        </row>
        <row r="1938">
          <cell r="A1938">
            <v>31131</v>
          </cell>
          <cell r="B1938" t="str">
            <v>CORPORATION</v>
          </cell>
          <cell r="C1938" t="str">
            <v>Dr Robotica Comercio E Reparo De Equipamentos Industriais E Eletroeletronicos Ltda</v>
          </cell>
          <cell r="D1938" t="str">
            <v>Dr Robotica</v>
          </cell>
          <cell r="E1938" t="str">
            <v>BR_CNPJ</v>
          </cell>
          <cell r="F1938" t="str">
            <v>39.316.756/0001-80</v>
          </cell>
        </row>
        <row r="1939">
          <cell r="A1939">
            <v>31133</v>
          </cell>
          <cell r="B1939" t="str">
            <v>CORPORATION</v>
          </cell>
          <cell r="C1939" t="str">
            <v>Auto Pecas Areadense Ltda - Me</v>
          </cell>
          <cell r="D1939" t="str">
            <v>Auto Pecas Areadense Ltda - Me</v>
          </cell>
          <cell r="E1939" t="str">
            <v>BR_CNPJ</v>
          </cell>
          <cell r="F1939" t="str">
            <v>71.387.450/0001-27</v>
          </cell>
        </row>
        <row r="1940">
          <cell r="A1940">
            <v>31136</v>
          </cell>
          <cell r="B1940" t="str">
            <v>CORPORATION</v>
          </cell>
          <cell r="C1940" t="str">
            <v>Dj Ribeiro Coml De Ferragens E Ferramentas Ltda-Me</v>
          </cell>
          <cell r="D1940" t="str">
            <v>Lider Ferramentas</v>
          </cell>
          <cell r="E1940" t="str">
            <v>BR_CNPJ</v>
          </cell>
          <cell r="F1940" t="str">
            <v>06.209.745/0001-41</v>
          </cell>
        </row>
        <row r="1941">
          <cell r="A1941">
            <v>31142</v>
          </cell>
          <cell r="B1941" t="str">
            <v>CORPORATION</v>
          </cell>
          <cell r="C1941" t="str">
            <v>Pereira Comercio De Ferragens Eireli - Epp</v>
          </cell>
          <cell r="D1941" t="str">
            <v>Comfep Comercio De Ferragens E Parafusos</v>
          </cell>
          <cell r="E1941" t="str">
            <v>BR_CNPJ</v>
          </cell>
          <cell r="F1941" t="str">
            <v>08.244.710/0001-79</v>
          </cell>
        </row>
        <row r="1942">
          <cell r="A1942">
            <v>31145</v>
          </cell>
          <cell r="B1942" t="str">
            <v>CORPORATION</v>
          </cell>
          <cell r="C1942" t="str">
            <v>Dida Ferramentas Ltda - Epp</v>
          </cell>
          <cell r="D1942" t="str">
            <v>Dida Ferramentas</v>
          </cell>
          <cell r="E1942" t="str">
            <v>BR_CNPJ</v>
          </cell>
          <cell r="F1942" t="str">
            <v>02.613.220/0001-16</v>
          </cell>
        </row>
        <row r="1943">
          <cell r="A1943">
            <v>31149</v>
          </cell>
          <cell r="B1943" t="str">
            <v>CORPORATION</v>
          </cell>
          <cell r="C1943" t="str">
            <v>Maqforte Maquinas E Ferramentas Ltda - Me</v>
          </cell>
          <cell r="D1943" t="str">
            <v>Maqforte</v>
          </cell>
          <cell r="E1943" t="str">
            <v>BR_CNPJ</v>
          </cell>
          <cell r="F1943" t="str">
            <v>06.077.953/0001-34</v>
          </cell>
        </row>
        <row r="1944">
          <cell r="A1944">
            <v>31151</v>
          </cell>
          <cell r="B1944" t="str">
            <v>CORPORATION</v>
          </cell>
          <cell r="C1944" t="str">
            <v>Leo Gas &amp; Oxigenio Ltda</v>
          </cell>
          <cell r="D1944" t="str">
            <v>Leo Gas</v>
          </cell>
          <cell r="E1944" t="str">
            <v>BR_CNPJ</v>
          </cell>
          <cell r="F1944" t="str">
            <v>21.420.251/0001-03</v>
          </cell>
        </row>
        <row r="1945">
          <cell r="A1945">
            <v>31152</v>
          </cell>
          <cell r="B1945" t="str">
            <v>CORPORATION</v>
          </cell>
          <cell r="C1945" t="str">
            <v>L.G. Comercio De Equipamentos De Seguranca Ltda - Epp</v>
          </cell>
          <cell r="D1945" t="str">
            <v>Oxigold</v>
          </cell>
          <cell r="E1945" t="str">
            <v>BR_CNPJ</v>
          </cell>
          <cell r="F1945" t="str">
            <v>09.467.602/0001-28</v>
          </cell>
        </row>
        <row r="1946">
          <cell r="A1946">
            <v>31154</v>
          </cell>
          <cell r="B1946" t="str">
            <v>CORPORATION</v>
          </cell>
          <cell r="C1946" t="str">
            <v>Oliveira &amp; Morgao Ltda - Me</v>
          </cell>
          <cell r="D1946" t="str">
            <v>Oliveira &amp; Morgao</v>
          </cell>
          <cell r="E1946" t="str">
            <v>BR_CNPJ</v>
          </cell>
          <cell r="F1946" t="str">
            <v>10.230.624/0001-59</v>
          </cell>
        </row>
        <row r="1947">
          <cell r="A1947">
            <v>31156</v>
          </cell>
          <cell r="B1947" t="str">
            <v>CORPORATION</v>
          </cell>
          <cell r="C1947" t="str">
            <v>Abcfer Comercio De Ferramentas E Fixadores Especiais Ltda</v>
          </cell>
          <cell r="D1947" t="str">
            <v>Abcfer</v>
          </cell>
          <cell r="E1947" t="str">
            <v>BR_CNPJ</v>
          </cell>
          <cell r="F1947" t="str">
            <v>24.304.865/0001-00</v>
          </cell>
        </row>
        <row r="1948">
          <cell r="A1948">
            <v>31161</v>
          </cell>
          <cell r="B1948" t="str">
            <v>CORPORATION</v>
          </cell>
          <cell r="C1948" t="str">
            <v>Maxi Mercantil Ltda - Me</v>
          </cell>
          <cell r="D1948" t="str">
            <v>Maxi Mercantil</v>
          </cell>
          <cell r="E1948" t="str">
            <v>BR_CNPJ</v>
          </cell>
          <cell r="F1948" t="str">
            <v>00.444.577/0002-73</v>
          </cell>
        </row>
        <row r="1949">
          <cell r="A1949">
            <v>31162</v>
          </cell>
          <cell r="B1949" t="str">
            <v>CORPORATION</v>
          </cell>
          <cell r="C1949" t="str">
            <v>Kadory Ferragista Ltda</v>
          </cell>
          <cell r="D1949" t="str">
            <v>Ferragista Ceres</v>
          </cell>
          <cell r="E1949" t="str">
            <v>BR_CNPJ</v>
          </cell>
          <cell r="F1949" t="str">
            <v>37.642.153/0001-42</v>
          </cell>
        </row>
        <row r="1950">
          <cell r="A1950">
            <v>31167</v>
          </cell>
          <cell r="B1950" t="str">
            <v>CORPORATION</v>
          </cell>
          <cell r="C1950" t="str">
            <v>Manutensoldas Comercio E Servicos Em Corte E Solda Ltda - Me</v>
          </cell>
          <cell r="D1950" t="str">
            <v>Manutensoldas Comercio E Servicos Em Corte E Solda Ltda - Me</v>
          </cell>
          <cell r="E1950" t="str">
            <v>BR_CNPJ</v>
          </cell>
          <cell r="F1950" t="str">
            <v>17.402.089/0001-15</v>
          </cell>
        </row>
        <row r="1951">
          <cell r="A1951">
            <v>31174</v>
          </cell>
          <cell r="B1951" t="str">
            <v>CORPORATION</v>
          </cell>
          <cell r="C1951" t="str">
            <v>Sul Ferramentas - Maquinas E Ferramentas Ltda - Epp</v>
          </cell>
          <cell r="D1951" t="str">
            <v>Sul Ferramentas - Maquinas E Ferramentas Ltda - Epp</v>
          </cell>
          <cell r="E1951" t="str">
            <v>BR_CNPJ</v>
          </cell>
          <cell r="F1951" t="str">
            <v>01.918.076/0001-63</v>
          </cell>
        </row>
        <row r="1952">
          <cell r="A1952">
            <v>31176</v>
          </cell>
          <cell r="B1952" t="str">
            <v>CORPORATION</v>
          </cell>
          <cell r="C1952" t="str">
            <v>Scheel Comercio De Maquinas E Equipamentos Ltda - Me</v>
          </cell>
          <cell r="D1952" t="str">
            <v>Scheel Comercio De Maquinas E Equipamentos Ltda - Me</v>
          </cell>
          <cell r="E1952" t="str">
            <v>BR_CNPJ</v>
          </cell>
          <cell r="F1952" t="str">
            <v>79.525.572/0001-44</v>
          </cell>
        </row>
        <row r="1953">
          <cell r="A1953">
            <v>31180</v>
          </cell>
          <cell r="B1953" t="str">
            <v>CORPORATION</v>
          </cell>
          <cell r="C1953" t="str">
            <v>G A Silva &amp; Cia Ltda</v>
          </cell>
          <cell r="D1953" t="str">
            <v>Casa Dos Parafusos</v>
          </cell>
          <cell r="E1953" t="str">
            <v>BR_CNPJ</v>
          </cell>
          <cell r="F1953" t="str">
            <v>02.532.281/0002-30</v>
          </cell>
        </row>
        <row r="1954">
          <cell r="A1954">
            <v>31183</v>
          </cell>
          <cell r="B1954" t="str">
            <v>CORPORATION</v>
          </cell>
          <cell r="C1954" t="str">
            <v>Perola De Ornelas Sales - Me</v>
          </cell>
          <cell r="D1954" t="str">
            <v>Bio Calhas</v>
          </cell>
          <cell r="E1954" t="str">
            <v>BR_CNPJ</v>
          </cell>
          <cell r="F1954" t="str">
            <v>14.444.358/0001-18</v>
          </cell>
        </row>
        <row r="1955">
          <cell r="A1955">
            <v>31185</v>
          </cell>
          <cell r="B1955" t="str">
            <v>CORPORATION</v>
          </cell>
          <cell r="C1955" t="str">
            <v>A. N. Moreira</v>
          </cell>
          <cell r="D1955" t="str">
            <v>Casa Dos Compressores</v>
          </cell>
          <cell r="E1955" t="str">
            <v>BR_CNPJ</v>
          </cell>
          <cell r="F1955" t="str">
            <v>18.429.780/0001-55</v>
          </cell>
          <cell r="G1955" t="str">
            <v>CASA DOS COMPRESSORES</v>
          </cell>
        </row>
        <row r="1956">
          <cell r="A1956">
            <v>31186</v>
          </cell>
          <cell r="B1956" t="str">
            <v>CORPORATION</v>
          </cell>
          <cell r="C1956" t="str">
            <v>Centrosoldas Ltda.</v>
          </cell>
          <cell r="D1956" t="str">
            <v>Centrosoldas Ltda.</v>
          </cell>
          <cell r="E1956" t="str">
            <v>BR_CNPJ</v>
          </cell>
          <cell r="F1956" t="str">
            <v>02.818.075/0001-00</v>
          </cell>
        </row>
        <row r="1957">
          <cell r="A1957">
            <v>31189</v>
          </cell>
          <cell r="B1957" t="str">
            <v>CORPORATION</v>
          </cell>
          <cell r="C1957" t="str">
            <v>Jose W.R. Da Silva Eireli</v>
          </cell>
          <cell r="D1957" t="str">
            <v>Gabriela Construcoes</v>
          </cell>
          <cell r="E1957" t="str">
            <v>BR_CNPJ</v>
          </cell>
          <cell r="F1957" t="str">
            <v>35.207.430/0001-63</v>
          </cell>
        </row>
        <row r="1958">
          <cell r="A1958">
            <v>31191</v>
          </cell>
          <cell r="B1958" t="str">
            <v>CORPORATION</v>
          </cell>
          <cell r="C1958" t="str">
            <v>Assahi Maquinas E Equipamentos Ltda</v>
          </cell>
          <cell r="D1958" t="str">
            <v>Assahi Maquinas E Equipamentos Ltda</v>
          </cell>
          <cell r="E1958" t="str">
            <v>BR_CNPJ</v>
          </cell>
          <cell r="F1958" t="str">
            <v>48.911.028/0001-07</v>
          </cell>
        </row>
        <row r="1959">
          <cell r="A1959">
            <v>31192</v>
          </cell>
          <cell r="B1959" t="str">
            <v>CORPORATION</v>
          </cell>
          <cell r="C1959" t="str">
            <v>Meta Service Instalacao E Manutencao Industrial Ltda</v>
          </cell>
          <cell r="D1959" t="str">
            <v>Meta Industrial Service</v>
          </cell>
          <cell r="E1959" t="str">
            <v>BR_CNPJ</v>
          </cell>
          <cell r="F1959" t="str">
            <v>20.740.840/0001-06</v>
          </cell>
        </row>
        <row r="1960">
          <cell r="A1960">
            <v>31195</v>
          </cell>
          <cell r="B1960" t="str">
            <v>CORPORATION</v>
          </cell>
          <cell r="C1960" t="str">
            <v>Mgs Pecas Industriais Ltda</v>
          </cell>
          <cell r="D1960" t="str">
            <v>Mgs Pecas Industriais Ltda</v>
          </cell>
          <cell r="E1960" t="str">
            <v>BR_CNPJ</v>
          </cell>
          <cell r="F1960" t="str">
            <v>07.900.693/0001-18</v>
          </cell>
        </row>
        <row r="1961">
          <cell r="A1961">
            <v>31197</v>
          </cell>
          <cell r="B1961" t="str">
            <v>CORPORATION</v>
          </cell>
          <cell r="C1961" t="str">
            <v>Deb'Maq- Dn Comercio De Ferramentas E Soldas Ltda</v>
          </cell>
          <cell r="D1961" t="str">
            <v>Deb'Maq- Dn Comercio De Ferramentas E Soldas Ltda</v>
          </cell>
          <cell r="E1961" t="str">
            <v>BR_CNPJ</v>
          </cell>
          <cell r="F1961" t="str">
            <v>90.104.951/0001-01</v>
          </cell>
        </row>
        <row r="1962">
          <cell r="A1962">
            <v>31203</v>
          </cell>
          <cell r="B1962" t="str">
            <v>CORPORATION</v>
          </cell>
          <cell r="C1962" t="str">
            <v>Distrinox Distribuidora De Artefatos Agricolas E Seguranca Ltda</v>
          </cell>
          <cell r="D1962" t="str">
            <v>Distrinox Distribuidora De Artefatos Agricolas E Seguranca Ltda</v>
          </cell>
          <cell r="E1962" t="str">
            <v>BR_CNPJ</v>
          </cell>
          <cell r="F1962" t="str">
            <v>04.962.325/0001-06</v>
          </cell>
        </row>
        <row r="1963">
          <cell r="A1963">
            <v>31206</v>
          </cell>
          <cell r="B1963" t="str">
            <v>CORPORATION</v>
          </cell>
          <cell r="C1963" t="str">
            <v>Romata Ferramentas E Maquinas Ltda - Epp</v>
          </cell>
          <cell r="D1963" t="str">
            <v>Romata Ferramentas E Maquinas Ltda - Epp</v>
          </cell>
          <cell r="E1963" t="str">
            <v>BR_CNPJ</v>
          </cell>
          <cell r="F1963" t="str">
            <v>00.169.339/0001-16</v>
          </cell>
        </row>
        <row r="1964">
          <cell r="A1964">
            <v>31208</v>
          </cell>
          <cell r="B1964" t="str">
            <v>CORPORATION</v>
          </cell>
          <cell r="C1964" t="str">
            <v>Martineli Comercial Ltda</v>
          </cell>
          <cell r="D1964" t="str">
            <v>Martineli Comercial Ltda</v>
          </cell>
          <cell r="E1964" t="str">
            <v>BR_CNPJ</v>
          </cell>
          <cell r="F1964" t="str">
            <v>62.338.769/0001-71</v>
          </cell>
        </row>
        <row r="1965">
          <cell r="A1965">
            <v>31209</v>
          </cell>
          <cell r="B1965" t="str">
            <v>CORPORATION</v>
          </cell>
          <cell r="C1965" t="str">
            <v>Lojao Paraiba Comercial Ltda</v>
          </cell>
          <cell r="D1965" t="str">
            <v>Lojao Paraiba Magazines</v>
          </cell>
          <cell r="E1965" t="str">
            <v>BR_CNPJ</v>
          </cell>
          <cell r="F1965" t="str">
            <v>29.922.963/0002-05</v>
          </cell>
        </row>
        <row r="1966">
          <cell r="A1966">
            <v>31211</v>
          </cell>
          <cell r="B1966" t="str">
            <v>CORPORATION</v>
          </cell>
          <cell r="C1966" t="str">
            <v>Norberto Ricco Comercio De Maquinas E Ferramentas Ltda - Epp</v>
          </cell>
          <cell r="D1966" t="str">
            <v>Norberto Ricco</v>
          </cell>
          <cell r="E1966" t="str">
            <v>BR_CNPJ</v>
          </cell>
          <cell r="F1966" t="str">
            <v>61.373.924/0001-28</v>
          </cell>
        </row>
        <row r="1967">
          <cell r="A1967">
            <v>31214</v>
          </cell>
          <cell r="B1967" t="str">
            <v>CORPORATION</v>
          </cell>
          <cell r="C1967" t="str">
            <v>R &amp; R Comercio De Ferramentas Ltda</v>
          </cell>
          <cell r="D1967" t="str">
            <v>Palma Maquinas E Ferramentas</v>
          </cell>
          <cell r="E1967" t="str">
            <v>BR_CNPJ</v>
          </cell>
          <cell r="F1967" t="str">
            <v>08.764.542/0001-42</v>
          </cell>
        </row>
        <row r="1968">
          <cell r="A1968">
            <v>31218</v>
          </cell>
          <cell r="B1968" t="str">
            <v>CORPORATION</v>
          </cell>
          <cell r="C1968" t="str">
            <v>Albertino Tonarque Filho - Me</v>
          </cell>
          <cell r="D1968" t="str">
            <v>A M Ferramentas</v>
          </cell>
          <cell r="E1968" t="str">
            <v>BR_CNPJ</v>
          </cell>
          <cell r="F1968" t="str">
            <v>13.304.599/0001-07</v>
          </cell>
        </row>
        <row r="1969">
          <cell r="A1969">
            <v>31222</v>
          </cell>
          <cell r="B1969" t="str">
            <v>CORPORATION</v>
          </cell>
          <cell r="C1969" t="str">
            <v>Ap Silva Distribuidora De Produtos Automotivos E Industriais - Me</v>
          </cell>
          <cell r="D1969" t="str">
            <v>Ap Silva Distribuidora</v>
          </cell>
          <cell r="E1969" t="str">
            <v>BR_CNPJ</v>
          </cell>
          <cell r="F1969" t="str">
            <v>09.688.130/0001-33</v>
          </cell>
        </row>
        <row r="1970">
          <cell r="A1970">
            <v>31224</v>
          </cell>
          <cell r="B1970" t="str">
            <v>CORPORATION</v>
          </cell>
          <cell r="C1970" t="str">
            <v>Mano Comercio De Maquinas E Ferramentas Ltda</v>
          </cell>
          <cell r="D1970" t="str">
            <v>Mano Parafusos E Ferramentas</v>
          </cell>
          <cell r="E1970" t="str">
            <v>BR_CNPJ</v>
          </cell>
          <cell r="F1970" t="str">
            <v>38.313.393/0001-66</v>
          </cell>
          <cell r="G1970" t="str">
            <v>MANO COMERCIO</v>
          </cell>
        </row>
        <row r="1971">
          <cell r="A1971">
            <v>31225</v>
          </cell>
          <cell r="B1971" t="str">
            <v>CORPORATION</v>
          </cell>
          <cell r="C1971" t="str">
            <v>Ja Ferramentas E Maquinas Ltda</v>
          </cell>
          <cell r="D1971" t="str">
            <v>Schneider Ferramentas E Maquinas</v>
          </cell>
          <cell r="E1971" t="str">
            <v>BR_CNPJ</v>
          </cell>
          <cell r="F1971" t="str">
            <v>03.192.806/0001-17</v>
          </cell>
        </row>
        <row r="1972">
          <cell r="A1972">
            <v>31229</v>
          </cell>
          <cell r="B1972" t="str">
            <v>CORPORATION</v>
          </cell>
          <cell r="C1972" t="str">
            <v>Rdc Auto Pecas Ltda - Me</v>
          </cell>
          <cell r="D1972" t="str">
            <v>Rdc Auto Pecas Ltda - Me</v>
          </cell>
          <cell r="E1972" t="str">
            <v>BR_CNPJ</v>
          </cell>
          <cell r="F1972" t="str">
            <v>12.152.729/0001-62</v>
          </cell>
        </row>
        <row r="1973">
          <cell r="A1973">
            <v>31232</v>
          </cell>
          <cell r="B1973" t="str">
            <v>CORPORATION</v>
          </cell>
          <cell r="C1973" t="str">
            <v>Comercio De Soldas Oeste Ltda - Me</v>
          </cell>
          <cell r="D1973" t="str">
            <v>Comercio De Soldas Oeste Ltda - Me</v>
          </cell>
          <cell r="E1973" t="str">
            <v>BR_CNPJ</v>
          </cell>
          <cell r="F1973" t="str">
            <v>09.479.439/0001-13</v>
          </cell>
        </row>
        <row r="1974">
          <cell r="A1974">
            <v>31234</v>
          </cell>
          <cell r="B1974" t="str">
            <v>CORPORATION</v>
          </cell>
          <cell r="C1974" t="str">
            <v>L P Di Domenico</v>
          </cell>
          <cell r="D1974" t="str">
            <v>Dimi Locacoes E Ferramentas</v>
          </cell>
          <cell r="E1974" t="str">
            <v>BR_CNPJ</v>
          </cell>
          <cell r="F1974" t="str">
            <v>18.183.083/0001-67</v>
          </cell>
        </row>
        <row r="1975">
          <cell r="A1975">
            <v>31236</v>
          </cell>
          <cell r="B1975" t="str">
            <v>CORPORATION</v>
          </cell>
          <cell r="C1975" t="str">
            <v>D&amp;A Ferragens E Ferramentas Ltda-Me</v>
          </cell>
          <cell r="D1975" t="str">
            <v>Mix Ferramentas</v>
          </cell>
          <cell r="E1975" t="str">
            <v>BR_CNPJ</v>
          </cell>
          <cell r="F1975" t="str">
            <v>20.674.791/0001-42</v>
          </cell>
        </row>
        <row r="1976">
          <cell r="A1976">
            <v>31238</v>
          </cell>
          <cell r="B1976" t="str">
            <v>CORPORATION</v>
          </cell>
          <cell r="C1976" t="str">
            <v>Pafer Comercial Ltda</v>
          </cell>
          <cell r="D1976" t="str">
            <v>Pafer Comercial Ltda</v>
          </cell>
          <cell r="E1976" t="str">
            <v>BR_CNPJ</v>
          </cell>
          <cell r="F1976" t="str">
            <v>80.443.120/0001-00</v>
          </cell>
        </row>
        <row r="1977">
          <cell r="A1977">
            <v>31241</v>
          </cell>
          <cell r="B1977" t="str">
            <v>CORPORATION</v>
          </cell>
          <cell r="C1977" t="str">
            <v>Simao Ferramentas Ltda</v>
          </cell>
          <cell r="D1977" t="str">
            <v>Simao Ferramentas</v>
          </cell>
          <cell r="E1977" t="str">
            <v>BR_CNPJ</v>
          </cell>
          <cell r="F1977" t="str">
            <v>11.944.835/0001-16</v>
          </cell>
          <cell r="G1977" t="str">
            <v>SIMAO FERRAMENTAS</v>
          </cell>
        </row>
        <row r="1978">
          <cell r="A1978">
            <v>31243</v>
          </cell>
          <cell r="B1978" t="str">
            <v>CORPORATION</v>
          </cell>
          <cell r="C1978" t="str">
            <v>Gurgelmix Maquinas E Ferramentas S.A.</v>
          </cell>
          <cell r="D1978" t="str">
            <v>Loja Do Mecanico (Marilia)</v>
          </cell>
          <cell r="E1978" t="str">
            <v>BR_CNPJ</v>
          </cell>
          <cell r="F1978" t="str">
            <v>29.302.348/0025-92</v>
          </cell>
          <cell r="G1978" t="str">
            <v>GURGEL</v>
          </cell>
        </row>
        <row r="1979">
          <cell r="A1979">
            <v>31245</v>
          </cell>
          <cell r="B1979" t="str">
            <v>CORPORATION</v>
          </cell>
          <cell r="C1979" t="str">
            <v>Gurgelmix Maquinas E Ferramentas S.A.</v>
          </cell>
          <cell r="D1979" t="str">
            <v>Loja Do Mecanico (Guarulhos)</v>
          </cell>
          <cell r="E1979" t="str">
            <v>BR_CNPJ</v>
          </cell>
          <cell r="F1979" t="str">
            <v>29.302.348/0024-01</v>
          </cell>
          <cell r="G1979" t="str">
            <v>GURGEL</v>
          </cell>
        </row>
        <row r="1980">
          <cell r="A1980">
            <v>31247</v>
          </cell>
          <cell r="B1980" t="str">
            <v>CORPORATION</v>
          </cell>
          <cell r="C1980" t="str">
            <v>Silva Equipamentos Ltda - Me</v>
          </cell>
          <cell r="D1980" t="str">
            <v>Silva Manutencao Industrial</v>
          </cell>
          <cell r="E1980" t="str">
            <v>BR_CNPJ</v>
          </cell>
          <cell r="F1980" t="str">
            <v>18.224.986/0001-49</v>
          </cell>
        </row>
        <row r="1981">
          <cell r="A1981">
            <v>31250</v>
          </cell>
          <cell r="B1981" t="str">
            <v>CORPORATION</v>
          </cell>
          <cell r="C1981" t="str">
            <v>Mirvane Parafusos E Ferragens Ltda - Me</v>
          </cell>
          <cell r="D1981" t="str">
            <v>Mirvane Parafusos</v>
          </cell>
          <cell r="E1981" t="str">
            <v>BR_CNPJ</v>
          </cell>
          <cell r="F1981" t="str">
            <v>18.201.743/0001-95</v>
          </cell>
        </row>
        <row r="1982">
          <cell r="A1982">
            <v>31254</v>
          </cell>
          <cell r="B1982" t="str">
            <v>CORPORATION</v>
          </cell>
          <cell r="C1982" t="str">
            <v>G H Abrasivos - Eireli</v>
          </cell>
          <cell r="D1982" t="str">
            <v>Sm Abrasivos</v>
          </cell>
          <cell r="E1982" t="str">
            <v>BR_CNPJ</v>
          </cell>
          <cell r="F1982" t="str">
            <v>30.692.358/0001-93</v>
          </cell>
        </row>
        <row r="1983">
          <cell r="A1983">
            <v>31255</v>
          </cell>
          <cell r="B1983" t="str">
            <v>CORPORATION</v>
          </cell>
          <cell r="C1983" t="str">
            <v>Mundial Ferramentas E Materiais Para Construcao Ltda - Me</v>
          </cell>
          <cell r="D1983" t="str">
            <v>Mundial Ferramentas E Materiais Para Construcao Ltda - Me</v>
          </cell>
          <cell r="E1983" t="str">
            <v>BR_CNPJ</v>
          </cell>
          <cell r="F1983" t="str">
            <v>12.843.400/0001-48</v>
          </cell>
        </row>
        <row r="1984">
          <cell r="A1984">
            <v>31256</v>
          </cell>
          <cell r="B1984" t="str">
            <v>CORPORATION</v>
          </cell>
          <cell r="C1984" t="str">
            <v>Portal Atacadista Ltda</v>
          </cell>
          <cell r="D1984" t="str">
            <v>Atacadao Carajas</v>
          </cell>
          <cell r="E1984" t="str">
            <v>BR_CNPJ</v>
          </cell>
          <cell r="F1984" t="str">
            <v>28.995.013/0001-67</v>
          </cell>
        </row>
        <row r="1985">
          <cell r="A1985">
            <v>31257</v>
          </cell>
          <cell r="B1985" t="str">
            <v>CORPORATION</v>
          </cell>
          <cell r="C1985" t="str">
            <v>J A Dias Pinheiro - Me</v>
          </cell>
          <cell r="D1985" t="str">
            <v>Forte Terra Construcoes E Projetos</v>
          </cell>
          <cell r="E1985" t="str">
            <v>BR_CNPJ</v>
          </cell>
          <cell r="F1985" t="str">
            <v>10.905.927/0001-24</v>
          </cell>
        </row>
        <row r="1986">
          <cell r="A1986">
            <v>31260</v>
          </cell>
          <cell r="B1986" t="str">
            <v>CORPORATION</v>
          </cell>
          <cell r="C1986" t="str">
            <v>Correta - Comercio De Ferramentas Automotivas Ltda - Me</v>
          </cell>
          <cell r="D1986" t="str">
            <v>Correta - Comercio De Ferramentas Automotivas Ltda - Me</v>
          </cell>
          <cell r="E1986" t="str">
            <v>BR_CNPJ</v>
          </cell>
          <cell r="F1986" t="str">
            <v>93.349.181/0001-47</v>
          </cell>
        </row>
        <row r="1987">
          <cell r="A1987">
            <v>31263</v>
          </cell>
          <cell r="B1987" t="str">
            <v>CORPORATION</v>
          </cell>
          <cell r="C1987" t="str">
            <v>Fixar Brasil Pecas De Fixacao Ltda - Me</v>
          </cell>
          <cell r="D1987" t="str">
            <v>Fixar</v>
          </cell>
          <cell r="E1987" t="str">
            <v>BR_CNPJ</v>
          </cell>
          <cell r="F1987" t="str">
            <v>12.293.393/0001-58</v>
          </cell>
        </row>
        <row r="1988">
          <cell r="A1988">
            <v>31267</v>
          </cell>
          <cell r="B1988" t="str">
            <v>CORPORATION</v>
          </cell>
          <cell r="C1988" t="str">
            <v>Terra Util -Comercio De Maquinas, Ferramentas E Utilidades Ltda</v>
          </cell>
          <cell r="D1988" t="str">
            <v>Bc Ferramentaria</v>
          </cell>
          <cell r="E1988" t="str">
            <v>BR_CNPJ</v>
          </cell>
          <cell r="F1988" t="str">
            <v>07.144.507/0001-68</v>
          </cell>
        </row>
        <row r="1989">
          <cell r="A1989">
            <v>31268</v>
          </cell>
          <cell r="B1989" t="str">
            <v>CORPORATION</v>
          </cell>
          <cell r="C1989" t="str">
            <v>Jesuino E Parreira Ltda</v>
          </cell>
          <cell r="D1989" t="str">
            <v>Ipiranga Metais</v>
          </cell>
          <cell r="E1989" t="str">
            <v>BR_CNPJ</v>
          </cell>
          <cell r="F1989" t="str">
            <v>00.264.076/0004-77</v>
          </cell>
          <cell r="G1989" t="str">
            <v>IPIRANGA METAIS</v>
          </cell>
        </row>
        <row r="1990">
          <cell r="A1990">
            <v>31270</v>
          </cell>
          <cell r="B1990" t="str">
            <v>CORPORATION</v>
          </cell>
          <cell r="C1990" t="str">
            <v>Maria Jose Diogo Da Silva - Me</v>
          </cell>
          <cell r="D1990" t="str">
            <v>Maria Jose Diogo Da Silva - Me</v>
          </cell>
          <cell r="E1990" t="str">
            <v>BR_CNPJ</v>
          </cell>
          <cell r="F1990" t="str">
            <v>09.003.107/0001-68</v>
          </cell>
        </row>
        <row r="1991">
          <cell r="A1991">
            <v>31275</v>
          </cell>
          <cell r="B1991" t="str">
            <v>CORPORATION</v>
          </cell>
          <cell r="C1991" t="str">
            <v>Freire &amp; Rodrigues Ltda - Me</v>
          </cell>
          <cell r="D1991" t="str">
            <v>Mafmaq</v>
          </cell>
          <cell r="E1991" t="str">
            <v>BR_CNPJ</v>
          </cell>
          <cell r="F1991" t="str">
            <v>13.464.072/0001-31</v>
          </cell>
        </row>
        <row r="1992">
          <cell r="A1992">
            <v>31281</v>
          </cell>
          <cell r="B1992" t="str">
            <v>CORPORATION</v>
          </cell>
          <cell r="C1992" t="str">
            <v>Maquinas &amp; Cia Ferramentas E Equipamentos De Seguranca Ltda</v>
          </cell>
          <cell r="D1992" t="str">
            <v>Maquinas &amp; Cia</v>
          </cell>
          <cell r="E1992" t="str">
            <v>BR_CNPJ</v>
          </cell>
          <cell r="F1992" t="str">
            <v>25.321.498/0001-15</v>
          </cell>
        </row>
        <row r="1993">
          <cell r="A1993">
            <v>31287</v>
          </cell>
          <cell r="B1993" t="str">
            <v>CORPORATION</v>
          </cell>
          <cell r="C1993" t="str">
            <v>Ordeleite Equipamentos Ltda - Epp</v>
          </cell>
          <cell r="D1993" t="str">
            <v>Ordeleite</v>
          </cell>
          <cell r="E1993" t="str">
            <v>BR_CNPJ</v>
          </cell>
          <cell r="F1993" t="str">
            <v>13.290.815/0001-02</v>
          </cell>
        </row>
        <row r="1994">
          <cell r="A1994">
            <v>31289</v>
          </cell>
          <cell r="B1994" t="str">
            <v>CORPORATION</v>
          </cell>
          <cell r="C1994" t="str">
            <v>R Serejo Cunha</v>
          </cell>
          <cell r="D1994" t="str">
            <v>Fercastro Br</v>
          </cell>
          <cell r="E1994" t="str">
            <v>BR_CNPJ</v>
          </cell>
          <cell r="F1994" t="str">
            <v>37.806.818/0001-06</v>
          </cell>
          <cell r="G1994" t="str">
            <v>FERCASTRO</v>
          </cell>
        </row>
        <row r="1995">
          <cell r="A1995">
            <v>31293</v>
          </cell>
          <cell r="B1995" t="str">
            <v>CORPORATION</v>
          </cell>
          <cell r="C1995" t="str">
            <v>Casa Do Torneiro Ltda</v>
          </cell>
          <cell r="D1995" t="str">
            <v>Casa Do Torneiro</v>
          </cell>
          <cell r="E1995" t="str">
            <v>BR_CNPJ</v>
          </cell>
          <cell r="F1995" t="str">
            <v>19.346.386/0001-16</v>
          </cell>
        </row>
        <row r="1996">
          <cell r="A1996">
            <v>31296</v>
          </cell>
          <cell r="B1996" t="str">
            <v>CORPORATION</v>
          </cell>
          <cell r="C1996" t="str">
            <v>Trevisan &amp; Rotta Maquinas E Ferramentas Ltda</v>
          </cell>
          <cell r="D1996" t="str">
            <v>Trevisan &amp; Rotta Maquinas E Ferramentas Ltda</v>
          </cell>
          <cell r="E1996" t="str">
            <v>BR_CNPJ</v>
          </cell>
          <cell r="F1996" t="str">
            <v>03.106.638/0001-08</v>
          </cell>
        </row>
        <row r="1997">
          <cell r="A1997">
            <v>31300</v>
          </cell>
          <cell r="B1997" t="str">
            <v>CORPORATION</v>
          </cell>
          <cell r="C1997" t="str">
            <v>J. R. Pais Sorocaba Ltda - Me</v>
          </cell>
          <cell r="D1997" t="str">
            <v>Duplo R</v>
          </cell>
          <cell r="E1997" t="str">
            <v>BR_CNPJ</v>
          </cell>
          <cell r="F1997" t="str">
            <v>08.356.093/0001-01</v>
          </cell>
        </row>
        <row r="1998">
          <cell r="A1998">
            <v>31303</v>
          </cell>
          <cell r="B1998" t="str">
            <v>CORPORATION</v>
          </cell>
          <cell r="C1998" t="str">
            <v>Comercial Mineira De Maquinas Ltda</v>
          </cell>
          <cell r="D1998" t="str">
            <v>Comercial Mineira</v>
          </cell>
          <cell r="E1998" t="str">
            <v>BR_CNPJ</v>
          </cell>
          <cell r="F1998" t="str">
            <v>20.009.908/0001-73</v>
          </cell>
        </row>
        <row r="1999">
          <cell r="A1999">
            <v>31304</v>
          </cell>
          <cell r="B1999" t="str">
            <v>CORPORATION</v>
          </cell>
          <cell r="C1999" t="str">
            <v>Vertical Eletrico &amp; Construcao Ltda</v>
          </cell>
          <cell r="D1999" t="str">
            <v>Vertical Eletrico &amp; Construcao Ltda</v>
          </cell>
          <cell r="E1999" t="str">
            <v>BR_CNPJ</v>
          </cell>
          <cell r="F1999" t="str">
            <v>85.096.196/0001-12</v>
          </cell>
        </row>
        <row r="2000">
          <cell r="A2000">
            <v>31310</v>
          </cell>
          <cell r="B2000" t="str">
            <v>CORPORATION</v>
          </cell>
          <cell r="C2000" t="str">
            <v>Ferragens Pinho Ltda</v>
          </cell>
          <cell r="D2000" t="str">
            <v>Ferragens Pinho Ltda</v>
          </cell>
          <cell r="E2000" t="str">
            <v>BR_CNPJ</v>
          </cell>
          <cell r="F2000" t="str">
            <v>21.568.506/0001-71</v>
          </cell>
        </row>
        <row r="2001">
          <cell r="A2001">
            <v>31313</v>
          </cell>
          <cell r="B2001" t="str">
            <v>CORPORATION</v>
          </cell>
          <cell r="C2001" t="str">
            <v>Emaferramentas Ltda - Me</v>
          </cell>
          <cell r="D2001" t="str">
            <v>Torneadora E Mecanica Rezende Santos Ltda</v>
          </cell>
          <cell r="E2001" t="str">
            <v>BR_CNPJ</v>
          </cell>
          <cell r="F2001" t="str">
            <v>08.776.578/0001-46</v>
          </cell>
        </row>
        <row r="2002">
          <cell r="A2002">
            <v>31316</v>
          </cell>
          <cell r="B2002" t="str">
            <v>CORPORATION</v>
          </cell>
          <cell r="C2002" t="str">
            <v>Ferramentas E Maquinas Stamp 783 Ltda - Epp</v>
          </cell>
          <cell r="D2002" t="str">
            <v>Shoping Das Ferramentas</v>
          </cell>
          <cell r="E2002" t="str">
            <v>BR_CNPJ</v>
          </cell>
          <cell r="F2002" t="str">
            <v>05.850.792/0001-07</v>
          </cell>
        </row>
        <row r="2003">
          <cell r="A2003">
            <v>31319</v>
          </cell>
          <cell r="B2003" t="str">
            <v>CORPORATION</v>
          </cell>
          <cell r="C2003" t="str">
            <v>Alf Iguacu Ferramentas Ltda - Me</v>
          </cell>
          <cell r="D2003" t="str">
            <v>Alf Ferramentas</v>
          </cell>
          <cell r="E2003" t="str">
            <v>BR_CNPJ</v>
          </cell>
          <cell r="F2003" t="str">
            <v>09.178.367/0001-74</v>
          </cell>
        </row>
        <row r="2004">
          <cell r="A2004">
            <v>31321</v>
          </cell>
          <cell r="B2004" t="str">
            <v>CORPORATION</v>
          </cell>
          <cell r="C2004" t="str">
            <v>35.347.958 Luciano Silva De Jesus</v>
          </cell>
          <cell r="D2004" t="str">
            <v>Silva Ferragens E Locacoes (Ferragista Mundial)</v>
          </cell>
          <cell r="E2004" t="str">
            <v>BR_CNPJ</v>
          </cell>
          <cell r="F2004" t="str">
            <v>35.347.958/0001-38</v>
          </cell>
          <cell r="G2004" t="str">
            <v>MUNDIAL</v>
          </cell>
        </row>
        <row r="2005">
          <cell r="A2005">
            <v>31326</v>
          </cell>
          <cell r="B2005" t="str">
            <v>CORPORATION</v>
          </cell>
          <cell r="C2005" t="str">
            <v>Casa De Parafusos Ferraretto Ltda</v>
          </cell>
          <cell r="D2005" t="str">
            <v>Casa De Parafusos Ferraretto Ltda</v>
          </cell>
          <cell r="E2005" t="str">
            <v>BR_CNPJ</v>
          </cell>
          <cell r="F2005" t="str">
            <v>02.926.620/0001-81</v>
          </cell>
        </row>
        <row r="2006">
          <cell r="A2006">
            <v>31327</v>
          </cell>
          <cell r="B2006" t="str">
            <v>CORPORATION</v>
          </cell>
          <cell r="C2006" t="str">
            <v>Vanderlei Galdino Ferragens E Ferramentas</v>
          </cell>
          <cell r="D2006" t="str">
            <v>Lv Ferragens E Ferramentas</v>
          </cell>
          <cell r="E2006" t="str">
            <v>BR_CNPJ</v>
          </cell>
          <cell r="F2006" t="str">
            <v>45.601.223/0001-42</v>
          </cell>
        </row>
        <row r="2007">
          <cell r="A2007">
            <v>31328</v>
          </cell>
          <cell r="B2007" t="str">
            <v>CORPORATION</v>
          </cell>
          <cell r="C2007" t="str">
            <v>Leonidas Alves De Freitas &amp; Filhos Ltda</v>
          </cell>
          <cell r="D2007" t="str">
            <v>Freitas Construcoes</v>
          </cell>
          <cell r="E2007" t="str">
            <v>BR_CNPJ</v>
          </cell>
          <cell r="F2007" t="str">
            <v>15.530.882/0001-74</v>
          </cell>
        </row>
        <row r="2008">
          <cell r="A2008">
            <v>31335</v>
          </cell>
          <cell r="B2008" t="str">
            <v>CORPORATION</v>
          </cell>
          <cell r="C2008" t="str">
            <v>D. Abrantes Variedades Ltda - Me</v>
          </cell>
          <cell r="D2008" t="str">
            <v>Bazar Dom Pedro</v>
          </cell>
          <cell r="E2008" t="str">
            <v>BR_CNPJ</v>
          </cell>
          <cell r="F2008" t="str">
            <v>06.141.682/0001-39</v>
          </cell>
        </row>
        <row r="2009">
          <cell r="A2009">
            <v>31339</v>
          </cell>
          <cell r="B2009" t="str">
            <v>CORPORATION</v>
          </cell>
          <cell r="C2009" t="str">
            <v>Tatuifer - Comercio De Ferro E Aco Ltda - Epp</v>
          </cell>
          <cell r="D2009" t="str">
            <v>Tatuifer</v>
          </cell>
          <cell r="E2009" t="str">
            <v>BR_CNPJ</v>
          </cell>
          <cell r="F2009" t="str">
            <v>00.011.289/0001-44</v>
          </cell>
        </row>
        <row r="2010">
          <cell r="A2010">
            <v>31340</v>
          </cell>
          <cell r="B2010" t="str">
            <v>CORPORATION</v>
          </cell>
          <cell r="C2010" t="str">
            <v>America-Xingu Produtos Industriais Ltda</v>
          </cell>
          <cell r="D2010" t="str">
            <v>America-Xingu</v>
          </cell>
          <cell r="E2010" t="str">
            <v>BR_CNPJ</v>
          </cell>
          <cell r="F2010" t="str">
            <v>11.815.947/0001-77</v>
          </cell>
        </row>
        <row r="2011">
          <cell r="A2011">
            <v>31341</v>
          </cell>
          <cell r="B2011" t="str">
            <v>CORPORATION</v>
          </cell>
          <cell r="C2011" t="str">
            <v>Soldatec Comercio E Manut De Maq E Equip Ltda</v>
          </cell>
          <cell r="D2011" t="str">
            <v>Soldatec C</v>
          </cell>
          <cell r="E2011" t="str">
            <v>BR_CNPJ</v>
          </cell>
          <cell r="F2011" t="str">
            <v>14.370.509/0001-30</v>
          </cell>
        </row>
        <row r="2012">
          <cell r="A2012">
            <v>31344</v>
          </cell>
          <cell r="B2012" t="str">
            <v>CORPORATION</v>
          </cell>
          <cell r="C2012" t="str">
            <v>Impromel Comercial Ltda - Me</v>
          </cell>
          <cell r="D2012" t="str">
            <v>Impromel Comercial Ltda - Me</v>
          </cell>
          <cell r="E2012" t="str">
            <v>BR_CNPJ</v>
          </cell>
          <cell r="F2012" t="str">
            <v>75.806.422/0001-58</v>
          </cell>
        </row>
        <row r="2013">
          <cell r="A2013">
            <v>31350</v>
          </cell>
          <cell r="B2013" t="str">
            <v>CORPORATION</v>
          </cell>
          <cell r="C2013" t="str">
            <v>Stribofer Ferro E Aco Ltda - Me</v>
          </cell>
          <cell r="D2013" t="str">
            <v>Stribofer</v>
          </cell>
          <cell r="E2013" t="str">
            <v>BR_CNPJ</v>
          </cell>
          <cell r="F2013" t="str">
            <v>13.430.280/0001-10</v>
          </cell>
        </row>
        <row r="2014">
          <cell r="A2014">
            <v>31351</v>
          </cell>
          <cell r="B2014" t="str">
            <v>CORPORATION</v>
          </cell>
          <cell r="C2014" t="str">
            <v>Yama Soldas Distribuidora De Equipamentos Ltda</v>
          </cell>
          <cell r="D2014" t="str">
            <v>Yama Soldas</v>
          </cell>
          <cell r="E2014" t="str">
            <v>BR_CNPJ</v>
          </cell>
          <cell r="F2014" t="str">
            <v>13.624.368/0001-72</v>
          </cell>
          <cell r="G2014" t="str">
            <v>YAMA</v>
          </cell>
        </row>
        <row r="2015">
          <cell r="A2015">
            <v>31352</v>
          </cell>
          <cell r="B2015" t="str">
            <v>CORPORATION</v>
          </cell>
          <cell r="C2015" t="str">
            <v>G Lago Oliveira Eireli</v>
          </cell>
          <cell r="D2015" t="str">
            <v>Ferraco Materiais De Construcao</v>
          </cell>
          <cell r="E2015" t="str">
            <v>BR_CNPJ</v>
          </cell>
          <cell r="F2015" t="str">
            <v>07.179.752/0001-00</v>
          </cell>
        </row>
        <row r="2016">
          <cell r="A2016">
            <v>31353</v>
          </cell>
          <cell r="B2016" t="str">
            <v>CORPORATION</v>
          </cell>
          <cell r="C2016" t="str">
            <v>Wesley Dos Santos Leite - Me</v>
          </cell>
          <cell r="D2016" t="str">
            <v>Setup Ferragens E Ferramentas</v>
          </cell>
          <cell r="E2016" t="str">
            <v>BR_CNPJ</v>
          </cell>
          <cell r="F2016" t="str">
            <v>09.460.873/0001-51</v>
          </cell>
        </row>
        <row r="2017">
          <cell r="A2017">
            <v>31355</v>
          </cell>
          <cell r="B2017" t="str">
            <v>CORPORATION</v>
          </cell>
          <cell r="C2017" t="str">
            <v>Ferragista Mendanha Ltda</v>
          </cell>
          <cell r="D2017" t="str">
            <v>Ferragista Mendanha</v>
          </cell>
          <cell r="E2017" t="str">
            <v>BR_CNPJ</v>
          </cell>
          <cell r="F2017" t="str">
            <v>14.338.833/0001-71</v>
          </cell>
        </row>
        <row r="2018">
          <cell r="A2018">
            <v>31357</v>
          </cell>
          <cell r="B2018" t="str">
            <v>CORPORATION</v>
          </cell>
          <cell r="C2018" t="str">
            <v>Bruna Da Cruz Silveira 40623328844</v>
          </cell>
          <cell r="D2018" t="str">
            <v>Osasmig</v>
          </cell>
          <cell r="E2018" t="str">
            <v>BR_CNPJ</v>
          </cell>
          <cell r="F2018" t="str">
            <v>31.101.159/0001-26</v>
          </cell>
        </row>
        <row r="2019">
          <cell r="A2019">
            <v>31359</v>
          </cell>
          <cell r="B2019" t="str">
            <v>CORPORATION</v>
          </cell>
          <cell r="C2019" t="str">
            <v>R S Camargo Comercial Ltda - Epp</v>
          </cell>
          <cell r="D2019" t="str">
            <v>R S Camargo</v>
          </cell>
          <cell r="E2019" t="str">
            <v>BR_CNPJ</v>
          </cell>
          <cell r="F2019" t="str">
            <v>14.736.093/0001-21</v>
          </cell>
        </row>
        <row r="2020">
          <cell r="A2020">
            <v>31362</v>
          </cell>
          <cell r="B2020" t="str">
            <v>CORPORATION</v>
          </cell>
          <cell r="C2020" t="str">
            <v>Ferramentas Gerais Comercio E Importacao S/A</v>
          </cell>
          <cell r="D2020" t="str">
            <v>Ferramentas Gerais Comercio E Importacao S/A</v>
          </cell>
          <cell r="E2020" t="str">
            <v>BR_CNPJ</v>
          </cell>
          <cell r="F2020" t="str">
            <v>92.664.028/0001-41</v>
          </cell>
        </row>
        <row r="2021">
          <cell r="A2021">
            <v>31365</v>
          </cell>
          <cell r="B2021" t="str">
            <v>CORPORATION</v>
          </cell>
          <cell r="C2021" t="str">
            <v>Mecparts Automotiva Do Brasil Ltda - Me</v>
          </cell>
          <cell r="D2021" t="str">
            <v>Mecparts Do Brasil</v>
          </cell>
          <cell r="E2021" t="str">
            <v>BR_CNPJ</v>
          </cell>
          <cell r="F2021" t="str">
            <v>07.379.300/0001-72</v>
          </cell>
        </row>
        <row r="2022">
          <cell r="A2022">
            <v>31366</v>
          </cell>
          <cell r="B2022" t="str">
            <v>CORPORATION</v>
          </cell>
          <cell r="C2022" t="str">
            <v>Ditec Tecnologia Em Seguranca Eletronica Eireli</v>
          </cell>
          <cell r="D2022" t="str">
            <v>Ditec Distribuidora</v>
          </cell>
          <cell r="E2022" t="str">
            <v>BR_CNPJ</v>
          </cell>
          <cell r="F2022" t="str">
            <v>10.747.910/0001-96</v>
          </cell>
        </row>
        <row r="2023">
          <cell r="A2023">
            <v>31368</v>
          </cell>
          <cell r="B2023" t="str">
            <v>CORPORATION</v>
          </cell>
          <cell r="C2023" t="str">
            <v>Flavio Luiz Rodrigues Da Silva - Me</v>
          </cell>
          <cell r="D2023" t="str">
            <v>Lojao Das Ferramentas</v>
          </cell>
          <cell r="E2023" t="str">
            <v>BR_CNPJ</v>
          </cell>
          <cell r="F2023" t="str">
            <v>06.231.503/0001-54</v>
          </cell>
        </row>
        <row r="2024">
          <cell r="A2024">
            <v>31374</v>
          </cell>
          <cell r="B2024" t="str">
            <v>CORPORATION</v>
          </cell>
          <cell r="C2024" t="str">
            <v>Comercial Berto Ltda - Me</v>
          </cell>
          <cell r="D2024" t="str">
            <v>Sb Ferramentas</v>
          </cell>
          <cell r="E2024" t="str">
            <v>BR_CNPJ</v>
          </cell>
          <cell r="F2024" t="str">
            <v>01.146.825/0001-81</v>
          </cell>
        </row>
        <row r="2025">
          <cell r="A2025">
            <v>31376</v>
          </cell>
          <cell r="B2025" t="str">
            <v>CORPORATION</v>
          </cell>
          <cell r="C2025" t="str">
            <v>Compre Tudo Ponto Com Eletronicos Ltda</v>
          </cell>
          <cell r="D2025" t="str">
            <v>Compre Tudo Ponto Com Eletronicos Ltda</v>
          </cell>
          <cell r="E2025" t="str">
            <v>BR_CNPJ</v>
          </cell>
          <cell r="F2025" t="str">
            <v>42.294.509/0001-34</v>
          </cell>
        </row>
        <row r="2026">
          <cell r="A2026">
            <v>31377</v>
          </cell>
          <cell r="B2026" t="str">
            <v>CORPORATION</v>
          </cell>
          <cell r="C2026" t="str">
            <v>Galpao Centro Oeste Comercio De Produtos Agropecuarios Ltda - Me</v>
          </cell>
          <cell r="D2026" t="str">
            <v>Galpao Online</v>
          </cell>
          <cell r="E2026" t="str">
            <v>BR_CNPJ</v>
          </cell>
          <cell r="F2026" t="str">
            <v>12.759.814/0001-93</v>
          </cell>
        </row>
        <row r="2027">
          <cell r="A2027">
            <v>31380</v>
          </cell>
          <cell r="B2027" t="str">
            <v>CORPORATION</v>
          </cell>
          <cell r="C2027" t="str">
            <v>Ricardo Da Silva - Epp</v>
          </cell>
          <cell r="D2027" t="str">
            <v>Araguaia Ferramentas</v>
          </cell>
          <cell r="E2027" t="str">
            <v>BR_CNPJ</v>
          </cell>
          <cell r="F2027" t="str">
            <v>04.536.297/0001-65</v>
          </cell>
        </row>
        <row r="2028">
          <cell r="A2028">
            <v>31383</v>
          </cell>
          <cell r="B2028" t="str">
            <v>CORPORATION</v>
          </cell>
          <cell r="C2028" t="str">
            <v>Real Comercio De Ferramentas Ltda - Me</v>
          </cell>
          <cell r="D2028" t="str">
            <v>Real Ferramentas</v>
          </cell>
          <cell r="E2028" t="str">
            <v>BR_CNPJ</v>
          </cell>
          <cell r="F2028" t="str">
            <v>18.674.156/0001-13</v>
          </cell>
        </row>
        <row r="2029">
          <cell r="A2029">
            <v>31385</v>
          </cell>
          <cell r="B2029" t="str">
            <v>CORPORATION</v>
          </cell>
          <cell r="C2029" t="str">
            <v>Gira-Estoque Comercial De Produtos Ltda - Me</v>
          </cell>
          <cell r="D2029" t="str">
            <v>Gira-Estoque</v>
          </cell>
          <cell r="E2029" t="str">
            <v>BR_CNPJ</v>
          </cell>
          <cell r="F2029" t="str">
            <v>09.527.492/0001-42</v>
          </cell>
        </row>
        <row r="2030">
          <cell r="A2030">
            <v>31386</v>
          </cell>
          <cell r="B2030" t="str">
            <v>CORPORATION</v>
          </cell>
          <cell r="C2030" t="str">
            <v>Imperio Das Ferragens Sociedade Unipessoal Ltda</v>
          </cell>
          <cell r="D2030" t="str">
            <v>Imperio Das Ferragens</v>
          </cell>
          <cell r="E2030" t="str">
            <v>BR_CNPJ</v>
          </cell>
          <cell r="F2030" t="str">
            <v>41.667.901/0001-19</v>
          </cell>
          <cell r="G2030" t="str">
            <v>IMPERIO DAS FERRAGENS</v>
          </cell>
        </row>
        <row r="2031">
          <cell r="A2031">
            <v>31388</v>
          </cell>
          <cell r="B2031" t="str">
            <v>CORPORATION</v>
          </cell>
          <cell r="C2031" t="str">
            <v>Eveline Batistello 03775167919</v>
          </cell>
          <cell r="D2031" t="str">
            <v>Eveline Batistello 03775167919</v>
          </cell>
          <cell r="E2031" t="str">
            <v>BR_CNPJ</v>
          </cell>
          <cell r="F2031" t="str">
            <v>20.162.860/0001-39</v>
          </cell>
        </row>
        <row r="2032">
          <cell r="A2032">
            <v>31389</v>
          </cell>
          <cell r="B2032" t="str">
            <v>CORPORATION</v>
          </cell>
          <cell r="C2032" t="str">
            <v>Achei Bazar Comercio Eletronico Ltda</v>
          </cell>
          <cell r="D2032" t="str">
            <v>Achei Bazar</v>
          </cell>
          <cell r="E2032" t="str">
            <v>BR_CNPJ</v>
          </cell>
          <cell r="F2032" t="str">
            <v>34.286.362/0001-02</v>
          </cell>
        </row>
        <row r="2033">
          <cell r="A2033">
            <v>31390</v>
          </cell>
          <cell r="B2033" t="str">
            <v>CORPORATION</v>
          </cell>
          <cell r="C2033" t="str">
            <v>Comercial De Materiais Eletricos Elo Ltda - Me</v>
          </cell>
          <cell r="D2033" t="str">
            <v>Comercial De Materiais Eletricos Elo Ltda - Me</v>
          </cell>
          <cell r="E2033" t="str">
            <v>BR_CNPJ</v>
          </cell>
          <cell r="F2033" t="str">
            <v>18.025.797/0001-47</v>
          </cell>
        </row>
        <row r="2034">
          <cell r="A2034">
            <v>31393</v>
          </cell>
          <cell r="B2034" t="str">
            <v>CORPORATION</v>
          </cell>
          <cell r="C2034" t="str">
            <v>Unimig - Soldas E Fixacoes Ltda</v>
          </cell>
          <cell r="D2034" t="str">
            <v>Unimig</v>
          </cell>
          <cell r="E2034" t="str">
            <v>BR_CNPJ</v>
          </cell>
          <cell r="F2034" t="str">
            <v>20.351.463/0001-05</v>
          </cell>
        </row>
        <row r="2035">
          <cell r="A2035">
            <v>31396</v>
          </cell>
          <cell r="B2035" t="str">
            <v>CORPORATION</v>
          </cell>
          <cell r="C2035" t="str">
            <v>Vr Abrasivos Ltda</v>
          </cell>
          <cell r="D2035" t="str">
            <v>Vr Abrasivos</v>
          </cell>
          <cell r="E2035" t="str">
            <v>BR_CNPJ</v>
          </cell>
          <cell r="F2035" t="str">
            <v>03.136.028/0001-49</v>
          </cell>
        </row>
        <row r="2036">
          <cell r="A2036">
            <v>31401</v>
          </cell>
          <cell r="B2036" t="str">
            <v>CORPORATION</v>
          </cell>
          <cell r="C2036" t="str">
            <v>S L Par Comercial E Parafusos Ltda</v>
          </cell>
          <cell r="D2036" t="str">
            <v>S L Par</v>
          </cell>
          <cell r="E2036" t="str">
            <v>BR_CNPJ</v>
          </cell>
          <cell r="F2036" t="str">
            <v>68.139.104/0001-15</v>
          </cell>
        </row>
        <row r="2037">
          <cell r="A2037">
            <v>31404</v>
          </cell>
          <cell r="B2037" t="str">
            <v>CORPORATION</v>
          </cell>
          <cell r="C2037" t="str">
            <v>Aguado &amp; Cia Ltda</v>
          </cell>
          <cell r="D2037" t="str">
            <v>Aguado Maqs E Ferramentas</v>
          </cell>
          <cell r="E2037" t="str">
            <v>BR_CNPJ</v>
          </cell>
          <cell r="F2037" t="str">
            <v>00.244.852/0001-24</v>
          </cell>
        </row>
        <row r="2038">
          <cell r="A2038">
            <v>31407</v>
          </cell>
          <cell r="B2038" t="str">
            <v>CORPORATION</v>
          </cell>
          <cell r="C2038" t="str">
            <v>Marconi Ayres De Alencar Aquino - Me</v>
          </cell>
          <cell r="D2038" t="str">
            <v>Marconi Ayres De Alencar Aquino - Me</v>
          </cell>
          <cell r="E2038" t="str">
            <v>BR_CNPJ</v>
          </cell>
          <cell r="F2038" t="str">
            <v>07.864.962/0001-38</v>
          </cell>
        </row>
        <row r="2039">
          <cell r="A2039">
            <v>31413</v>
          </cell>
          <cell r="B2039" t="str">
            <v>CORPORATION</v>
          </cell>
          <cell r="C2039" t="str">
            <v>Total Comercio De Pecas E Equipamentos Eireli - Me</v>
          </cell>
          <cell r="D2039" t="str">
            <v>Total Ferramentas</v>
          </cell>
          <cell r="E2039" t="str">
            <v>BR_CNPJ</v>
          </cell>
          <cell r="F2039" t="str">
            <v>07.623.876/0001-33</v>
          </cell>
        </row>
        <row r="2040">
          <cell r="A2040">
            <v>31414</v>
          </cell>
          <cell r="B2040" t="str">
            <v>CORPORATION</v>
          </cell>
          <cell r="C2040" t="str">
            <v>Maria Aureliana Pereira Leite &amp; Cia. Ltda</v>
          </cell>
          <cell r="D2040" t="str">
            <v>Fusolavras</v>
          </cell>
          <cell r="E2040" t="str">
            <v>BR_CNPJ</v>
          </cell>
          <cell r="F2040" t="str">
            <v>01.266.278/0001-78</v>
          </cell>
        </row>
        <row r="2041">
          <cell r="A2041">
            <v>31415</v>
          </cell>
          <cell r="B2041" t="str">
            <v>CORPORATION</v>
          </cell>
          <cell r="C2041" t="str">
            <v>Ra Martins Borges &amp; Negocios Ltda</v>
          </cell>
          <cell r="D2041" t="str">
            <v>Ismafer - Sp Novo</v>
          </cell>
          <cell r="E2041" t="str">
            <v>BR_CNPJ</v>
          </cell>
          <cell r="F2041" t="str">
            <v>08.492.961/0004-15</v>
          </cell>
          <cell r="G2041" t="str">
            <v>ISMAFER</v>
          </cell>
        </row>
        <row r="2042">
          <cell r="A2042">
            <v>31416</v>
          </cell>
          <cell r="B2042" t="str">
            <v>CORPORATION</v>
          </cell>
          <cell r="C2042" t="str">
            <v>Assistencia Mecanica Hidraulica De Goias Ltda - Epp</v>
          </cell>
          <cell r="D2042" t="str">
            <v>Amhigo</v>
          </cell>
          <cell r="E2042" t="str">
            <v>BR_CNPJ</v>
          </cell>
          <cell r="F2042" t="str">
            <v>02.665.586/0001-39</v>
          </cell>
        </row>
        <row r="2043">
          <cell r="A2043">
            <v>31417</v>
          </cell>
          <cell r="B2043" t="str">
            <v>CORPORATION</v>
          </cell>
          <cell r="C2043" t="str">
            <v>Gb Ferramentas Ltda</v>
          </cell>
          <cell r="D2043" t="str">
            <v>Gb Ferramentas</v>
          </cell>
          <cell r="E2043" t="str">
            <v>BR_CNPJ</v>
          </cell>
          <cell r="F2043" t="str">
            <v>05.284.074/0001-10</v>
          </cell>
        </row>
        <row r="2044">
          <cell r="A2044">
            <v>31419</v>
          </cell>
          <cell r="B2044" t="str">
            <v>CORPORATION</v>
          </cell>
          <cell r="C2044" t="str">
            <v>Casa Das Ferramentas Ltda</v>
          </cell>
          <cell r="D2044" t="str">
            <v>Casa Das Ferramentas Ltda</v>
          </cell>
          <cell r="E2044" t="str">
            <v>BR_CNPJ</v>
          </cell>
          <cell r="F2044" t="str">
            <v>06.205.451/0001-41</v>
          </cell>
        </row>
        <row r="2045">
          <cell r="A2045">
            <v>31422</v>
          </cell>
          <cell r="B2045" t="str">
            <v>CORPORATION</v>
          </cell>
          <cell r="C2045" t="str">
            <v>R A Do Nascimento</v>
          </cell>
          <cell r="D2045" t="str">
            <v>Comercial De Maquinas</v>
          </cell>
          <cell r="E2045" t="str">
            <v>BR_CNPJ</v>
          </cell>
          <cell r="F2045" t="str">
            <v>41.508.102/0003-61</v>
          </cell>
        </row>
        <row r="2046">
          <cell r="A2046">
            <v>31425</v>
          </cell>
          <cell r="B2046" t="str">
            <v>CORPORATION</v>
          </cell>
          <cell r="C2046" t="str">
            <v>Uniao Parafusos Ltda - Epp</v>
          </cell>
          <cell r="D2046" t="str">
            <v>Uniao Casa Dos Parafusos</v>
          </cell>
          <cell r="E2046" t="str">
            <v>BR_CNPJ</v>
          </cell>
          <cell r="F2046" t="str">
            <v>01.552.315/0001-04</v>
          </cell>
        </row>
        <row r="2047">
          <cell r="A2047">
            <v>31426</v>
          </cell>
          <cell r="B2047" t="str">
            <v>CORPORATION</v>
          </cell>
          <cell r="C2047" t="str">
            <v>Tecfixa Parafusos E Ferramentas Ltda</v>
          </cell>
          <cell r="D2047" t="str">
            <v>Tecfixa</v>
          </cell>
          <cell r="E2047" t="str">
            <v>BR_CNPJ</v>
          </cell>
          <cell r="F2047" t="str">
            <v>07.320.705/0001-35</v>
          </cell>
        </row>
        <row r="2048">
          <cell r="A2048">
            <v>31429</v>
          </cell>
          <cell r="B2048" t="str">
            <v>CORPORATION</v>
          </cell>
          <cell r="C2048" t="str">
            <v>Fontes - Comercio De Ferramentas Ltda - Me</v>
          </cell>
          <cell r="D2048" t="str">
            <v>Fontes - Ferramentas</v>
          </cell>
          <cell r="E2048" t="str">
            <v>BR_CNPJ</v>
          </cell>
          <cell r="F2048" t="str">
            <v>86.969.698/0001-73</v>
          </cell>
        </row>
        <row r="2049">
          <cell r="A2049">
            <v>31432</v>
          </cell>
          <cell r="B2049" t="str">
            <v>CORPORATION</v>
          </cell>
          <cell r="C2049" t="str">
            <v>Santa Rita Comercio De Maquinas E Ferramentas Ltda - Epp</v>
          </cell>
          <cell r="D2049" t="str">
            <v>Santa Rita Ferramentas</v>
          </cell>
          <cell r="E2049" t="str">
            <v>BR_CNPJ</v>
          </cell>
          <cell r="F2049" t="str">
            <v>06.188.493/0001-11</v>
          </cell>
        </row>
        <row r="2050">
          <cell r="A2050">
            <v>31435</v>
          </cell>
          <cell r="B2050" t="str">
            <v>CORPORATION</v>
          </cell>
          <cell r="C2050" t="str">
            <v>49.543.098 Denis Dias Paschoalin</v>
          </cell>
          <cell r="D2050" t="str">
            <v>Engpontes Maquinas E Pecas</v>
          </cell>
          <cell r="E2050" t="str">
            <v>BR_CNPJ</v>
          </cell>
          <cell r="F2050" t="str">
            <v>49.543.098/0001-12</v>
          </cell>
        </row>
        <row r="2051">
          <cell r="A2051">
            <v>31438</v>
          </cell>
          <cell r="B2051" t="str">
            <v>CORPORATION</v>
          </cell>
          <cell r="C2051" t="str">
            <v>Valdir Antonio Furlan - Me</v>
          </cell>
          <cell r="D2051" t="str">
            <v>Furlan Comercio De Pecas</v>
          </cell>
          <cell r="E2051" t="str">
            <v>BR_CNPJ</v>
          </cell>
          <cell r="F2051" t="str">
            <v>57.148.405/0001-99</v>
          </cell>
        </row>
        <row r="2052">
          <cell r="A2052">
            <v>31441</v>
          </cell>
          <cell r="B2052" t="str">
            <v>CORPORATION</v>
          </cell>
          <cell r="C2052" t="str">
            <v>Fase Centro Automotivo Ltda - Me</v>
          </cell>
          <cell r="D2052" t="str">
            <v>Fase Centro Automotivo Ltda - Me</v>
          </cell>
          <cell r="E2052" t="str">
            <v>BR_CNPJ</v>
          </cell>
          <cell r="F2052" t="str">
            <v>12.776.284/0001-91</v>
          </cell>
        </row>
        <row r="2053">
          <cell r="A2053">
            <v>31444</v>
          </cell>
          <cell r="B2053" t="str">
            <v>CORPORATION</v>
          </cell>
          <cell r="C2053" t="str">
            <v>Bertecn Comercio, Locacao E Manutencao Ltda - Me</v>
          </cell>
          <cell r="D2053" t="str">
            <v>Bertecn</v>
          </cell>
          <cell r="E2053" t="str">
            <v>BR_CNPJ</v>
          </cell>
          <cell r="F2053" t="str">
            <v>19.809.731/0001-00</v>
          </cell>
        </row>
        <row r="2054">
          <cell r="A2054">
            <v>31451</v>
          </cell>
          <cell r="B2054" t="str">
            <v>CORPORATION</v>
          </cell>
          <cell r="C2054" t="str">
            <v>Vinicius Olivier Alves De Oliveira 37058694850</v>
          </cell>
          <cell r="D2054" t="str">
            <v>Parafusar</v>
          </cell>
          <cell r="E2054" t="str">
            <v>BR_CNPJ</v>
          </cell>
          <cell r="F2054" t="str">
            <v>19.919.055/0001-28</v>
          </cell>
        </row>
        <row r="2055">
          <cell r="A2055">
            <v>31454</v>
          </cell>
          <cell r="B2055" t="str">
            <v>CORPORATION</v>
          </cell>
          <cell r="C2055" t="str">
            <v>Dalbem Materiais Eletricos, Hidraulicos, Ferragens E Ferramentas Ltda</v>
          </cell>
          <cell r="D2055" t="str">
            <v>Eletro Dalbem</v>
          </cell>
          <cell r="E2055" t="str">
            <v>BR_CNPJ</v>
          </cell>
          <cell r="F2055" t="str">
            <v>01.339.641/0001-38</v>
          </cell>
        </row>
        <row r="2056">
          <cell r="A2056">
            <v>31459</v>
          </cell>
          <cell r="B2056" t="str">
            <v>CORPORATION</v>
          </cell>
          <cell r="C2056" t="str">
            <v>A.Furlan &amp; Filho Comercial Ltda - Epp</v>
          </cell>
          <cell r="D2056" t="str">
            <v>Planalto Parafusos</v>
          </cell>
          <cell r="E2056" t="str">
            <v>BR_CNPJ</v>
          </cell>
          <cell r="F2056" t="str">
            <v>55.450.241/0001-24</v>
          </cell>
        </row>
        <row r="2057">
          <cell r="A2057">
            <v>31462</v>
          </cell>
          <cell r="B2057" t="str">
            <v>CORPORATION</v>
          </cell>
          <cell r="C2057" t="str">
            <v>Dtk Comercio De Equipamentos Para Uso Industrial Eireli</v>
          </cell>
          <cell r="D2057" t="str">
            <v>Dtk Importadora</v>
          </cell>
          <cell r="E2057" t="str">
            <v>BR_CNPJ</v>
          </cell>
          <cell r="F2057" t="str">
            <v>36.188.681/0001-00</v>
          </cell>
          <cell r="G2057" t="str">
            <v>DTK</v>
          </cell>
        </row>
        <row r="2058">
          <cell r="A2058">
            <v>31464</v>
          </cell>
          <cell r="B2058" t="str">
            <v>CORPORATION</v>
          </cell>
          <cell r="C2058" t="str">
            <v>Abraseg Comercial Soldas Ltda - Me</v>
          </cell>
          <cell r="D2058" t="str">
            <v>Abraseg Comercial Soldas Ltda - Me</v>
          </cell>
          <cell r="E2058" t="str">
            <v>BR_CNPJ</v>
          </cell>
          <cell r="F2058" t="str">
            <v>10.894.768/0001-00</v>
          </cell>
        </row>
        <row r="2059">
          <cell r="A2059">
            <v>31465</v>
          </cell>
          <cell r="B2059" t="str">
            <v>CORPORATION</v>
          </cell>
          <cell r="C2059" t="str">
            <v>Santos &amp; Oliveira Ltda</v>
          </cell>
          <cell r="D2059" t="str">
            <v>S. A. Serras</v>
          </cell>
          <cell r="E2059" t="str">
            <v>BR_CNPJ</v>
          </cell>
          <cell r="F2059" t="str">
            <v>33.451.164/0001-94</v>
          </cell>
        </row>
        <row r="2060">
          <cell r="A2060">
            <v>31467</v>
          </cell>
          <cell r="B2060" t="str">
            <v>CORPORATION</v>
          </cell>
          <cell r="C2060" t="str">
            <v>Irmaos Baltazar Pereira Ferragens Ltda - Epp</v>
          </cell>
          <cell r="D2060" t="str">
            <v>Irmaos Baltazar</v>
          </cell>
          <cell r="E2060" t="str">
            <v>BR_CNPJ</v>
          </cell>
          <cell r="F2060" t="str">
            <v>31.045.297/0001-35</v>
          </cell>
        </row>
        <row r="2061">
          <cell r="A2061">
            <v>31468</v>
          </cell>
          <cell r="B2061" t="str">
            <v>CORPORATION</v>
          </cell>
          <cell r="C2061" t="str">
            <v>Narafer Adonai Comercio De Ferragens Ltda</v>
          </cell>
          <cell r="D2061" t="str">
            <v>Zaki Fire</v>
          </cell>
          <cell r="E2061" t="str">
            <v>BR_CNPJ</v>
          </cell>
          <cell r="F2061" t="str">
            <v>37.253.343/0001-78</v>
          </cell>
        </row>
        <row r="2062">
          <cell r="A2062">
            <v>31469</v>
          </cell>
          <cell r="B2062" t="str">
            <v>CORPORATION</v>
          </cell>
          <cell r="C2062" t="str">
            <v>D.R. Comercio E Manutencao Tecnica Ltda</v>
          </cell>
          <cell r="D2062" t="str">
            <v>Prematec</v>
          </cell>
          <cell r="E2062" t="str">
            <v>BR_CNPJ</v>
          </cell>
          <cell r="F2062" t="str">
            <v>13.677.266/0001-15</v>
          </cell>
        </row>
        <row r="2063">
          <cell r="A2063">
            <v>31473</v>
          </cell>
          <cell r="B2063" t="str">
            <v>CORPORATION</v>
          </cell>
          <cell r="C2063" t="str">
            <v>Eletrofer 1060 Ferragens Ltda - Epp</v>
          </cell>
          <cell r="D2063" t="str">
            <v>Eletrofer 1060</v>
          </cell>
          <cell r="E2063" t="str">
            <v>BR_CNPJ</v>
          </cell>
          <cell r="F2063" t="str">
            <v>39.468.574/0001-24</v>
          </cell>
        </row>
        <row r="2064">
          <cell r="A2064">
            <v>31474</v>
          </cell>
          <cell r="B2064" t="str">
            <v>CORPORATION</v>
          </cell>
          <cell r="C2064" t="str">
            <v>Conslox Vendas, Locacoes E Servicos Ltda</v>
          </cell>
          <cell r="D2064" t="str">
            <v>Conslox Locacoes E Servicos</v>
          </cell>
          <cell r="E2064" t="str">
            <v>BR_CNPJ</v>
          </cell>
          <cell r="F2064" t="str">
            <v>10.197.186/0001-74</v>
          </cell>
        </row>
        <row r="2065">
          <cell r="A2065">
            <v>31476</v>
          </cell>
          <cell r="B2065" t="str">
            <v>CORPORATION</v>
          </cell>
          <cell r="C2065" t="str">
            <v>Soldagases Comercio De Soldas E Gases Ltda - Epp</v>
          </cell>
          <cell r="D2065" t="str">
            <v>Soldagases</v>
          </cell>
          <cell r="E2065" t="str">
            <v>BR_CNPJ</v>
          </cell>
          <cell r="F2065" t="str">
            <v>00.095.404/0001-06</v>
          </cell>
        </row>
        <row r="2066">
          <cell r="A2066">
            <v>31477</v>
          </cell>
          <cell r="B2066" t="str">
            <v>CORPORATION</v>
          </cell>
          <cell r="C2066" t="str">
            <v>Diffusa Metalurgica Ltda</v>
          </cell>
          <cell r="D2066" t="str">
            <v>Diffusa Metalurgica</v>
          </cell>
          <cell r="E2066" t="str">
            <v>BR_CNPJ</v>
          </cell>
          <cell r="F2066" t="str">
            <v>35.482.166/0001-76</v>
          </cell>
        </row>
        <row r="2067">
          <cell r="A2067">
            <v>31479</v>
          </cell>
          <cell r="B2067" t="str">
            <v>CORPORATION</v>
          </cell>
          <cell r="C2067" t="str">
            <v>Materiais De Construcao Cabuis Ltda - Me</v>
          </cell>
          <cell r="D2067" t="str">
            <v>Materiais De Construcao Cabuis</v>
          </cell>
          <cell r="E2067" t="str">
            <v>BR_CNPJ</v>
          </cell>
          <cell r="F2067" t="str">
            <v>29.912.391/0001-00</v>
          </cell>
        </row>
        <row r="2068">
          <cell r="A2068">
            <v>31480</v>
          </cell>
          <cell r="B2068" t="str">
            <v>CORPORATION</v>
          </cell>
          <cell r="C2068" t="str">
            <v>Silva &amp; Dias Ltda</v>
          </cell>
          <cell r="D2068" t="str">
            <v>Casas Das Ferramentas</v>
          </cell>
          <cell r="E2068" t="str">
            <v>BR_CNPJ</v>
          </cell>
          <cell r="F2068" t="str">
            <v>21.959.808/0001-70</v>
          </cell>
        </row>
        <row r="2069">
          <cell r="A2069">
            <v>31481</v>
          </cell>
          <cell r="B2069" t="str">
            <v>CORPORATION</v>
          </cell>
          <cell r="C2069" t="str">
            <v>Pinhais Sos Comercio E Manutencao De Ferramentas Ltda</v>
          </cell>
          <cell r="D2069" t="str">
            <v>Pinhais Sos Comercio E Manutencao De Ferramentas Ltd</v>
          </cell>
          <cell r="E2069" t="str">
            <v>BR_CNPJ</v>
          </cell>
          <cell r="F2069" t="str">
            <v>47.783.417/0001-31</v>
          </cell>
        </row>
        <row r="2070">
          <cell r="A2070">
            <v>31482</v>
          </cell>
          <cell r="B2070" t="str">
            <v>CORPORATION</v>
          </cell>
          <cell r="C2070" t="str">
            <v>Bs Ferramentas Maquinas E Equipamentos - Produtos E Servicos Ltda - Me</v>
          </cell>
          <cell r="D2070" t="str">
            <v>Bs Ferramentas</v>
          </cell>
          <cell r="E2070" t="str">
            <v>BR_CNPJ</v>
          </cell>
          <cell r="F2070" t="str">
            <v>11.297.764/0001-07</v>
          </cell>
        </row>
        <row r="2071">
          <cell r="A2071">
            <v>31486</v>
          </cell>
          <cell r="B2071" t="str">
            <v>CORPORATION</v>
          </cell>
          <cell r="C2071" t="str">
            <v>Eletrotecnica Cascadura 2004 Comercio E Servicos Ltda - Me</v>
          </cell>
          <cell r="D2071" t="str">
            <v>Eletrotecnica Cascadura 2004</v>
          </cell>
          <cell r="E2071" t="str">
            <v>BR_CNPJ</v>
          </cell>
          <cell r="F2071" t="str">
            <v>06.866.158/0001-25</v>
          </cell>
        </row>
        <row r="2072">
          <cell r="A2072">
            <v>31489</v>
          </cell>
          <cell r="B2072" t="str">
            <v>CORPORATION</v>
          </cell>
          <cell r="C2072" t="str">
            <v>Engefer Distribuidora Eireli - Epp</v>
          </cell>
          <cell r="D2072" t="str">
            <v>Engefer</v>
          </cell>
          <cell r="E2072" t="str">
            <v>BR_CNPJ</v>
          </cell>
          <cell r="F2072" t="str">
            <v>00.940.525/0001-07</v>
          </cell>
        </row>
        <row r="2073">
          <cell r="A2073">
            <v>31490</v>
          </cell>
          <cell r="B2073" t="str">
            <v>CORPORATION</v>
          </cell>
          <cell r="C2073" t="str">
            <v>Four Store Comercio Atacadista De Ferramentas E Acessorios Ltda</v>
          </cell>
          <cell r="D2073" t="str">
            <v>Alphabras</v>
          </cell>
          <cell r="E2073" t="str">
            <v>BR_CNPJ</v>
          </cell>
          <cell r="F2073" t="str">
            <v>43.042.383/0001-73</v>
          </cell>
          <cell r="G2073" t="str">
            <v>ALPHABRAS</v>
          </cell>
        </row>
        <row r="2074">
          <cell r="A2074">
            <v>31492</v>
          </cell>
          <cell r="B2074" t="str">
            <v>CORPORATION</v>
          </cell>
          <cell r="C2074" t="str">
            <v>Irmaos Tofani Ltda - Me</v>
          </cell>
          <cell r="D2074" t="str">
            <v>Irmaos Tofani L</v>
          </cell>
          <cell r="E2074" t="str">
            <v>BR_CNPJ</v>
          </cell>
          <cell r="F2074" t="str">
            <v>36.070.373/0001-86</v>
          </cell>
        </row>
        <row r="2075">
          <cell r="A2075">
            <v>31495</v>
          </cell>
          <cell r="B2075" t="str">
            <v>CORPORATION</v>
          </cell>
          <cell r="C2075" t="str">
            <v>Luan Ferragens Ferramentas E Refrigeracao Ltda</v>
          </cell>
          <cell r="D2075" t="str">
            <v>Luan Ferragens</v>
          </cell>
          <cell r="E2075" t="str">
            <v>BR_CNPJ</v>
          </cell>
          <cell r="F2075" t="str">
            <v>31.915.960/0001-05</v>
          </cell>
        </row>
        <row r="2076">
          <cell r="A2076">
            <v>31498</v>
          </cell>
          <cell r="B2076" t="str">
            <v>CORPORATION</v>
          </cell>
          <cell r="C2076" t="str">
            <v>Marques De Almeida Ferragens E Equipamentos Ltda - Me</v>
          </cell>
          <cell r="D2076" t="str">
            <v>Marques De Almeida Ferragens</v>
          </cell>
          <cell r="E2076" t="str">
            <v>BR_CNPJ</v>
          </cell>
          <cell r="F2076" t="str">
            <v>33.167.420/0001-16</v>
          </cell>
        </row>
        <row r="2077">
          <cell r="A2077">
            <v>31501</v>
          </cell>
          <cell r="B2077" t="str">
            <v>CORPORATION</v>
          </cell>
          <cell r="C2077" t="str">
            <v>Nofer Comercio De Ferro Ltda - Epp</v>
          </cell>
          <cell r="D2077" t="str">
            <v>Nofer</v>
          </cell>
          <cell r="E2077" t="str">
            <v>BR_CNPJ</v>
          </cell>
          <cell r="F2077" t="str">
            <v>00.176.129/0001-55</v>
          </cell>
        </row>
        <row r="2078">
          <cell r="A2078">
            <v>31503</v>
          </cell>
          <cell r="B2078" t="str">
            <v>CORPORATION</v>
          </cell>
          <cell r="C2078" t="str">
            <v>A. Volpato &amp; Cia Ltda</v>
          </cell>
          <cell r="D2078" t="str">
            <v>Casa Do Produtor</v>
          </cell>
          <cell r="E2078" t="str">
            <v>BR_CNPJ</v>
          </cell>
          <cell r="F2078" t="str">
            <v>00.319.835/0001-09</v>
          </cell>
        </row>
        <row r="2079">
          <cell r="A2079">
            <v>31504</v>
          </cell>
          <cell r="B2079" t="str">
            <v>CORPORATION</v>
          </cell>
          <cell r="C2079" t="str">
            <v>Palacio Da Ferramenta Maquinas Ltda</v>
          </cell>
          <cell r="D2079" t="str">
            <v>Palacio Da Ferramenta</v>
          </cell>
          <cell r="E2079" t="str">
            <v>BR_CNPJ</v>
          </cell>
          <cell r="F2079" t="str">
            <v>42.101.436/0001-17</v>
          </cell>
        </row>
        <row r="2080">
          <cell r="A2080">
            <v>31505</v>
          </cell>
          <cell r="B2080" t="str">
            <v>CORPORATION</v>
          </cell>
          <cell r="C2080" t="str">
            <v>Eletrica Sorocaba Comercial Eireli</v>
          </cell>
          <cell r="D2080" t="str">
            <v>Eletrica Sorocaba Comercial Eireli</v>
          </cell>
          <cell r="E2080" t="str">
            <v>BR_CNPJ</v>
          </cell>
          <cell r="F2080" t="str">
            <v>27.308.831/0001-81</v>
          </cell>
        </row>
        <row r="2081">
          <cell r="A2081">
            <v>31509</v>
          </cell>
          <cell r="B2081" t="str">
            <v>CORPORATION</v>
          </cell>
          <cell r="C2081" t="str">
            <v>B A S Soares Ltda</v>
          </cell>
          <cell r="D2081" t="str">
            <v>Grupo Tejota</v>
          </cell>
          <cell r="E2081" t="str">
            <v>BR_CNPJ</v>
          </cell>
          <cell r="F2081" t="str">
            <v>34.977.243/0001-04</v>
          </cell>
        </row>
        <row r="2082">
          <cell r="A2082">
            <v>31510</v>
          </cell>
          <cell r="B2082" t="str">
            <v>CORPORATION</v>
          </cell>
          <cell r="C2082" t="str">
            <v>Fernit Maquinas Soldas E Ferramentas Ltda Me</v>
          </cell>
          <cell r="D2082" t="str">
            <v>Fernit</v>
          </cell>
          <cell r="E2082" t="str">
            <v>BR_CNPJ</v>
          </cell>
          <cell r="F2082" t="str">
            <v>03.880.097/0001-62</v>
          </cell>
          <cell r="G2082" t="str">
            <v>BARRAGAS</v>
          </cell>
        </row>
        <row r="2083">
          <cell r="A2083">
            <v>31513</v>
          </cell>
          <cell r="B2083" t="str">
            <v>CORPORATION</v>
          </cell>
          <cell r="C2083" t="str">
            <v>Fermaquinas Maquinas E Equipamentos - Eireli - Epp</v>
          </cell>
          <cell r="D2083" t="str">
            <v>Fermaquinas</v>
          </cell>
          <cell r="E2083" t="str">
            <v>BR_CNPJ</v>
          </cell>
          <cell r="F2083" t="str">
            <v>01.405.034/0001-29</v>
          </cell>
        </row>
        <row r="2084">
          <cell r="A2084">
            <v>31517</v>
          </cell>
          <cell r="B2084" t="str">
            <v>CORPORATION</v>
          </cell>
          <cell r="C2084" t="str">
            <v>Vieira Ferragens Ltda</v>
          </cell>
          <cell r="D2084" t="str">
            <v>Ferragens Vieira</v>
          </cell>
          <cell r="E2084" t="str">
            <v>BR_CNPJ</v>
          </cell>
          <cell r="F2084" t="str">
            <v>04.069.012/0001-23</v>
          </cell>
        </row>
        <row r="2085">
          <cell r="A2085">
            <v>31518</v>
          </cell>
          <cell r="B2085" t="str">
            <v>CORPORATION</v>
          </cell>
          <cell r="C2085" t="str">
            <v>Leroy Merlin Companhia Brasileira De Bricolagem</v>
          </cell>
          <cell r="D2085" t="str">
            <v>0059 Salvador</v>
          </cell>
          <cell r="E2085" t="str">
            <v>BR_CNPJ</v>
          </cell>
          <cell r="F2085" t="str">
            <v>01.438.784/0064-80</v>
          </cell>
          <cell r="G2085" t="str">
            <v>LEROY MERLIN</v>
          </cell>
        </row>
        <row r="2086">
          <cell r="A2086">
            <v>31519</v>
          </cell>
          <cell r="B2086" t="str">
            <v>CORPORATION</v>
          </cell>
          <cell r="C2086" t="str">
            <v>Barrafer De Niteroi Comercio De Ferro Ltda - Me</v>
          </cell>
          <cell r="D2086" t="str">
            <v>Barrafer De Niteroi Comercio De Ferro Ltda - Me</v>
          </cell>
          <cell r="E2086" t="str">
            <v>BR_CNPJ</v>
          </cell>
          <cell r="F2086" t="str">
            <v>04.460.897/0001-97</v>
          </cell>
        </row>
        <row r="2087">
          <cell r="A2087">
            <v>31521</v>
          </cell>
          <cell r="B2087" t="str">
            <v>CORPORATION</v>
          </cell>
          <cell r="C2087" t="str">
            <v>Comercial Fuso Forte De Ferragens, Parafusos E Ferramentas Ltda</v>
          </cell>
          <cell r="D2087" t="str">
            <v>Fusoforte Ferragens E Parafusos</v>
          </cell>
          <cell r="E2087" t="str">
            <v>BR_CNPJ</v>
          </cell>
          <cell r="F2087" t="str">
            <v>05.365.550/0001-28</v>
          </cell>
        </row>
        <row r="2088">
          <cell r="A2088">
            <v>31524</v>
          </cell>
          <cell r="B2088" t="str">
            <v>CORPORATION</v>
          </cell>
          <cell r="C2088" t="str">
            <v>Mundo Das Ferramentas Ltda - Me</v>
          </cell>
          <cell r="D2088" t="str">
            <v>Mundo Das Ferramentas</v>
          </cell>
          <cell r="E2088" t="str">
            <v>BR_CNPJ</v>
          </cell>
          <cell r="F2088" t="str">
            <v>09.913.041/0001-43</v>
          </cell>
        </row>
        <row r="2089">
          <cell r="A2089">
            <v>31525</v>
          </cell>
          <cell r="B2089" t="str">
            <v>CORPORATION</v>
          </cell>
          <cell r="C2089" t="str">
            <v>Clever Junior Ferreira Truilho</v>
          </cell>
          <cell r="D2089" t="str">
            <v>Truilho Materiais Para Construcao</v>
          </cell>
          <cell r="E2089" t="str">
            <v>BR_CNPJ</v>
          </cell>
          <cell r="F2089" t="str">
            <v>23.029.774/0001-40</v>
          </cell>
        </row>
        <row r="2090">
          <cell r="A2090">
            <v>31528</v>
          </cell>
          <cell r="B2090" t="str">
            <v>CORPORATION</v>
          </cell>
          <cell r="C2090" t="str">
            <v>Ponto Das Soldas Equipamentos De Seguranca Ltda - Epp</v>
          </cell>
          <cell r="D2090" t="str">
            <v>Ponto Das Soldas</v>
          </cell>
          <cell r="E2090" t="str">
            <v>BR_CNPJ</v>
          </cell>
          <cell r="F2090" t="str">
            <v>04.139.412/0001-68</v>
          </cell>
        </row>
        <row r="2091">
          <cell r="A2091">
            <v>31529</v>
          </cell>
          <cell r="B2091" t="str">
            <v>CORPORATION</v>
          </cell>
          <cell r="C2091" t="str">
            <v>Luminar Brasil Importacao E Exportacao Ltda</v>
          </cell>
          <cell r="D2091" t="str">
            <v>Luminar Brasil</v>
          </cell>
          <cell r="E2091" t="str">
            <v>BR_CNPJ</v>
          </cell>
          <cell r="F2091" t="str">
            <v>20.656.549/0001-46</v>
          </cell>
        </row>
        <row r="2092">
          <cell r="A2092">
            <v>31530</v>
          </cell>
          <cell r="B2092" t="str">
            <v>CORPORATION</v>
          </cell>
          <cell r="C2092" t="str">
            <v>Orguel Organizacao Guerra Lages Ltda</v>
          </cell>
          <cell r="D2092" t="str">
            <v>Orguel Organizacao Guerra Lages Ltda</v>
          </cell>
          <cell r="E2092" t="str">
            <v>BR_CNPJ</v>
          </cell>
          <cell r="F2092" t="str">
            <v>17.216.508/0001-24</v>
          </cell>
        </row>
        <row r="2093">
          <cell r="A2093">
            <v>31533</v>
          </cell>
          <cell r="B2093" t="str">
            <v>CORPORATION</v>
          </cell>
          <cell r="C2093" t="str">
            <v>Duauto Comercio De Tintas, Maquinas E Ferramentas Ltda - Me</v>
          </cell>
          <cell r="D2093" t="str">
            <v>Duauto Comercio De Tintas, Maquinas E Ferramentas Ltda - Me</v>
          </cell>
          <cell r="E2093" t="str">
            <v>BR_CNPJ</v>
          </cell>
          <cell r="F2093" t="str">
            <v>03.497.276/0001-15</v>
          </cell>
        </row>
        <row r="2094">
          <cell r="A2094">
            <v>31536</v>
          </cell>
          <cell r="B2094" t="str">
            <v>CORPORATION</v>
          </cell>
          <cell r="C2094" t="str">
            <v>Flexmaq Comercio De Equipamentos Industriais Ltda - Epp</v>
          </cell>
          <cell r="D2094" t="str">
            <v>Flexmaq</v>
          </cell>
          <cell r="E2094" t="str">
            <v>BR_CNPJ</v>
          </cell>
          <cell r="F2094" t="str">
            <v>11.671.952/0001-53</v>
          </cell>
        </row>
        <row r="2095">
          <cell r="A2095">
            <v>31540</v>
          </cell>
          <cell r="B2095" t="str">
            <v>CORPORATION</v>
          </cell>
          <cell r="C2095" t="str">
            <v>Palacio Dos Parafusos Ltda - Epp</v>
          </cell>
          <cell r="D2095" t="str">
            <v>Palacio Dos Parafusos</v>
          </cell>
          <cell r="E2095" t="str">
            <v>BR_CNPJ</v>
          </cell>
          <cell r="F2095" t="str">
            <v>74.126.533/0001-50</v>
          </cell>
        </row>
        <row r="2096">
          <cell r="A2096">
            <v>31543</v>
          </cell>
          <cell r="B2096" t="str">
            <v>CORPORATION</v>
          </cell>
          <cell r="C2096" t="str">
            <v>S Rodrigues Netto Ferragens Ltda - Me</v>
          </cell>
          <cell r="D2096" t="str">
            <v>Ferragens Netto</v>
          </cell>
          <cell r="E2096" t="str">
            <v>BR_CNPJ</v>
          </cell>
          <cell r="F2096" t="str">
            <v>32.177.123/0001-99</v>
          </cell>
        </row>
        <row r="2097">
          <cell r="A2097">
            <v>31546</v>
          </cell>
          <cell r="B2097" t="str">
            <v>CORPORATION</v>
          </cell>
          <cell r="C2097" t="str">
            <v>Loferp-Loja De Ferragens,Ferramentas E Parafusos Ltda Epp</v>
          </cell>
          <cell r="D2097" t="str">
            <v>Loferp</v>
          </cell>
          <cell r="E2097" t="str">
            <v>BR_CNPJ</v>
          </cell>
          <cell r="F2097" t="str">
            <v>28.280.477/0001-97</v>
          </cell>
        </row>
        <row r="2098">
          <cell r="A2098">
            <v>31551</v>
          </cell>
          <cell r="B2098" t="str">
            <v>CORPORATION</v>
          </cell>
          <cell r="C2098" t="str">
            <v>Vilson Leonardo Finotti - Me</v>
          </cell>
          <cell r="D2098" t="str">
            <v>Vl Equipamentos</v>
          </cell>
          <cell r="E2098" t="str">
            <v>BR_CNPJ</v>
          </cell>
          <cell r="F2098" t="str">
            <v>11.452.900/0001-96</v>
          </cell>
          <cell r="G2098" t="str">
            <v>FINOTTI</v>
          </cell>
        </row>
        <row r="2099">
          <cell r="A2099">
            <v>31556</v>
          </cell>
          <cell r="B2099" t="str">
            <v>CORPORATION</v>
          </cell>
          <cell r="C2099" t="str">
            <v>Maria Salete Beraldo Perez Comercio De Pecas - Me</v>
          </cell>
          <cell r="D2099" t="str">
            <v>Casa Das Baterias</v>
          </cell>
          <cell r="E2099" t="str">
            <v>BR_CNPJ</v>
          </cell>
          <cell r="F2099" t="str">
            <v>13.169.043/0001-47</v>
          </cell>
        </row>
        <row r="2100">
          <cell r="A2100">
            <v>31564</v>
          </cell>
          <cell r="B2100" t="str">
            <v>CORPORATION</v>
          </cell>
          <cell r="C2100" t="str">
            <v>M.E Oliveira Pinheiro - Ferramentas Especiais</v>
          </cell>
          <cell r="D2100" t="str">
            <v>Eduardo Pinheiro Ferramentas Especiais</v>
          </cell>
          <cell r="E2100" t="str">
            <v>BR_CNPJ</v>
          </cell>
          <cell r="F2100" t="str">
            <v>09.336.450/0001-24</v>
          </cell>
        </row>
        <row r="2101">
          <cell r="A2101">
            <v>31565</v>
          </cell>
          <cell r="B2101" t="str">
            <v>CORPORATION</v>
          </cell>
          <cell r="C2101" t="str">
            <v>Oxiaco Comercio De Insumos Industriais Ltda - Me</v>
          </cell>
          <cell r="D2101" t="str">
            <v>Oxiaco Comercio De Insumos Industriais Ltda - Me</v>
          </cell>
          <cell r="E2101" t="str">
            <v>BR_CNPJ</v>
          </cell>
          <cell r="F2101" t="str">
            <v>17.221.296/0001-73</v>
          </cell>
        </row>
        <row r="2102">
          <cell r="A2102">
            <v>31570</v>
          </cell>
          <cell r="B2102" t="str">
            <v>CORPORATION</v>
          </cell>
          <cell r="C2102" t="str">
            <v>Gazola Comercial Ltda</v>
          </cell>
          <cell r="D2102" t="str">
            <v>Gazola Instaladora Eletrica E Ar Condicionado</v>
          </cell>
          <cell r="E2102" t="str">
            <v>BR_CNPJ</v>
          </cell>
          <cell r="F2102" t="str">
            <v>11.353.212/0001-79</v>
          </cell>
        </row>
        <row r="2103">
          <cell r="A2103">
            <v>31571</v>
          </cell>
          <cell r="B2103" t="str">
            <v>CORPORATION</v>
          </cell>
          <cell r="C2103" t="str">
            <v>Robertec Comercio Atacadista De Equipamentos De Uso Industrial Ltda - Me</v>
          </cell>
          <cell r="D2103" t="str">
            <v>Robertec Equipamentos</v>
          </cell>
          <cell r="E2103" t="str">
            <v>BR_CNPJ</v>
          </cell>
          <cell r="F2103" t="str">
            <v>08.876.043/0001-47</v>
          </cell>
        </row>
        <row r="2104">
          <cell r="A2104">
            <v>31574</v>
          </cell>
          <cell r="B2104" t="str">
            <v>CORPORATION</v>
          </cell>
          <cell r="C2104" t="str">
            <v>Arovaco Comercio De Ferro E Aco Eireli</v>
          </cell>
          <cell r="D2104" t="str">
            <v>Superaco</v>
          </cell>
          <cell r="E2104" t="str">
            <v>BR_CNPJ</v>
          </cell>
          <cell r="F2104" t="str">
            <v>10.337.768/0003-70</v>
          </cell>
        </row>
        <row r="2105">
          <cell r="A2105">
            <v>31577</v>
          </cell>
          <cell r="B2105" t="str">
            <v>CORPORATION</v>
          </cell>
          <cell r="C2105" t="str">
            <v>Fratelli Vicentim Ltda</v>
          </cell>
          <cell r="D2105" t="str">
            <v>Parafusos Ponta Grossa</v>
          </cell>
          <cell r="E2105" t="str">
            <v>BR_CNPJ</v>
          </cell>
          <cell r="F2105" t="str">
            <v>05.250.137/0001-18</v>
          </cell>
        </row>
        <row r="2106">
          <cell r="A2106">
            <v>31578</v>
          </cell>
          <cell r="B2106" t="str">
            <v>CORPORATION</v>
          </cell>
          <cell r="C2106" t="str">
            <v>Ferragens Camargo E Filhos Ltda - Me</v>
          </cell>
          <cell r="D2106" t="str">
            <v>Ferragens Camargo E Filhos Ltda - Me</v>
          </cell>
          <cell r="E2106" t="str">
            <v>BR_CNPJ</v>
          </cell>
          <cell r="F2106" t="str">
            <v>29.767.936/0001-24</v>
          </cell>
        </row>
        <row r="2107">
          <cell r="A2107">
            <v>31581</v>
          </cell>
          <cell r="B2107" t="str">
            <v>CORPORATION</v>
          </cell>
          <cell r="C2107" t="str">
            <v>Oxigenio Barra Mansa Ltda - Me</v>
          </cell>
          <cell r="D2107" t="str">
            <v>Oxigenio Barra Mansa Ltda - Me</v>
          </cell>
          <cell r="E2107" t="str">
            <v>BR_CNPJ</v>
          </cell>
          <cell r="F2107" t="str">
            <v>31.666.787/0001-59</v>
          </cell>
        </row>
        <row r="2108">
          <cell r="A2108">
            <v>31585</v>
          </cell>
          <cell r="B2108" t="str">
            <v>CORPORATION</v>
          </cell>
          <cell r="C2108" t="str">
            <v>Daflon De Friburgo Comercio De Parafusos Ltda - Epp</v>
          </cell>
          <cell r="D2108" t="str">
            <v>Daflon De Friburgo Comercio De Parafusos Ltda - Epp</v>
          </cell>
          <cell r="E2108" t="str">
            <v>BR_CNPJ</v>
          </cell>
          <cell r="F2108" t="str">
            <v>28.809.952/0001-70</v>
          </cell>
        </row>
        <row r="2109">
          <cell r="A2109">
            <v>31588</v>
          </cell>
          <cell r="B2109" t="str">
            <v>CORPORATION</v>
          </cell>
          <cell r="C2109" t="str">
            <v>Ferragens Retiro De Volta Redonda Ltda</v>
          </cell>
          <cell r="D2109" t="str">
            <v>Ferragens Retiro De Volta Redonda</v>
          </cell>
          <cell r="E2109" t="str">
            <v>BR_CNPJ</v>
          </cell>
          <cell r="F2109" t="str">
            <v>11.058.292/0001-30</v>
          </cell>
        </row>
        <row r="2110">
          <cell r="A2110">
            <v>31591</v>
          </cell>
          <cell r="B2110" t="str">
            <v>CORPORATION</v>
          </cell>
          <cell r="C2110" t="str">
            <v>Fritools Ferramentas Maquinas E Equipamentos Ltda</v>
          </cell>
          <cell r="D2110" t="str">
            <v>Fritools</v>
          </cell>
          <cell r="E2110" t="str">
            <v>BR_CNPJ</v>
          </cell>
          <cell r="F2110" t="str">
            <v>01.329.973/0001-31</v>
          </cell>
        </row>
        <row r="2111">
          <cell r="A2111">
            <v>31593</v>
          </cell>
          <cell r="B2111" t="str">
            <v>CORPORATION</v>
          </cell>
          <cell r="C2111" t="str">
            <v>Deposito Construir Solucoes Em Construcoes Ltda.</v>
          </cell>
          <cell r="D2111" t="str">
            <v>Deposito Construir</v>
          </cell>
          <cell r="E2111" t="str">
            <v>BR_CNPJ</v>
          </cell>
          <cell r="F2111" t="str">
            <v>34.986.736/0001-00</v>
          </cell>
        </row>
        <row r="2112">
          <cell r="A2112">
            <v>31595</v>
          </cell>
          <cell r="B2112" t="str">
            <v>CORPORATION</v>
          </cell>
          <cell r="C2112" t="str">
            <v>Frisoldas Friburgo Ltda - Epp</v>
          </cell>
          <cell r="D2112" t="str">
            <v>Frisoldas</v>
          </cell>
          <cell r="E2112" t="str">
            <v>BR_CNPJ</v>
          </cell>
          <cell r="F2112" t="str">
            <v>28.629.590/0001-35</v>
          </cell>
        </row>
        <row r="2113">
          <cell r="A2113">
            <v>31596</v>
          </cell>
          <cell r="B2113" t="str">
            <v>CORPORATION</v>
          </cell>
          <cell r="C2113" t="str">
            <v>J R Campos Eireli</v>
          </cell>
          <cell r="D2113" t="str">
            <v>J R Campos Eireli</v>
          </cell>
          <cell r="E2113" t="str">
            <v>BR_CNPJ</v>
          </cell>
          <cell r="F2113" t="str">
            <v>37.440.814/0001-57</v>
          </cell>
          <cell r="G2113" t="str">
            <v>J R CAMPOS</v>
          </cell>
        </row>
        <row r="2114">
          <cell r="A2114">
            <v>31598</v>
          </cell>
          <cell r="B2114" t="str">
            <v>CORPORATION</v>
          </cell>
          <cell r="C2114" t="str">
            <v>Intermark Comercio E Locacao De Maquinas Ltda - Me</v>
          </cell>
          <cell r="D2114" t="str">
            <v>Intermark Comercio E Locacao De Maquinas Ltda - Me</v>
          </cell>
          <cell r="E2114" t="str">
            <v>BR_CNPJ</v>
          </cell>
          <cell r="F2114" t="str">
            <v>00.094.741/0001-89</v>
          </cell>
        </row>
        <row r="2115">
          <cell r="A2115">
            <v>31601</v>
          </cell>
          <cell r="B2115" t="str">
            <v>CORPORATION</v>
          </cell>
          <cell r="C2115" t="str">
            <v>Mendes E Amorim Ltda - Me</v>
          </cell>
          <cell r="D2115" t="str">
            <v>Diox Sg</v>
          </cell>
          <cell r="E2115" t="str">
            <v>BR_CNPJ</v>
          </cell>
          <cell r="F2115" t="str">
            <v>01.836.229/0001-23</v>
          </cell>
        </row>
        <row r="2116">
          <cell r="A2116">
            <v>31603</v>
          </cell>
          <cell r="B2116" t="str">
            <v>CORPORATION</v>
          </cell>
          <cell r="C2116" t="str">
            <v>C. S. Ferramentas Ltda</v>
          </cell>
          <cell r="D2116" t="str">
            <v>C.S. Ferramentas</v>
          </cell>
          <cell r="E2116" t="str">
            <v>BR_CNPJ</v>
          </cell>
          <cell r="F2116" t="str">
            <v>72.738.214/0001-70</v>
          </cell>
        </row>
        <row r="2117">
          <cell r="A2117">
            <v>31604</v>
          </cell>
          <cell r="B2117" t="str">
            <v>CORPORATION</v>
          </cell>
          <cell r="C2117" t="str">
            <v>Leal Niteroi Oxigenio E Ferramentas Ltda - Epp</v>
          </cell>
          <cell r="D2117" t="str">
            <v>Diox Nt</v>
          </cell>
          <cell r="E2117" t="str">
            <v>BR_CNPJ</v>
          </cell>
          <cell r="F2117" t="str">
            <v>05.533.453/0001-05</v>
          </cell>
        </row>
        <row r="2118">
          <cell r="A2118">
            <v>31606</v>
          </cell>
          <cell r="B2118" t="str">
            <v>CORPORATION</v>
          </cell>
          <cell r="C2118" t="str">
            <v>Oxigas-Soldas E Equipamentos Ltda. - Me</v>
          </cell>
          <cell r="D2118" t="str">
            <v>Oxigas</v>
          </cell>
          <cell r="E2118" t="str">
            <v>BR_CNPJ</v>
          </cell>
          <cell r="F2118" t="str">
            <v>36.235.240/0001-12</v>
          </cell>
        </row>
        <row r="2119">
          <cell r="A2119">
            <v>31609</v>
          </cell>
          <cell r="B2119" t="str">
            <v>CORPORATION</v>
          </cell>
          <cell r="C2119" t="str">
            <v>Itamec Parafusos Ferragens E Ferramentas De Itaborai Ltda - Me</v>
          </cell>
          <cell r="D2119" t="str">
            <v>Itamec Parafusos Ferragens E Ferramentas De Itaborai Ltda - Me</v>
          </cell>
          <cell r="E2119" t="str">
            <v>BR_CNPJ</v>
          </cell>
          <cell r="F2119" t="str">
            <v>09.478.971/0001-16</v>
          </cell>
        </row>
        <row r="2120">
          <cell r="A2120">
            <v>31615</v>
          </cell>
          <cell r="B2120" t="str">
            <v>CORPORATION</v>
          </cell>
          <cell r="C2120" t="str">
            <v>Engesolda Industria E Comercio Limitada</v>
          </cell>
          <cell r="D2120" t="str">
            <v>Engesolda Industria E Comercio Limitada</v>
          </cell>
          <cell r="E2120" t="str">
            <v>BR_CNPJ</v>
          </cell>
          <cell r="F2120" t="str">
            <v>33.783.937/0001-30</v>
          </cell>
        </row>
        <row r="2121">
          <cell r="A2121">
            <v>31616</v>
          </cell>
          <cell r="B2121" t="str">
            <v>CORPORATION</v>
          </cell>
          <cell r="C2121" t="str">
            <v>Super Safra Agropecuaria Ltda</v>
          </cell>
          <cell r="D2121" t="str">
            <v>Super Safra</v>
          </cell>
          <cell r="E2121" t="str">
            <v>BR_CNPJ</v>
          </cell>
          <cell r="F2121" t="str">
            <v>01.341.276/0001-04</v>
          </cell>
        </row>
        <row r="2122">
          <cell r="A2122">
            <v>31618</v>
          </cell>
          <cell r="B2122" t="str">
            <v>CORPORATION</v>
          </cell>
          <cell r="C2122" t="str">
            <v>Durre Ferragens E Ferramentas Ltda - Me</v>
          </cell>
          <cell r="D2122" t="str">
            <v>Durre Ferragens E Ferramentas Ltda - Me</v>
          </cell>
          <cell r="E2122" t="str">
            <v>BR_CNPJ</v>
          </cell>
          <cell r="F2122" t="str">
            <v>13.486.557/0001-26</v>
          </cell>
        </row>
        <row r="2123">
          <cell r="A2123">
            <v>31621</v>
          </cell>
          <cell r="B2123" t="str">
            <v>CORPORATION</v>
          </cell>
          <cell r="C2123" t="str">
            <v>Cmk Comercio De Ferramentas, Abrasivos E Soldas Ltda - Me</v>
          </cell>
          <cell r="D2123" t="str">
            <v>Cmk Comercio De Ferramentas, Abrasivos E Soldas Ltda - Me</v>
          </cell>
          <cell r="E2123" t="str">
            <v>BR_CNPJ</v>
          </cell>
          <cell r="F2123" t="str">
            <v>10.337.899/0001-96</v>
          </cell>
        </row>
        <row r="2124">
          <cell r="A2124">
            <v>31623</v>
          </cell>
          <cell r="B2124" t="str">
            <v>CORPORATION</v>
          </cell>
          <cell r="C2124" t="str">
            <v>Bazarzao De Itaborai Bazar Eletrodomesticos E Servicos Ltda</v>
          </cell>
          <cell r="D2124" t="str">
            <v>Bazarzao De Itaborai Pecas E Acessorios</v>
          </cell>
          <cell r="E2124" t="str">
            <v>BR_CNPJ</v>
          </cell>
          <cell r="F2124" t="str">
            <v>10.406.446/0001-74</v>
          </cell>
        </row>
        <row r="2125">
          <cell r="A2125">
            <v>31624</v>
          </cell>
          <cell r="B2125" t="str">
            <v>CORPORATION</v>
          </cell>
          <cell r="C2125" t="str">
            <v>Olibrinox Parafusos E Fixadores Ltda</v>
          </cell>
          <cell r="D2125" t="str">
            <v>Olinox</v>
          </cell>
          <cell r="E2125" t="str">
            <v>BR_CNPJ</v>
          </cell>
          <cell r="F2125" t="str">
            <v>31.630.122/0001-95</v>
          </cell>
        </row>
        <row r="2126">
          <cell r="A2126">
            <v>31630</v>
          </cell>
          <cell r="B2126" t="str">
            <v>CORPORATION</v>
          </cell>
          <cell r="C2126" t="str">
            <v>Gully-Parafusos E Ferramentas Ltda.</v>
          </cell>
          <cell r="D2126" t="str">
            <v>Casa Dos Parafusos Barra Mansa</v>
          </cell>
          <cell r="E2126" t="str">
            <v>BR_CNPJ</v>
          </cell>
          <cell r="F2126" t="str">
            <v>02.708.059/0001-64</v>
          </cell>
        </row>
        <row r="2127">
          <cell r="A2127">
            <v>31634</v>
          </cell>
          <cell r="B2127" t="str">
            <v>CORPORATION</v>
          </cell>
          <cell r="C2127" t="str">
            <v>Toledo Ferramentas Comercial Ltda</v>
          </cell>
          <cell r="D2127" t="str">
            <v>Toledo Ferramentas</v>
          </cell>
          <cell r="E2127" t="str">
            <v>BR_CNPJ</v>
          </cell>
          <cell r="F2127" t="str">
            <v>12.276.316/0001-90</v>
          </cell>
        </row>
        <row r="2128">
          <cell r="A2128">
            <v>31635</v>
          </cell>
          <cell r="B2128" t="str">
            <v>CORPORATION</v>
          </cell>
          <cell r="C2128" t="str">
            <v>Albran Comercio De Soldas E Ferragens Ltda</v>
          </cell>
          <cell r="D2128" t="str">
            <v>Albran</v>
          </cell>
          <cell r="E2128" t="str">
            <v>BR_CNPJ</v>
          </cell>
          <cell r="F2128" t="str">
            <v>29.441.987/0001-61</v>
          </cell>
        </row>
        <row r="2129">
          <cell r="A2129">
            <v>31638</v>
          </cell>
          <cell r="B2129" t="str">
            <v>CORPORATION</v>
          </cell>
          <cell r="C2129" t="str">
            <v>J R Soldas E Equipamentos Ltda</v>
          </cell>
          <cell r="D2129" t="str">
            <v>J R Soldas E Equipamentos Ltda</v>
          </cell>
          <cell r="E2129" t="str">
            <v>BR_CNPJ</v>
          </cell>
          <cell r="F2129" t="str">
            <v>28.822.369/0001-07</v>
          </cell>
        </row>
        <row r="2130">
          <cell r="A2130">
            <v>31644</v>
          </cell>
          <cell r="B2130" t="str">
            <v>CORPORATION</v>
          </cell>
          <cell r="C2130" t="str">
            <v>Fecpar Comercio De Parafusos E Ferramentas Ltda - Me</v>
          </cell>
          <cell r="D2130" t="str">
            <v>Centrofix</v>
          </cell>
          <cell r="E2130" t="str">
            <v>BR_CNPJ</v>
          </cell>
          <cell r="F2130" t="str">
            <v>10.864.132/0001-15</v>
          </cell>
        </row>
        <row r="2131">
          <cell r="A2131">
            <v>31646</v>
          </cell>
          <cell r="B2131" t="str">
            <v>CORPORATION</v>
          </cell>
          <cell r="C2131" t="str">
            <v>Comagran Produtos Agro Industriais Ltda</v>
          </cell>
          <cell r="D2131" t="str">
            <v>Comagran Produtos Agro Industriais Ltda</v>
          </cell>
          <cell r="E2131" t="str">
            <v>BR_CNPJ</v>
          </cell>
          <cell r="F2131" t="str">
            <v>00.217.109/0005-09</v>
          </cell>
        </row>
        <row r="2132">
          <cell r="A2132">
            <v>31647</v>
          </cell>
          <cell r="B2132" t="str">
            <v>CORPORATION</v>
          </cell>
          <cell r="C2132" t="str">
            <v>36.195.713 Gregory Pinheiro Machado</v>
          </cell>
          <cell r="D2132" t="str">
            <v>Gtec</v>
          </cell>
          <cell r="E2132" t="str">
            <v>BR_CNPJ</v>
          </cell>
          <cell r="F2132" t="str">
            <v>36.195.713/0001-03</v>
          </cell>
        </row>
        <row r="2133">
          <cell r="A2133">
            <v>31648</v>
          </cell>
          <cell r="B2133" t="str">
            <v>CORPORATION</v>
          </cell>
          <cell r="C2133" t="str">
            <v>Thor Comercio De Ferramentas Ltda - Me</v>
          </cell>
          <cell r="D2133" t="str">
            <v>Thor Locadora De Maquinas E Equipamentos Ltda Me</v>
          </cell>
          <cell r="E2133" t="str">
            <v>BR_CNPJ</v>
          </cell>
          <cell r="F2133" t="str">
            <v>08.207.975/0001-05</v>
          </cell>
        </row>
        <row r="2134">
          <cell r="A2134">
            <v>31653</v>
          </cell>
          <cell r="B2134" t="str">
            <v>CORPORATION</v>
          </cell>
          <cell r="C2134" t="str">
            <v>Iso Comercio De Ferramentas Ltda - Me</v>
          </cell>
          <cell r="D2134" t="str">
            <v>Iso Ferramental</v>
          </cell>
          <cell r="E2134" t="str">
            <v>BR_CNPJ</v>
          </cell>
          <cell r="F2134" t="str">
            <v>34.889.865/0001-72</v>
          </cell>
        </row>
        <row r="2135">
          <cell r="A2135">
            <v>31654</v>
          </cell>
          <cell r="B2135" t="str">
            <v>CORPORATION</v>
          </cell>
          <cell r="C2135" t="str">
            <v>49.174.353 Luana Viana Marino</v>
          </cell>
          <cell r="D2135" t="str">
            <v>Luana Viana - Giro Tools</v>
          </cell>
          <cell r="E2135" t="str">
            <v>BR_CNPJ</v>
          </cell>
          <cell r="F2135" t="str">
            <v>49.174.353/0001-05</v>
          </cell>
        </row>
        <row r="2136">
          <cell r="A2136">
            <v>31657</v>
          </cell>
          <cell r="B2136" t="str">
            <v>CORPORATION</v>
          </cell>
          <cell r="C2136" t="str">
            <v>Claudia Cristina Santos De Alcantara - Me</v>
          </cell>
          <cell r="D2136" t="str">
            <v>Podium Truck Automotive</v>
          </cell>
          <cell r="E2136" t="str">
            <v>BR_CNPJ</v>
          </cell>
          <cell r="F2136" t="str">
            <v>13.338.204/0001-89</v>
          </cell>
        </row>
        <row r="2137">
          <cell r="A2137">
            <v>31658</v>
          </cell>
          <cell r="B2137" t="str">
            <v>CORPORATION</v>
          </cell>
          <cell r="C2137" t="str">
            <v>Unidiesel Pecas E Acessorios Ltda</v>
          </cell>
          <cell r="D2137" t="str">
            <v>Unidiesel Pecas E Acessorios</v>
          </cell>
          <cell r="E2137" t="str">
            <v>BR_CNPJ</v>
          </cell>
          <cell r="F2137" t="str">
            <v>37.397.866/0001-98</v>
          </cell>
        </row>
        <row r="2138">
          <cell r="A2138">
            <v>31660</v>
          </cell>
          <cell r="B2138" t="str">
            <v>CORPORATION</v>
          </cell>
          <cell r="C2138" t="str">
            <v>Loja Da Jardinagem Ltda - Me</v>
          </cell>
          <cell r="D2138" t="str">
            <v>Loja Da Jardinagem Ltda - Me</v>
          </cell>
          <cell r="E2138" t="str">
            <v>BR_CNPJ</v>
          </cell>
          <cell r="F2138" t="str">
            <v>15.464.006/0001-97</v>
          </cell>
        </row>
        <row r="2139">
          <cell r="A2139">
            <v>31663</v>
          </cell>
          <cell r="B2139" t="str">
            <v>CORPORATION</v>
          </cell>
          <cell r="C2139" t="str">
            <v>Mercobras Materiais E Equipamentos Ltda - Me</v>
          </cell>
          <cell r="D2139" t="str">
            <v>Mercobras</v>
          </cell>
          <cell r="E2139" t="str">
            <v>BR_CNPJ</v>
          </cell>
          <cell r="F2139" t="str">
            <v>07.883.735/0001-50</v>
          </cell>
        </row>
        <row r="2140">
          <cell r="A2140">
            <v>31665</v>
          </cell>
          <cell r="B2140" t="str">
            <v>CORPORATION</v>
          </cell>
          <cell r="C2140" t="str">
            <v>Sandra Regina Do Amaral Severino</v>
          </cell>
          <cell r="D2140" t="str">
            <v>Amaral Representacoes</v>
          </cell>
          <cell r="E2140" t="str">
            <v>BR_CNPJ</v>
          </cell>
          <cell r="F2140" t="str">
            <v>34.586.332/0001-11</v>
          </cell>
        </row>
        <row r="2141">
          <cell r="A2141">
            <v>31666</v>
          </cell>
          <cell r="B2141" t="str">
            <v>CORPORATION</v>
          </cell>
          <cell r="C2141" t="str">
            <v>L. B. Flex Borrachas Ltda</v>
          </cell>
          <cell r="D2141" t="str">
            <v>L. B. Flex Borrachas Ltda</v>
          </cell>
          <cell r="E2141" t="str">
            <v>BR_CNPJ</v>
          </cell>
          <cell r="F2141" t="str">
            <v>06.536.658/0002-80</v>
          </cell>
        </row>
        <row r="2142">
          <cell r="A2142">
            <v>31669</v>
          </cell>
          <cell r="B2142" t="str">
            <v>CORPORATION</v>
          </cell>
          <cell r="C2142" t="str">
            <v>Soldamix Representacoes Comercio E Servicos Ltda</v>
          </cell>
          <cell r="D2142" t="str">
            <v>Soldamix Representacoes</v>
          </cell>
          <cell r="E2142" t="str">
            <v>BR_CNPJ</v>
          </cell>
          <cell r="F2142" t="str">
            <v>86.479.227/0001-87</v>
          </cell>
        </row>
        <row r="2143">
          <cell r="A2143">
            <v>31671</v>
          </cell>
          <cell r="B2143" t="str">
            <v>CORPORATION</v>
          </cell>
          <cell r="C2143" t="str">
            <v>Ferrafort - Ferragista Ltda</v>
          </cell>
          <cell r="D2143" t="str">
            <v>Ferragista Amazonas</v>
          </cell>
          <cell r="E2143" t="str">
            <v>BR_CNPJ</v>
          </cell>
          <cell r="F2143" t="str">
            <v>37.715.369/0001-90</v>
          </cell>
          <cell r="G2143" t="str">
            <v>FERRAGISTA FERNANDES</v>
          </cell>
        </row>
        <row r="2144">
          <cell r="A2144">
            <v>31673</v>
          </cell>
          <cell r="B2144" t="str">
            <v>CORPORATION</v>
          </cell>
          <cell r="C2144" t="str">
            <v>H. Soldas E Equipamentos Ltda</v>
          </cell>
          <cell r="D2144" t="str">
            <v>H. Soldas E Equipamentos Ltda</v>
          </cell>
          <cell r="E2144" t="str">
            <v>BR_CNPJ</v>
          </cell>
          <cell r="F2144" t="str">
            <v>73.973.596/0001-80</v>
          </cell>
        </row>
        <row r="2145">
          <cell r="A2145">
            <v>31677</v>
          </cell>
          <cell r="B2145" t="str">
            <v>CORPORATION</v>
          </cell>
          <cell r="C2145" t="str">
            <v>Leal Ferramentas E Equipamentos Automotivos Ltda - Me</v>
          </cell>
          <cell r="D2145" t="str">
            <v>Leal Ferramentas</v>
          </cell>
          <cell r="E2145" t="str">
            <v>BR_CNPJ</v>
          </cell>
          <cell r="F2145" t="str">
            <v>10.395.294/0001-51</v>
          </cell>
        </row>
        <row r="2146">
          <cell r="A2146">
            <v>31680</v>
          </cell>
          <cell r="B2146" t="str">
            <v>CORPORATION</v>
          </cell>
          <cell r="C2146" t="str">
            <v>Hi Tec Injection Ferramentas Ltda - Me</v>
          </cell>
          <cell r="D2146" t="str">
            <v>Hi-Tec Injection</v>
          </cell>
          <cell r="E2146" t="str">
            <v>BR_CNPJ</v>
          </cell>
          <cell r="F2146" t="str">
            <v>03.966.990/0001-05</v>
          </cell>
        </row>
        <row r="2147">
          <cell r="A2147">
            <v>31683</v>
          </cell>
          <cell r="B2147" t="str">
            <v>CORPORATION</v>
          </cell>
          <cell r="C2147" t="str">
            <v>Jaguar Maquinas E Ferramentas Motorizadas Ltda. - Me</v>
          </cell>
          <cell r="D2147" t="str">
            <v>Jaguar Maquinas E Ferramentas Motorizadas Ltda. - Me</v>
          </cell>
          <cell r="E2147" t="str">
            <v>BR_CNPJ</v>
          </cell>
          <cell r="F2147" t="str">
            <v>67.463.349/0001-30</v>
          </cell>
        </row>
        <row r="2148">
          <cell r="A2148">
            <v>31689</v>
          </cell>
          <cell r="B2148" t="str">
            <v>CORPORATION</v>
          </cell>
          <cell r="C2148" t="str">
            <v>Diogo Ferramentas Ltda - Me</v>
          </cell>
          <cell r="D2148" t="str">
            <v>Diogo Ferramentas Ltda - Me</v>
          </cell>
          <cell r="E2148" t="str">
            <v>BR_CNPJ</v>
          </cell>
          <cell r="F2148" t="str">
            <v>11.392.259/0001-41</v>
          </cell>
        </row>
        <row r="2149">
          <cell r="A2149">
            <v>31691</v>
          </cell>
          <cell r="B2149" t="str">
            <v>CORPORATION</v>
          </cell>
          <cell r="C2149" t="str">
            <v>Oestao Maquinas Ferramentas Ferragens E Equipamentos Ltda</v>
          </cell>
          <cell r="D2149" t="str">
            <v>Oestao</v>
          </cell>
          <cell r="E2149" t="str">
            <v>BR_CNPJ</v>
          </cell>
          <cell r="F2149" t="str">
            <v>41.309.072/0001-00</v>
          </cell>
        </row>
        <row r="2150">
          <cell r="A2150">
            <v>31693</v>
          </cell>
          <cell r="B2150" t="str">
            <v>CORPORATION</v>
          </cell>
          <cell r="C2150" t="str">
            <v>Comercial Oliveira Macedo Ltda</v>
          </cell>
          <cell r="D2150" t="str">
            <v>Compaf Parafusos E Ferramentas</v>
          </cell>
          <cell r="E2150" t="str">
            <v>BR_CNPJ</v>
          </cell>
          <cell r="F2150" t="str">
            <v>30.497.082/0001-92</v>
          </cell>
        </row>
        <row r="2151">
          <cell r="A2151">
            <v>31695</v>
          </cell>
          <cell r="B2151" t="str">
            <v>CORPORATION</v>
          </cell>
          <cell r="C2151" t="str">
            <v>M H T Almeida Comercio De Material Eletrico - Me</v>
          </cell>
          <cell r="D2151" t="str">
            <v>M H T Almeida Comercio De Material Eletrico - Me</v>
          </cell>
          <cell r="E2151" t="str">
            <v>BR_CNPJ</v>
          </cell>
          <cell r="F2151" t="str">
            <v>03.184.328/0001-01</v>
          </cell>
        </row>
        <row r="2152">
          <cell r="A2152">
            <v>31696</v>
          </cell>
          <cell r="B2152" t="str">
            <v>CORPORATION</v>
          </cell>
          <cell r="C2152" t="str">
            <v>Rm Ferramentas Industrial - Boituva Ltda</v>
          </cell>
          <cell r="D2152" t="str">
            <v>Rm Ferramentas</v>
          </cell>
          <cell r="E2152" t="str">
            <v>BR_CNPJ</v>
          </cell>
          <cell r="F2152" t="str">
            <v>51.334.889/0001-84</v>
          </cell>
        </row>
        <row r="2153">
          <cell r="A2153">
            <v>31699</v>
          </cell>
          <cell r="B2153" t="str">
            <v>CORPORATION</v>
          </cell>
          <cell r="C2153" t="str">
            <v>Zinca Rapido Comercio De Ferragens Ltda</v>
          </cell>
          <cell r="D2153" t="str">
            <v>Zinca Rapido Comercio De Ferragens</v>
          </cell>
          <cell r="E2153" t="str">
            <v>BR_CNPJ</v>
          </cell>
          <cell r="F2153" t="str">
            <v>76.599.257/0001-73</v>
          </cell>
        </row>
        <row r="2154">
          <cell r="A2154">
            <v>31701</v>
          </cell>
          <cell r="B2154" t="str">
            <v>CORPORATION</v>
          </cell>
          <cell r="C2154" t="str">
            <v>Cofeos Ferragens Ltda</v>
          </cell>
          <cell r="D2154" t="str">
            <v>Cofeos Ferragens Ltda</v>
          </cell>
          <cell r="E2154" t="str">
            <v>BR_CNPJ</v>
          </cell>
          <cell r="F2154" t="str">
            <v>07.292.260/0001-27</v>
          </cell>
        </row>
        <row r="2155">
          <cell r="A2155">
            <v>31702</v>
          </cell>
          <cell r="B2155" t="str">
            <v>CORPORATION</v>
          </cell>
          <cell r="C2155" t="str">
            <v>Leandro Amaral Dos Santos 04675453406</v>
          </cell>
          <cell r="D2155" t="str">
            <v>Eletroeletronica Amaral</v>
          </cell>
          <cell r="E2155" t="str">
            <v>BR_CNPJ</v>
          </cell>
          <cell r="F2155" t="str">
            <v>43.385.361/0001-06</v>
          </cell>
        </row>
        <row r="2156">
          <cell r="A2156">
            <v>31703</v>
          </cell>
          <cell r="B2156" t="str">
            <v>CORPORATION</v>
          </cell>
          <cell r="C2156" t="str">
            <v>Goncalo Procopio Drumond - Cpf 51239140649 - Epp</v>
          </cell>
          <cell r="D2156" t="str">
            <v>Comercial Urupes</v>
          </cell>
          <cell r="E2156" t="str">
            <v>BR_CNPJ</v>
          </cell>
          <cell r="F2156" t="str">
            <v>70.968.615/0001-91</v>
          </cell>
        </row>
        <row r="2157">
          <cell r="A2157">
            <v>31705</v>
          </cell>
          <cell r="B2157" t="str">
            <v>CORPORATION</v>
          </cell>
          <cell r="C2157" t="str">
            <v>Jp Maquinas Ltda - Me</v>
          </cell>
          <cell r="D2157" t="str">
            <v>Jp Maquinas Ltda - Me</v>
          </cell>
          <cell r="E2157" t="str">
            <v>BR_CNPJ</v>
          </cell>
          <cell r="F2157" t="str">
            <v>18.154.962/0001-60</v>
          </cell>
        </row>
        <row r="2158">
          <cell r="A2158">
            <v>31708</v>
          </cell>
          <cell r="B2158" t="str">
            <v>CORPORATION</v>
          </cell>
          <cell r="C2158" t="str">
            <v>Comfer Comercio De Ferragens Ltda - Me</v>
          </cell>
          <cell r="D2158" t="str">
            <v>Comfer</v>
          </cell>
          <cell r="E2158" t="str">
            <v>BR_CNPJ</v>
          </cell>
          <cell r="F2158" t="str">
            <v>04.224.401/0001-86</v>
          </cell>
        </row>
        <row r="2159">
          <cell r="A2159">
            <v>31711</v>
          </cell>
          <cell r="B2159" t="str">
            <v>CORPORATION</v>
          </cell>
          <cell r="C2159" t="str">
            <v>Ferragens Macionki Ltda - Me</v>
          </cell>
          <cell r="D2159" t="str">
            <v>Bm Ferragens</v>
          </cell>
          <cell r="E2159" t="str">
            <v>BR_CNPJ</v>
          </cell>
          <cell r="F2159" t="str">
            <v>05.279.108/0001-89</v>
          </cell>
        </row>
        <row r="2160">
          <cell r="A2160">
            <v>31714</v>
          </cell>
          <cell r="B2160" t="str">
            <v>CORPORATION</v>
          </cell>
          <cell r="C2160" t="str">
            <v>Master Ferragem Ltda - Me</v>
          </cell>
          <cell r="D2160" t="str">
            <v>Master Ferragem Ltda - Me</v>
          </cell>
          <cell r="E2160" t="str">
            <v>BR_CNPJ</v>
          </cell>
          <cell r="F2160" t="str">
            <v>94.646.502/0001-38</v>
          </cell>
        </row>
        <row r="2161">
          <cell r="A2161">
            <v>31718</v>
          </cell>
          <cell r="B2161" t="str">
            <v>CORPORATION</v>
          </cell>
          <cell r="C2161" t="str">
            <v>Parafusos Frade Ferragens E Ferramentas Ltda - Epp</v>
          </cell>
          <cell r="D2161" t="str">
            <v>Parafusos Frade Ferragens E Ferramentas Ltda - Epp</v>
          </cell>
          <cell r="E2161" t="str">
            <v>BR_CNPJ</v>
          </cell>
          <cell r="F2161" t="str">
            <v>15.395.214/0001-81</v>
          </cell>
        </row>
        <row r="2162">
          <cell r="A2162">
            <v>31720</v>
          </cell>
          <cell r="B2162" t="str">
            <v>CORPORATION</v>
          </cell>
          <cell r="C2162" t="str">
            <v>Ciamaq - Comercio De Pecas Para Maquinas Industriais Ltda. - Me</v>
          </cell>
          <cell r="D2162" t="str">
            <v>Ciamaq</v>
          </cell>
          <cell r="E2162" t="str">
            <v>BR_CNPJ</v>
          </cell>
          <cell r="F2162" t="str">
            <v>10.781.988/0001-27</v>
          </cell>
        </row>
        <row r="2163">
          <cell r="A2163">
            <v>31721</v>
          </cell>
          <cell r="B2163" t="str">
            <v>CORPORATION</v>
          </cell>
          <cell r="C2163" t="str">
            <v>G-2 Home Center Ltda</v>
          </cell>
          <cell r="D2163" t="str">
            <v>Ideal Home Center</v>
          </cell>
          <cell r="E2163" t="str">
            <v>BR_CNPJ</v>
          </cell>
          <cell r="F2163" t="str">
            <v>31.524.625/0001-86</v>
          </cell>
        </row>
        <row r="2164">
          <cell r="A2164">
            <v>31723</v>
          </cell>
          <cell r="B2164" t="str">
            <v>CORPORATION</v>
          </cell>
          <cell r="C2164" t="str">
            <v>Ismar Da Cruz Slompo - Me</v>
          </cell>
          <cell r="D2164" t="str">
            <v>So Parafusos E Ferramentas</v>
          </cell>
          <cell r="E2164" t="str">
            <v>BR_CNPJ</v>
          </cell>
          <cell r="F2164" t="str">
            <v>20.265.619/0001-35</v>
          </cell>
        </row>
        <row r="2165">
          <cell r="A2165">
            <v>31726</v>
          </cell>
          <cell r="B2165" t="str">
            <v>CORPORATION</v>
          </cell>
          <cell r="C2165" t="str">
            <v>Ferragens Teixeira E Santos Ltda - Me</v>
          </cell>
          <cell r="D2165" t="str">
            <v>Jk Ferragens</v>
          </cell>
          <cell r="E2165" t="str">
            <v>BR_CNPJ</v>
          </cell>
          <cell r="F2165" t="str">
            <v>10.528.048/0001-20</v>
          </cell>
        </row>
        <row r="2166">
          <cell r="A2166">
            <v>31734</v>
          </cell>
          <cell r="B2166" t="str">
            <v>CORPORATION</v>
          </cell>
          <cell r="C2166" t="str">
            <v>Schumann Comercio E Servicos De Maquinas Ltda - Me</v>
          </cell>
          <cell r="D2166" t="str">
            <v>Comercial Schumann</v>
          </cell>
          <cell r="E2166" t="str">
            <v>BR_CNPJ</v>
          </cell>
          <cell r="F2166" t="str">
            <v>05.992.789/0001-28</v>
          </cell>
        </row>
        <row r="2167">
          <cell r="A2167">
            <v>31736</v>
          </cell>
          <cell r="B2167" t="str">
            <v>CORPORATION</v>
          </cell>
          <cell r="C2167" t="str">
            <v>Ferroban Comercial Ltda - Me</v>
          </cell>
          <cell r="D2167" t="str">
            <v>Ferroban</v>
          </cell>
          <cell r="E2167" t="str">
            <v>BR_CNPJ</v>
          </cell>
          <cell r="F2167" t="str">
            <v>10.159.190/0001-48</v>
          </cell>
        </row>
        <row r="2168">
          <cell r="A2168">
            <v>31740</v>
          </cell>
          <cell r="B2168" t="str">
            <v>CORPORATION</v>
          </cell>
          <cell r="C2168" t="str">
            <v>Casa Do Parafuso De Barra Do Pirai Ltda - Epp</v>
          </cell>
          <cell r="D2168" t="str">
            <v>Casa Do Parafuso De Barra Do Pirai Ltda - Epp</v>
          </cell>
          <cell r="E2168" t="str">
            <v>BR_CNPJ</v>
          </cell>
          <cell r="F2168" t="str">
            <v>30.705.255/0001-10</v>
          </cell>
        </row>
        <row r="2169">
          <cell r="A2169">
            <v>31743</v>
          </cell>
          <cell r="B2169" t="str">
            <v>CORPORATION</v>
          </cell>
          <cell r="C2169" t="str">
            <v>Bhmaq Maquinas E Ferramentas Ltda - Me</v>
          </cell>
          <cell r="D2169" t="str">
            <v>Bhmaq Maquinas E Ferramentas Ltda - Me</v>
          </cell>
          <cell r="E2169" t="str">
            <v>BR_CNPJ</v>
          </cell>
          <cell r="F2169" t="str">
            <v>08.538.628/0001-57</v>
          </cell>
        </row>
        <row r="2170">
          <cell r="A2170">
            <v>31745</v>
          </cell>
          <cell r="B2170" t="str">
            <v>CORPORATION</v>
          </cell>
          <cell r="C2170" t="str">
            <v>Equifer Comercio E Locacao De Maquinas Ltda - Me</v>
          </cell>
          <cell r="D2170" t="str">
            <v>Equifer</v>
          </cell>
          <cell r="E2170" t="str">
            <v>BR_CNPJ</v>
          </cell>
          <cell r="F2170" t="str">
            <v>08.008.444/0001-85</v>
          </cell>
        </row>
        <row r="2171">
          <cell r="A2171">
            <v>31748</v>
          </cell>
          <cell r="B2171" t="str">
            <v>CORPORATION</v>
          </cell>
          <cell r="C2171" t="str">
            <v>Clesimar Francisco De Lima Ferragens - Me</v>
          </cell>
          <cell r="D2171" t="str">
            <v>Moura &amp; Lima - Ferragens</v>
          </cell>
          <cell r="E2171" t="str">
            <v>BR_CNPJ</v>
          </cell>
          <cell r="F2171" t="str">
            <v>08.907.154/0001-73</v>
          </cell>
        </row>
        <row r="2172">
          <cell r="A2172">
            <v>31752</v>
          </cell>
          <cell r="B2172" t="str">
            <v>CORPORATION</v>
          </cell>
          <cell r="C2172" t="str">
            <v>Cg Ferragens E Ferramentas Ltda - Me</v>
          </cell>
          <cell r="D2172" t="str">
            <v>Cg Ferragens E Ferramentas</v>
          </cell>
          <cell r="E2172" t="str">
            <v>BR_CNPJ</v>
          </cell>
          <cell r="F2172" t="str">
            <v>97.394.522/0001-57</v>
          </cell>
        </row>
        <row r="2173">
          <cell r="A2173">
            <v>31754</v>
          </cell>
          <cell r="B2173" t="str">
            <v>CORPORATION</v>
          </cell>
          <cell r="C2173" t="str">
            <v>Ws Maquinas Ltda.</v>
          </cell>
          <cell r="D2173" t="str">
            <v>Ws Maquinas Ltda.</v>
          </cell>
          <cell r="E2173" t="str">
            <v>BR_CNPJ</v>
          </cell>
          <cell r="F2173" t="str">
            <v>82.640.533/0001-00</v>
          </cell>
        </row>
        <row r="2174">
          <cell r="A2174">
            <v>31755</v>
          </cell>
          <cell r="B2174" t="str">
            <v>CORPORATION</v>
          </cell>
          <cell r="C2174" t="str">
            <v>Ampp Locacao Eireli</v>
          </cell>
          <cell r="D2174" t="str">
            <v>Alluga Equipamentos</v>
          </cell>
          <cell r="E2174" t="str">
            <v>BR_CNPJ</v>
          </cell>
          <cell r="F2174" t="str">
            <v>30.641.190/0001-97</v>
          </cell>
        </row>
        <row r="2175">
          <cell r="A2175">
            <v>31757</v>
          </cell>
          <cell r="B2175" t="str">
            <v>CORPORATION</v>
          </cell>
          <cell r="C2175" t="str">
            <v>Lojao Das Maquinas E Ferramentas Ltda - Me</v>
          </cell>
          <cell r="D2175" t="str">
            <v>Lojao Das Maquinas E Ferramentas</v>
          </cell>
          <cell r="E2175" t="str">
            <v>BR_CNPJ</v>
          </cell>
          <cell r="F2175" t="str">
            <v>19.266.050/0001-43</v>
          </cell>
        </row>
        <row r="2176">
          <cell r="A2176">
            <v>31760</v>
          </cell>
          <cell r="B2176" t="str">
            <v>CORPORATION</v>
          </cell>
          <cell r="C2176" t="str">
            <v>Mm Material De Construcao Ltda - Epp</v>
          </cell>
          <cell r="D2176" t="str">
            <v>Mm Home Center</v>
          </cell>
          <cell r="E2176" t="str">
            <v>BR_CNPJ</v>
          </cell>
          <cell r="F2176" t="str">
            <v>07.084.080/0001-50</v>
          </cell>
        </row>
        <row r="2177">
          <cell r="A2177">
            <v>31761</v>
          </cell>
          <cell r="B2177" t="str">
            <v>CORPORATION</v>
          </cell>
          <cell r="C2177" t="str">
            <v>Ksolda Comercio E Importacao De Metais Ltda</v>
          </cell>
          <cell r="D2177" t="str">
            <v>Ksolda</v>
          </cell>
          <cell r="E2177" t="str">
            <v>BR_CNPJ</v>
          </cell>
          <cell r="F2177" t="str">
            <v>12.165.287/0001-99</v>
          </cell>
          <cell r="G2177" t="str">
            <v>KSOLDA</v>
          </cell>
        </row>
        <row r="2178">
          <cell r="A2178">
            <v>31763</v>
          </cell>
          <cell r="B2178" t="str">
            <v>CORPORATION</v>
          </cell>
          <cell r="C2178" t="str">
            <v>Fercon Ferragens E Materiais De Construcao Ltda</v>
          </cell>
          <cell r="D2178" t="str">
            <v>Fercon Ferragens E Materiais De Construcao Ltda</v>
          </cell>
          <cell r="E2178" t="str">
            <v>BR_CNPJ</v>
          </cell>
          <cell r="F2178" t="str">
            <v>32.919.508/0002-65</v>
          </cell>
        </row>
        <row r="2179">
          <cell r="A2179">
            <v>31765</v>
          </cell>
          <cell r="B2179" t="str">
            <v>CORPORATION</v>
          </cell>
          <cell r="C2179" t="str">
            <v>Ferragens Distrital Ltda - Me</v>
          </cell>
          <cell r="D2179" t="str">
            <v>Nova Distrital</v>
          </cell>
          <cell r="E2179" t="str">
            <v>BR_CNPJ</v>
          </cell>
          <cell r="F2179" t="str">
            <v>00.823.053/0001-02</v>
          </cell>
        </row>
        <row r="2180">
          <cell r="A2180">
            <v>31766</v>
          </cell>
          <cell r="B2180" t="str">
            <v>CORPORATION</v>
          </cell>
          <cell r="C2180" t="str">
            <v>Vertical Locadora De Equipamentos E Veiculos Ltda.</v>
          </cell>
          <cell r="D2180" t="str">
            <v>Lider Comercio E Locacoes</v>
          </cell>
          <cell r="E2180" t="str">
            <v>BR_CNPJ</v>
          </cell>
          <cell r="F2180" t="str">
            <v>32.580.567/0001-70</v>
          </cell>
        </row>
        <row r="2181">
          <cell r="A2181">
            <v>31768</v>
          </cell>
          <cell r="B2181" t="str">
            <v>CORPORATION</v>
          </cell>
          <cell r="C2181" t="str">
            <v>Ferragens Carneiro Ltda - Me</v>
          </cell>
          <cell r="D2181" t="str">
            <v>Ferragens Carneiro</v>
          </cell>
          <cell r="E2181" t="str">
            <v>BR_CNPJ</v>
          </cell>
          <cell r="F2181" t="str">
            <v>32.905.937/0001-00</v>
          </cell>
        </row>
        <row r="2182">
          <cell r="A2182">
            <v>31771</v>
          </cell>
          <cell r="B2182" t="str">
            <v>CORPORATION</v>
          </cell>
          <cell r="C2182" t="str">
            <v>Ferragem Casa Capital Ltda - Me</v>
          </cell>
          <cell r="D2182" t="str">
            <v>Ferragem Casa Capital</v>
          </cell>
          <cell r="E2182" t="str">
            <v>BR_CNPJ</v>
          </cell>
          <cell r="F2182" t="str">
            <v>05.302.180/0001-80</v>
          </cell>
        </row>
        <row r="2183">
          <cell r="A2183">
            <v>31774</v>
          </cell>
          <cell r="B2183" t="str">
            <v>CORPORATION</v>
          </cell>
          <cell r="C2183" t="str">
            <v>Ferragens Lider Comercio E Servicos Eireli - Epp</v>
          </cell>
          <cell r="D2183" t="str">
            <v>Ferragens Lider Comercio E Servicos Eireli - Epp</v>
          </cell>
          <cell r="E2183" t="str">
            <v>BR_CNPJ</v>
          </cell>
          <cell r="F2183" t="str">
            <v>01.649.554/0001-87</v>
          </cell>
        </row>
        <row r="2184">
          <cell r="A2184">
            <v>31775</v>
          </cell>
          <cell r="B2184" t="str">
            <v>CORPORATION</v>
          </cell>
          <cell r="C2184" t="str">
            <v>Pallu Ferragens Ltda</v>
          </cell>
          <cell r="D2184" t="str">
            <v>Pallu Ferragens</v>
          </cell>
          <cell r="E2184" t="str">
            <v>BR_CNPJ</v>
          </cell>
          <cell r="F2184" t="str">
            <v>75.607.507/0001-07</v>
          </cell>
        </row>
        <row r="2185">
          <cell r="A2185">
            <v>31776</v>
          </cell>
          <cell r="B2185" t="str">
            <v>CORPORATION</v>
          </cell>
          <cell r="C2185" t="str">
            <v>Ls Consultoria Empresarial Para Seguranca Industrial Ltda</v>
          </cell>
          <cell r="D2185" t="str">
            <v>Ls Seguranca Industrial</v>
          </cell>
          <cell r="E2185" t="str">
            <v>BR_CNPJ</v>
          </cell>
          <cell r="F2185" t="str">
            <v>37.094.649/0001-29</v>
          </cell>
        </row>
        <row r="2186">
          <cell r="A2186">
            <v>31777</v>
          </cell>
          <cell r="B2186" t="str">
            <v>CORPORATION</v>
          </cell>
          <cell r="C2186" t="str">
            <v>Maria Do Socorro Fontenele Costa - Me</v>
          </cell>
          <cell r="D2186" t="str">
            <v>Socorro Ferramentas Especiais Para Veiculos</v>
          </cell>
          <cell r="E2186" t="str">
            <v>BR_CNPJ</v>
          </cell>
          <cell r="F2186" t="str">
            <v>03.180.902/0001-45</v>
          </cell>
        </row>
        <row r="2187">
          <cell r="A2187">
            <v>31779</v>
          </cell>
          <cell r="B2187" t="str">
            <v>CORPORATION</v>
          </cell>
          <cell r="C2187" t="str">
            <v>Ferragens Progresso Ltda - Me</v>
          </cell>
          <cell r="D2187" t="str">
            <v>Ferragens Progresso</v>
          </cell>
          <cell r="E2187" t="str">
            <v>BR_CNPJ</v>
          </cell>
          <cell r="F2187" t="str">
            <v>02.648.056/0001-82</v>
          </cell>
        </row>
        <row r="2188">
          <cell r="A2188">
            <v>31782</v>
          </cell>
          <cell r="B2188" t="str">
            <v>CORPORATION</v>
          </cell>
          <cell r="C2188" t="str">
            <v>Recort Comercio De Maquinas Ltda - Me</v>
          </cell>
          <cell r="D2188" t="str">
            <v>Recort - Comercio De Maquinas E Moto Serras</v>
          </cell>
          <cell r="E2188" t="str">
            <v>BR_CNPJ</v>
          </cell>
          <cell r="F2188" t="str">
            <v>02.704.908/0001-01</v>
          </cell>
        </row>
        <row r="2189">
          <cell r="A2189">
            <v>31785</v>
          </cell>
          <cell r="B2189" t="str">
            <v>CORPORATION</v>
          </cell>
          <cell r="C2189" t="str">
            <v>Bmb Material De Construcao S.A.</v>
          </cell>
          <cell r="D2189" t="str">
            <v>Obramax Piracicaba</v>
          </cell>
          <cell r="E2189" t="str">
            <v>BR_CNPJ</v>
          </cell>
          <cell r="F2189" t="str">
            <v>23.476.033/0010-07</v>
          </cell>
          <cell r="G2189" t="str">
            <v>OBRAMAX</v>
          </cell>
        </row>
        <row r="2190">
          <cell r="A2190">
            <v>31787</v>
          </cell>
          <cell r="B2190" t="str">
            <v>CORPORATION</v>
          </cell>
          <cell r="C2190" t="str">
            <v>Mhr Maquinas E Ferramentas Eireli - Me</v>
          </cell>
          <cell r="D2190" t="str">
            <v>Mhr Maquinas E Ferramentas Eireli - Me</v>
          </cell>
          <cell r="E2190" t="str">
            <v>BR_CNPJ</v>
          </cell>
          <cell r="F2190" t="str">
            <v>02.628.355/0001-55</v>
          </cell>
        </row>
        <row r="2191">
          <cell r="A2191">
            <v>31790</v>
          </cell>
          <cell r="B2191" t="str">
            <v>CORPORATION</v>
          </cell>
          <cell r="C2191" t="str">
            <v>Ferragem Bredow Ltda - Epp</v>
          </cell>
          <cell r="D2191" t="str">
            <v>Ferragem Bredow Ltda - Epp</v>
          </cell>
          <cell r="E2191" t="str">
            <v>BR_CNPJ</v>
          </cell>
          <cell r="F2191" t="str">
            <v>02.596.271/0001-87</v>
          </cell>
        </row>
        <row r="2192">
          <cell r="A2192">
            <v>31792</v>
          </cell>
          <cell r="B2192" t="str">
            <v>CORPORATION</v>
          </cell>
          <cell r="C2192" t="str">
            <v>A. L. Eller De Souza</v>
          </cell>
          <cell r="D2192" t="str">
            <v>Casa Polidor Friburgo</v>
          </cell>
          <cell r="E2192" t="str">
            <v>BR_CNPJ</v>
          </cell>
          <cell r="F2192" t="str">
            <v>17.007.850/0001-14</v>
          </cell>
          <cell r="G2192" t="str">
            <v>CASA POLIDOR</v>
          </cell>
        </row>
        <row r="2193">
          <cell r="A2193">
            <v>31793</v>
          </cell>
          <cell r="B2193" t="str">
            <v>CORPORATION</v>
          </cell>
          <cell r="C2193" t="str">
            <v>Spin Comercio De Ferramentas Ltda - Me</v>
          </cell>
          <cell r="D2193" t="str">
            <v>Spin Ferramentas</v>
          </cell>
          <cell r="E2193" t="str">
            <v>BR_CNPJ</v>
          </cell>
          <cell r="F2193" t="str">
            <v>13.266.574/0001-58</v>
          </cell>
        </row>
        <row r="2194">
          <cell r="A2194">
            <v>31796</v>
          </cell>
          <cell r="B2194" t="str">
            <v>CORPORATION</v>
          </cell>
          <cell r="C2194" t="str">
            <v>Ferragens Negrao Comercial Ltda</v>
          </cell>
          <cell r="D2194" t="str">
            <v>Ferragens Negrao Comercial Ltda</v>
          </cell>
          <cell r="E2194" t="str">
            <v>BR_CNPJ</v>
          </cell>
          <cell r="F2194" t="str">
            <v>76.639.285/0015-72</v>
          </cell>
        </row>
        <row r="2195">
          <cell r="A2195">
            <v>31802</v>
          </cell>
          <cell r="B2195" t="str">
            <v>CORPORATION</v>
          </cell>
          <cell r="C2195" t="str">
            <v>Engemac-Rio Maquinas Equipamentos E Servicos Ltda</v>
          </cell>
          <cell r="D2195" t="str">
            <v>Engemac-Rio Maquinas Equipamentos E Servicos Ltda</v>
          </cell>
          <cell r="E2195" t="str">
            <v>BR_CNPJ</v>
          </cell>
          <cell r="F2195" t="str">
            <v>31.332.042/0001-53</v>
          </cell>
        </row>
        <row r="2196">
          <cell r="A2196">
            <v>31806</v>
          </cell>
          <cell r="B2196" t="str">
            <v>CORPORATION</v>
          </cell>
          <cell r="C2196" t="str">
            <v>Parceiraco - Parceiros Do Aco Ltda</v>
          </cell>
          <cell r="D2196" t="str">
            <v>Parceiraco (Bicão)</v>
          </cell>
          <cell r="E2196" t="str">
            <v>BR_CNPJ</v>
          </cell>
          <cell r="F2196" t="str">
            <v>46.326.992/0001-42</v>
          </cell>
          <cell r="G2196" t="str">
            <v>BICÃO/PARCEIRAÇO</v>
          </cell>
        </row>
        <row r="2197">
          <cell r="A2197">
            <v>31807</v>
          </cell>
          <cell r="B2197" t="str">
            <v>CORPORATION</v>
          </cell>
          <cell r="C2197" t="str">
            <v>Danilo Vieira Ferreira 35689338885</v>
          </cell>
          <cell r="D2197" t="str">
            <v>Soldas Americana</v>
          </cell>
          <cell r="E2197" t="str">
            <v>BR_CNPJ</v>
          </cell>
          <cell r="F2197" t="str">
            <v>43.337.845/0001-80</v>
          </cell>
        </row>
        <row r="2198">
          <cell r="A2198">
            <v>31808</v>
          </cell>
          <cell r="B2198" t="str">
            <v>CORPORATION</v>
          </cell>
          <cell r="C2198" t="str">
            <v>Moura Ferragens Ltda - Me</v>
          </cell>
          <cell r="D2198" t="str">
            <v>Moura Ferragens Ltda - Me</v>
          </cell>
          <cell r="E2198" t="str">
            <v>BR_CNPJ</v>
          </cell>
          <cell r="F2198" t="str">
            <v>00.923.868/0001-63</v>
          </cell>
        </row>
        <row r="2199">
          <cell r="A2199">
            <v>31810</v>
          </cell>
          <cell r="B2199" t="str">
            <v>CORPORATION</v>
          </cell>
          <cell r="C2199" t="str">
            <v>Mundo Das Fechaduras - Eireli - Me</v>
          </cell>
          <cell r="D2199" t="str">
            <v>Mundo Das Fechaduras</v>
          </cell>
          <cell r="E2199" t="str">
            <v>BR_CNPJ</v>
          </cell>
          <cell r="F2199" t="str">
            <v>09.132.017/0001-77</v>
          </cell>
        </row>
        <row r="2200">
          <cell r="A2200">
            <v>31813</v>
          </cell>
          <cell r="B2200" t="str">
            <v>CORPORATION</v>
          </cell>
          <cell r="C2200" t="str">
            <v>Sasso &amp; Cia Ltda</v>
          </cell>
          <cell r="D2200" t="str">
            <v>Sasso &amp; Cia Ltda</v>
          </cell>
          <cell r="E2200" t="str">
            <v>BR_CNPJ</v>
          </cell>
          <cell r="F2200" t="str">
            <v>82.545.401/0001-91</v>
          </cell>
        </row>
        <row r="2201">
          <cell r="A2201">
            <v>31815</v>
          </cell>
          <cell r="B2201" t="str">
            <v>CORPORATION</v>
          </cell>
          <cell r="C2201" t="str">
            <v>Gfix Comercio De Ferragens E Ferramentas Ltda</v>
          </cell>
          <cell r="D2201" t="str">
            <v>Casa Dos Parafusos</v>
          </cell>
          <cell r="E2201" t="str">
            <v>BR_CNPJ</v>
          </cell>
          <cell r="F2201" t="str">
            <v>37.761.810/0001-70</v>
          </cell>
        </row>
        <row r="2202">
          <cell r="A2202">
            <v>31817</v>
          </cell>
          <cell r="B2202" t="str">
            <v>CORPORATION</v>
          </cell>
          <cell r="C2202" t="str">
            <v>Comag Comercio De Ferramentas - Dores De Campos Ltda - Me</v>
          </cell>
          <cell r="D2202" t="str">
            <v>Comag Comercio De Ferramentas - Dores De Campos Ltda - Me</v>
          </cell>
          <cell r="E2202" t="str">
            <v>BR_CNPJ</v>
          </cell>
          <cell r="F2202" t="str">
            <v>10.216.253/0001-50</v>
          </cell>
        </row>
        <row r="2203">
          <cell r="A2203">
            <v>31820</v>
          </cell>
          <cell r="B2203" t="str">
            <v>CORPORATION</v>
          </cell>
          <cell r="C2203" t="str">
            <v>Farmaq - Maquinas E Tratores Ltda. - Epp</v>
          </cell>
          <cell r="D2203" t="str">
            <v>Farmaq - Maquinas E Tratores Ltda. - Epp</v>
          </cell>
          <cell r="E2203" t="str">
            <v>BR_CNPJ</v>
          </cell>
          <cell r="F2203" t="str">
            <v>09.911.161/0001-01</v>
          </cell>
        </row>
        <row r="2204">
          <cell r="A2204">
            <v>31822</v>
          </cell>
          <cell r="B2204" t="str">
            <v>CORPORATION</v>
          </cell>
          <cell r="C2204" t="str">
            <v>Novo Gas Ferramentas Ltda - Me</v>
          </cell>
          <cell r="D2204" t="str">
            <v>Novo Gas Ferramentas Ltda - Me</v>
          </cell>
          <cell r="E2204" t="str">
            <v>BR_CNPJ</v>
          </cell>
          <cell r="F2204" t="str">
            <v>03.075.214/0001-15</v>
          </cell>
        </row>
        <row r="2205">
          <cell r="A2205">
            <v>31823</v>
          </cell>
          <cell r="B2205" t="str">
            <v>CORPORATION</v>
          </cell>
          <cell r="C2205" t="str">
            <v>Navi-Fer Comercio De Ferragens Ltda</v>
          </cell>
          <cell r="D2205" t="str">
            <v>Navi-Fer</v>
          </cell>
          <cell r="E2205" t="str">
            <v>BR_CNPJ</v>
          </cell>
          <cell r="F2205" t="str">
            <v>10.910.298/0001-20</v>
          </cell>
        </row>
        <row r="2206">
          <cell r="A2206">
            <v>31825</v>
          </cell>
          <cell r="B2206" t="str">
            <v>CORPORATION</v>
          </cell>
          <cell r="C2206" t="str">
            <v>Cbr Comercio E Manutencao De Maquinas Industriais Ltda</v>
          </cell>
          <cell r="D2206" t="str">
            <v>Cbr Comercio E Manutencao De Maquinas Industriais Ltda</v>
          </cell>
          <cell r="E2206" t="str">
            <v>BR_CNPJ</v>
          </cell>
          <cell r="F2206" t="str">
            <v>11.934.465/0001-36</v>
          </cell>
        </row>
        <row r="2207">
          <cell r="A2207">
            <v>31832</v>
          </cell>
          <cell r="B2207" t="str">
            <v>CORPORATION</v>
          </cell>
          <cell r="C2207" t="str">
            <v>M.D.I Maquinas E Equipamentos Ltda - Me</v>
          </cell>
          <cell r="D2207" t="str">
            <v>M.D.I Maquinas E Equipamentos Ltda - Me</v>
          </cell>
          <cell r="E2207" t="str">
            <v>BR_CNPJ</v>
          </cell>
          <cell r="F2207" t="str">
            <v>18.680.722/0001-08</v>
          </cell>
        </row>
        <row r="2208">
          <cell r="A2208">
            <v>31834</v>
          </cell>
          <cell r="B2208" t="str">
            <v>CORPORATION</v>
          </cell>
          <cell r="C2208" t="str">
            <v>Fratello Maquinas E Ferramentas Eletricas Ltda</v>
          </cell>
          <cell r="D2208" t="str">
            <v>Fratello Ferramentas</v>
          </cell>
          <cell r="E2208" t="str">
            <v>BR_CNPJ</v>
          </cell>
          <cell r="F2208" t="str">
            <v>39.265.271/0001-04</v>
          </cell>
          <cell r="G2208" t="str">
            <v>DANPLER</v>
          </cell>
        </row>
        <row r="2209">
          <cell r="A2209">
            <v>31836</v>
          </cell>
          <cell r="B2209" t="str">
            <v>CORPORATION</v>
          </cell>
          <cell r="C2209" t="str">
            <v>Eletrosolda Maquinas E Ferramentas Ltda</v>
          </cell>
          <cell r="D2209" t="str">
            <v>Eletrosolda Itumbiara</v>
          </cell>
          <cell r="E2209" t="str">
            <v>BR_CNPJ</v>
          </cell>
          <cell r="F2209" t="str">
            <v>01.702.695/0001-16</v>
          </cell>
          <cell r="G2209" t="str">
            <v>ELETROSOLDAS</v>
          </cell>
        </row>
        <row r="2210">
          <cell r="A2210">
            <v>31840</v>
          </cell>
          <cell r="B2210" t="str">
            <v>CORPORATION</v>
          </cell>
          <cell r="C2210" t="str">
            <v>Lva Brito-Eletrotecnica E Comercio De Material Eletrico Ltda</v>
          </cell>
          <cell r="D2210" t="str">
            <v>Lva Brito-Eletrotecnica E Comercio De Material Eletrico</v>
          </cell>
          <cell r="E2210" t="str">
            <v>BR_CNPJ</v>
          </cell>
          <cell r="F2210" t="str">
            <v>13.366.276/0001-30</v>
          </cell>
        </row>
        <row r="2211">
          <cell r="A2211">
            <v>31844</v>
          </cell>
          <cell r="B2211" t="str">
            <v>CORPORATION</v>
          </cell>
          <cell r="C2211" t="str">
            <v>M. F. Distribuidora Ltda. - Me</v>
          </cell>
          <cell r="D2211" t="str">
            <v>M. F. Distribuidora Ltda. - Me</v>
          </cell>
          <cell r="E2211" t="str">
            <v>BR_CNPJ</v>
          </cell>
          <cell r="F2211" t="str">
            <v>08.538.121/0001-01</v>
          </cell>
        </row>
        <row r="2212">
          <cell r="A2212">
            <v>31848</v>
          </cell>
          <cell r="B2212" t="str">
            <v>CORPORATION</v>
          </cell>
          <cell r="C2212" t="str">
            <v>Macedo Comercio De Parafusos E Equipamentos Ltda</v>
          </cell>
          <cell r="D2212" t="str">
            <v>Macedo Parafusos E Ferramentas</v>
          </cell>
          <cell r="E2212" t="str">
            <v>BR_CNPJ</v>
          </cell>
          <cell r="F2212" t="str">
            <v>42.753.018/0001-04</v>
          </cell>
          <cell r="G2212" t="str">
            <v>MACEDO</v>
          </cell>
        </row>
        <row r="2213">
          <cell r="A2213">
            <v>31850</v>
          </cell>
          <cell r="B2213" t="str">
            <v>CORPORATION</v>
          </cell>
          <cell r="C2213" t="str">
            <v>Casa Da Maquina Rio Claro Ltda</v>
          </cell>
          <cell r="D2213" t="str">
            <v>Casa Da Maquina</v>
          </cell>
          <cell r="E2213" t="str">
            <v>BR_CNPJ</v>
          </cell>
          <cell r="F2213" t="str">
            <v>14.051.977/0001-42</v>
          </cell>
        </row>
        <row r="2214">
          <cell r="A2214">
            <v>31853</v>
          </cell>
          <cell r="B2214" t="str">
            <v>CORPORATION</v>
          </cell>
          <cell r="C2214" t="str">
            <v>Hadox Representacoes Comerciais Ltda - Me</v>
          </cell>
          <cell r="D2214" t="str">
            <v>Hadox</v>
          </cell>
          <cell r="E2214" t="str">
            <v>BR_CNPJ</v>
          </cell>
          <cell r="F2214" t="str">
            <v>10.510.665/0001-07</v>
          </cell>
        </row>
        <row r="2215">
          <cell r="A2215">
            <v>31856</v>
          </cell>
          <cell r="B2215" t="str">
            <v>CORPORATION</v>
          </cell>
          <cell r="C2215" t="str">
            <v>Murano Comercio De Ferragens E Ferramentas Ltda</v>
          </cell>
          <cell r="D2215" t="str">
            <v>Murano Brasil</v>
          </cell>
          <cell r="E2215" t="str">
            <v>BR_CNPJ</v>
          </cell>
          <cell r="F2215" t="str">
            <v>01.141.025/0001-78</v>
          </cell>
        </row>
        <row r="2216">
          <cell r="A2216">
            <v>31860</v>
          </cell>
          <cell r="B2216" t="str">
            <v>CORPORATION</v>
          </cell>
          <cell r="C2216" t="str">
            <v>Comtei Comercial Tecnica De Equipamentos Industriais Ltda - Me</v>
          </cell>
          <cell r="D2216" t="str">
            <v>Comtei Comercial Tecnica De Equipamentos Industriais Ltda - Me</v>
          </cell>
          <cell r="E2216" t="str">
            <v>BR_CNPJ</v>
          </cell>
          <cell r="F2216" t="str">
            <v>33.121.443/0001-90</v>
          </cell>
        </row>
        <row r="2217">
          <cell r="A2217">
            <v>31863</v>
          </cell>
          <cell r="B2217" t="str">
            <v>CORPORATION</v>
          </cell>
          <cell r="C2217" t="str">
            <v>Alugmais Locacao E Comercio De Maquinas Ltda - Me</v>
          </cell>
          <cell r="D2217" t="str">
            <v>Alugmais</v>
          </cell>
          <cell r="E2217" t="str">
            <v>BR_CNPJ</v>
          </cell>
          <cell r="F2217" t="str">
            <v>07.105.522/0001-05</v>
          </cell>
        </row>
        <row r="2218">
          <cell r="A2218">
            <v>31866</v>
          </cell>
          <cell r="B2218" t="str">
            <v>CORPORATION</v>
          </cell>
          <cell r="C2218" t="str">
            <v>Agromap Maquinas Agricolas Passos Ltda - Epp</v>
          </cell>
          <cell r="D2218" t="str">
            <v>Agromap</v>
          </cell>
          <cell r="E2218" t="str">
            <v>BR_CNPJ</v>
          </cell>
          <cell r="F2218" t="str">
            <v>17.278.847/0001-35</v>
          </cell>
        </row>
        <row r="2219">
          <cell r="A2219">
            <v>31873</v>
          </cell>
          <cell r="B2219" t="str">
            <v>CORPORATION</v>
          </cell>
          <cell r="C2219" t="str">
            <v>Ultramaqfoz Locadora De Ferramentas Ltda - Me</v>
          </cell>
          <cell r="D2219" t="str">
            <v>Ultramaqfoz Locadora De Ferramentas Ltda</v>
          </cell>
          <cell r="E2219" t="str">
            <v>BR_CNPJ</v>
          </cell>
          <cell r="F2219" t="str">
            <v>04.685.983/0001-06</v>
          </cell>
        </row>
        <row r="2220">
          <cell r="A2220">
            <v>31876</v>
          </cell>
          <cell r="B2220" t="str">
            <v>CORPORATION</v>
          </cell>
          <cell r="C2220" t="str">
            <v>Jose De Lemos Vasconcelos &amp; Cia Ltda</v>
          </cell>
          <cell r="D2220" t="str">
            <v>Jose De Lemos Vasconcelos &amp; Cia Ltda</v>
          </cell>
          <cell r="E2220" t="str">
            <v>BR_CNPJ</v>
          </cell>
          <cell r="F2220" t="str">
            <v>35.513.704/0001-42</v>
          </cell>
        </row>
        <row r="2221">
          <cell r="A2221">
            <v>31882</v>
          </cell>
          <cell r="B2221" t="str">
            <v>CORPORATION</v>
          </cell>
          <cell r="C2221" t="str">
            <v>Jaspe Comercio De Bombas Compressores E Pecas Ltda - Me</v>
          </cell>
          <cell r="D2221" t="str">
            <v>Casa Dos Motores</v>
          </cell>
          <cell r="E2221" t="str">
            <v>BR_CNPJ</v>
          </cell>
          <cell r="F2221" t="str">
            <v>15.270.064/0001-80</v>
          </cell>
        </row>
        <row r="2222">
          <cell r="A2222">
            <v>31886</v>
          </cell>
          <cell r="B2222" t="str">
            <v>CORPORATION</v>
          </cell>
          <cell r="C2222" t="str">
            <v>Cristovaldo Nunes Santos 00542942585</v>
          </cell>
          <cell r="D2222" t="str">
            <v>Comercial Nunes</v>
          </cell>
          <cell r="E2222" t="str">
            <v>BR_CNPJ</v>
          </cell>
          <cell r="F2222" t="str">
            <v>44.606.647/0001-37</v>
          </cell>
        </row>
        <row r="2223">
          <cell r="A2223">
            <v>31893</v>
          </cell>
          <cell r="B2223" t="str">
            <v>CORPORATION</v>
          </cell>
          <cell r="C2223" t="str">
            <v>Lsr Goncalves Comercio E Servicos Em Geral Ltda</v>
          </cell>
          <cell r="D2223" t="str">
            <v>Lsr Servicos Em Geral</v>
          </cell>
          <cell r="E2223" t="str">
            <v>BR_CNPJ</v>
          </cell>
          <cell r="F2223" t="str">
            <v>14.036.459/0001-50</v>
          </cell>
        </row>
        <row r="2224">
          <cell r="A2224">
            <v>31895</v>
          </cell>
          <cell r="B2224" t="str">
            <v>CORPORATION</v>
          </cell>
          <cell r="C2224" t="str">
            <v>Rezek &amp; Finotti Ltda</v>
          </cell>
          <cell r="D2224" t="str">
            <v>Rematec</v>
          </cell>
          <cell r="E2224" t="str">
            <v>BR_CNPJ</v>
          </cell>
          <cell r="F2224" t="str">
            <v>00.438.402/0001-72</v>
          </cell>
        </row>
        <row r="2225">
          <cell r="A2225">
            <v>31897</v>
          </cell>
          <cell r="B2225" t="str">
            <v>CORPORATION</v>
          </cell>
          <cell r="C2225" t="str">
            <v>Macedo Comercio De Parafusos E Ferramentas Ltda - Epp</v>
          </cell>
          <cell r="D2225" t="str">
            <v>Macedo Parafusos E Ferramentas</v>
          </cell>
          <cell r="E2225" t="str">
            <v>BR_CNPJ</v>
          </cell>
          <cell r="F2225" t="str">
            <v>06.596.916/0001-32</v>
          </cell>
          <cell r="G2225" t="str">
            <v>MACEDO</v>
          </cell>
        </row>
        <row r="2226">
          <cell r="A2226">
            <v>31903</v>
          </cell>
          <cell r="B2226" t="str">
            <v>CORPORATION</v>
          </cell>
          <cell r="C2226" t="str">
            <v>Soratto Comercio De Soldas Ltda - Epp</v>
          </cell>
          <cell r="D2226" t="str">
            <v>Soratto Comercio De Soldas Ltda - Epp</v>
          </cell>
          <cell r="E2226" t="str">
            <v>BR_CNPJ</v>
          </cell>
          <cell r="F2226" t="str">
            <v>01.546.024/0001-03</v>
          </cell>
        </row>
        <row r="2227">
          <cell r="A2227">
            <v>31906</v>
          </cell>
          <cell r="B2227" t="str">
            <v>CORPORATION</v>
          </cell>
          <cell r="C2227" t="str">
            <v>Aco Brasil Industria E Comercio Ltda</v>
          </cell>
          <cell r="D2227" t="str">
            <v>Aco Brasil</v>
          </cell>
          <cell r="E2227" t="str">
            <v>BR_CNPJ</v>
          </cell>
          <cell r="F2227" t="str">
            <v>05.427.912/0001-68</v>
          </cell>
        </row>
        <row r="2228">
          <cell r="A2228">
            <v>31910</v>
          </cell>
          <cell r="B2228" t="str">
            <v>CORPORATION</v>
          </cell>
          <cell r="C2228" t="str">
            <v>Sermap Comercio E Servicos Ltda</v>
          </cell>
          <cell r="D2228" t="str">
            <v>Sermap Comercio E Servicos Ltda</v>
          </cell>
          <cell r="E2228" t="str">
            <v>BR_CNPJ</v>
          </cell>
          <cell r="F2228" t="str">
            <v>32.247.009/0001-98</v>
          </cell>
        </row>
        <row r="2229">
          <cell r="A2229">
            <v>31913</v>
          </cell>
          <cell r="B2229" t="str">
            <v>CORPORATION</v>
          </cell>
          <cell r="C2229" t="str">
            <v>Comercio De Materiais De Construcao Suavi Ltda</v>
          </cell>
          <cell r="D2229" t="str">
            <v>Prestacao De Servico Suavi</v>
          </cell>
          <cell r="E2229" t="str">
            <v>BR_CNPJ</v>
          </cell>
          <cell r="F2229" t="str">
            <v>83.644.302/0001-20</v>
          </cell>
          <cell r="G2229" t="str">
            <v>SUAVI</v>
          </cell>
        </row>
        <row r="2230">
          <cell r="A2230">
            <v>31917</v>
          </cell>
          <cell r="B2230" t="str">
            <v>CORPORATION</v>
          </cell>
          <cell r="C2230" t="str">
            <v>Pepa Distribuidora De Materiais Eletricos E De Construcao Ltda</v>
          </cell>
          <cell r="D2230" t="str">
            <v>Pepa Infinitas Possibilidades</v>
          </cell>
          <cell r="E2230" t="str">
            <v>BR_CNPJ</v>
          </cell>
          <cell r="F2230" t="str">
            <v>82.179.524/0001-56</v>
          </cell>
        </row>
        <row r="2231">
          <cell r="A2231">
            <v>31918</v>
          </cell>
          <cell r="B2231" t="str">
            <v>CORPORATION</v>
          </cell>
          <cell r="C2231" t="str">
            <v>Ferfacil Comercial Ltda</v>
          </cell>
          <cell r="D2231" t="str">
            <v>Ferfacil Comercial Ltda</v>
          </cell>
          <cell r="E2231" t="str">
            <v>BR_CNPJ</v>
          </cell>
          <cell r="F2231" t="str">
            <v>42.352.897/0001-62</v>
          </cell>
        </row>
        <row r="2232">
          <cell r="A2232">
            <v>31920</v>
          </cell>
          <cell r="B2232" t="str">
            <v>CORPORATION</v>
          </cell>
          <cell r="C2232" t="str">
            <v>Maglon Motoserras Ltda - Epp</v>
          </cell>
          <cell r="D2232" t="str">
            <v>Maglon</v>
          </cell>
          <cell r="E2232" t="str">
            <v>BR_CNPJ</v>
          </cell>
          <cell r="F2232" t="str">
            <v>82.499.021/0001-68</v>
          </cell>
          <cell r="G2232" t="str">
            <v>MAGLON</v>
          </cell>
        </row>
        <row r="2233">
          <cell r="A2233">
            <v>31922</v>
          </cell>
          <cell r="B2233" t="str">
            <v>CORPORATION</v>
          </cell>
          <cell r="C2233" t="str">
            <v>C.D.M. Ltda</v>
          </cell>
          <cell r="D2233" t="str">
            <v>Casa Das Mangueira</v>
          </cell>
          <cell r="E2233" t="str">
            <v>BR_CNPJ</v>
          </cell>
          <cell r="F2233" t="str">
            <v>47.553.493/0001-50</v>
          </cell>
          <cell r="G2233" t="str">
            <v>CASA DAS MANGUEIRA</v>
          </cell>
        </row>
        <row r="2234">
          <cell r="A2234">
            <v>31925</v>
          </cell>
          <cell r="B2234" t="str">
            <v>CORPORATION</v>
          </cell>
          <cell r="C2234" t="str">
            <v>Cimafer Comercio De Material Construcao Ltda</v>
          </cell>
          <cell r="D2234" t="str">
            <v>Cimafer Comercio De Material Construcao Ltda</v>
          </cell>
          <cell r="E2234" t="str">
            <v>BR_CNPJ</v>
          </cell>
          <cell r="F2234" t="str">
            <v>88.297.544/0001-08</v>
          </cell>
        </row>
        <row r="2235">
          <cell r="A2235">
            <v>31928</v>
          </cell>
          <cell r="B2235" t="str">
            <v>CORPORATION</v>
          </cell>
          <cell r="C2235" t="str">
            <v>Oliveira Comercio Representacao E Fabricacao De Equipamentos De Seguranca Individual Ltda</v>
          </cell>
          <cell r="D2235" t="str">
            <v>Oliveira Comercio</v>
          </cell>
          <cell r="E2235" t="str">
            <v>BR_CNPJ</v>
          </cell>
          <cell r="F2235" t="str">
            <v>19.616.416/0001-67</v>
          </cell>
        </row>
        <row r="2236">
          <cell r="A2236">
            <v>31929</v>
          </cell>
          <cell r="B2236" t="str">
            <v>CORPORATION</v>
          </cell>
          <cell r="C2236" t="str">
            <v>Itau Locacoes E Servicos Ltda</v>
          </cell>
          <cell r="D2236" t="str">
            <v>Itau Locacoes</v>
          </cell>
          <cell r="E2236" t="str">
            <v>BR_CNPJ</v>
          </cell>
          <cell r="F2236" t="str">
            <v>16.740.593/0001-62</v>
          </cell>
        </row>
        <row r="2237">
          <cell r="A2237">
            <v>31930</v>
          </cell>
          <cell r="B2237" t="str">
            <v>CORPORATION</v>
          </cell>
          <cell r="C2237" t="str">
            <v>Braga &amp; Braga Ltda</v>
          </cell>
          <cell r="D2237" t="str">
            <v>Casa Toinzinho</v>
          </cell>
          <cell r="E2237" t="str">
            <v>BR_CNPJ</v>
          </cell>
          <cell r="F2237" t="str">
            <v>20.139.416/0001-00</v>
          </cell>
        </row>
        <row r="2238">
          <cell r="A2238">
            <v>31934</v>
          </cell>
          <cell r="B2238" t="str">
            <v>CORPORATION</v>
          </cell>
          <cell r="C2238" t="str">
            <v>Macplan Servicos E Comercio De Maquinas E Equipamentos Ltda - Me</v>
          </cell>
          <cell r="D2238" t="str">
            <v>Macplan Servicos E Comercio De Maquinas E Equipamentos Ltda - Me</v>
          </cell>
          <cell r="E2238" t="str">
            <v>BR_CNPJ</v>
          </cell>
          <cell r="F2238" t="str">
            <v>10.256.494/0001-23</v>
          </cell>
        </row>
        <row r="2239">
          <cell r="A2239">
            <v>31935</v>
          </cell>
          <cell r="B2239" t="str">
            <v>CORPORATION</v>
          </cell>
          <cell r="C2239" t="str">
            <v>Ferragista E Materiais De Construcao Santos Ltda</v>
          </cell>
          <cell r="D2239" t="str">
            <v>Ferragista Santos</v>
          </cell>
          <cell r="E2239" t="str">
            <v>BR_CNPJ</v>
          </cell>
          <cell r="F2239" t="str">
            <v>37.428.062/0001-09</v>
          </cell>
        </row>
        <row r="2240">
          <cell r="A2240">
            <v>31937</v>
          </cell>
          <cell r="B2240" t="str">
            <v>CORPORATION</v>
          </cell>
          <cell r="C2240" t="str">
            <v>Conqueri Locacao E Calibracao De Maquinas E Equipamentos Ltda</v>
          </cell>
          <cell r="D2240" t="str">
            <v>Conqueri Locacao E Calibracao De Maquinas E Equipamentos Ltda</v>
          </cell>
          <cell r="E2240" t="str">
            <v>BR_CNPJ</v>
          </cell>
          <cell r="F2240" t="str">
            <v>12.071.766/0001-46</v>
          </cell>
        </row>
        <row r="2241">
          <cell r="A2241">
            <v>31940</v>
          </cell>
          <cell r="B2241" t="str">
            <v>CORPORATION</v>
          </cell>
          <cell r="C2241" t="str">
            <v>Mak Minas Comercio E Locacao De Ferramentas Ltda - Me</v>
          </cell>
          <cell r="D2241" t="str">
            <v>Makminas Ferramentas</v>
          </cell>
          <cell r="E2241" t="str">
            <v>BR_CNPJ</v>
          </cell>
          <cell r="F2241" t="str">
            <v>18.468.062/0001-98</v>
          </cell>
        </row>
        <row r="2242">
          <cell r="A2242">
            <v>31943</v>
          </cell>
          <cell r="B2242" t="str">
            <v>CORPORATION</v>
          </cell>
          <cell r="C2242" t="str">
            <v>Montaro Comercio De Ferramentas Ltda - Me</v>
          </cell>
          <cell r="D2242" t="str">
            <v>Montaro Ferramentas</v>
          </cell>
          <cell r="E2242" t="str">
            <v>BR_CNPJ</v>
          </cell>
          <cell r="F2242" t="str">
            <v>08.916.357/0002-07</v>
          </cell>
        </row>
        <row r="2243">
          <cell r="A2243">
            <v>31946</v>
          </cell>
          <cell r="B2243" t="str">
            <v>CORPORATION</v>
          </cell>
          <cell r="C2243" t="str">
            <v>Isaias Henrique Da Palma</v>
          </cell>
          <cell r="D2243" t="str">
            <v>Lorena Vendas E Servicos</v>
          </cell>
          <cell r="E2243" t="str">
            <v>BR_CNPJ</v>
          </cell>
          <cell r="F2243" t="str">
            <v>20.038.938/0001-08</v>
          </cell>
        </row>
        <row r="2244">
          <cell r="A2244">
            <v>31950</v>
          </cell>
          <cell r="B2244" t="str">
            <v>CORPORATION</v>
          </cell>
          <cell r="C2244" t="str">
            <v>Gazzofer Industria E Comercio Ltda</v>
          </cell>
          <cell r="D2244" t="str">
            <v>Gazzofer</v>
          </cell>
          <cell r="E2244" t="str">
            <v>BR_CNPJ</v>
          </cell>
          <cell r="F2244" t="str">
            <v>42.502.867/0001-95</v>
          </cell>
        </row>
        <row r="2245">
          <cell r="A2245">
            <v>31956</v>
          </cell>
          <cell r="B2245" t="str">
            <v>CORPORATION</v>
          </cell>
          <cell r="C2245" t="str">
            <v>Valeaco Comercio De Produtos Siderurgicos Ltda</v>
          </cell>
          <cell r="D2245" t="str">
            <v>Valeaco</v>
          </cell>
          <cell r="E2245" t="str">
            <v>BR_CNPJ</v>
          </cell>
          <cell r="F2245" t="str">
            <v>01.616.434/0001-83</v>
          </cell>
          <cell r="G2245" t="str">
            <v>VALEAÇO</v>
          </cell>
        </row>
        <row r="2246">
          <cell r="A2246">
            <v>31957</v>
          </cell>
          <cell r="B2246" t="str">
            <v>CORPORATION</v>
          </cell>
          <cell r="C2246" t="str">
            <v>Jose Roberto Antunes Junior</v>
          </cell>
          <cell r="D2246" t="str">
            <v>Usimatec</v>
          </cell>
          <cell r="E2246" t="str">
            <v>BR_CNPJ</v>
          </cell>
          <cell r="F2246" t="str">
            <v>24.217.336/0001-79</v>
          </cell>
          <cell r="G2246" t="str">
            <v>USIMATEC</v>
          </cell>
        </row>
        <row r="2247">
          <cell r="A2247">
            <v>31959</v>
          </cell>
          <cell r="B2247" t="str">
            <v>CORPORATION</v>
          </cell>
          <cell r="C2247" t="str">
            <v>Fuso Serra Industria, Comercio E Representacoes Ltda - Me</v>
          </cell>
          <cell r="D2247" t="str">
            <v>Fuso Serra</v>
          </cell>
          <cell r="E2247" t="str">
            <v>BR_CNPJ</v>
          </cell>
          <cell r="F2247" t="str">
            <v>10.973.401/0001-81</v>
          </cell>
        </row>
        <row r="2248">
          <cell r="A2248">
            <v>31960</v>
          </cell>
          <cell r="B2248" t="str">
            <v>CORPORATION</v>
          </cell>
          <cell r="C2248" t="str">
            <v>M D Reder Fernandes</v>
          </cell>
          <cell r="D2248" t="str">
            <v>Ox-Tintas</v>
          </cell>
          <cell r="E2248" t="str">
            <v>BR_CNPJ</v>
          </cell>
          <cell r="F2248" t="str">
            <v>09.443.834/0001-46</v>
          </cell>
          <cell r="G2248" t="str">
            <v>OX-TINTAS</v>
          </cell>
        </row>
        <row r="2249">
          <cell r="A2249">
            <v>31962</v>
          </cell>
          <cell r="B2249" t="str">
            <v>CORPORATION</v>
          </cell>
          <cell r="C2249" t="str">
            <v>Tribusfer Comercio De Ferragens Ltda - Epp</v>
          </cell>
          <cell r="D2249" t="str">
            <v>Tribusfer Comercio De Ferragens Ltda - Epp</v>
          </cell>
          <cell r="E2249" t="str">
            <v>BR_CNPJ</v>
          </cell>
          <cell r="F2249" t="str">
            <v>82.036.724/0001-50</v>
          </cell>
        </row>
        <row r="2250">
          <cell r="A2250">
            <v>31967</v>
          </cell>
          <cell r="B2250" t="str">
            <v>CORPORATION</v>
          </cell>
          <cell r="C2250" t="str">
            <v>Vitoria Certa Comercio Ltda</v>
          </cell>
          <cell r="D2250" t="str">
            <v>Vitoria (Riala)</v>
          </cell>
          <cell r="E2250" t="str">
            <v>BR_CNPJ</v>
          </cell>
          <cell r="F2250" t="str">
            <v>37.872.820/0001-83</v>
          </cell>
          <cell r="G2250" t="str">
            <v>RIALA</v>
          </cell>
        </row>
        <row r="2251">
          <cell r="A2251">
            <v>31968</v>
          </cell>
          <cell r="B2251" t="str">
            <v>CORPORATION</v>
          </cell>
          <cell r="C2251" t="str">
            <v>Metalurgica Ktb Ltda - Me</v>
          </cell>
          <cell r="D2251" t="str">
            <v>Ktb Equipamentos</v>
          </cell>
          <cell r="E2251" t="str">
            <v>BR_CNPJ</v>
          </cell>
          <cell r="F2251" t="str">
            <v>11.220.600/0001-81</v>
          </cell>
        </row>
        <row r="2252">
          <cell r="A2252">
            <v>31974</v>
          </cell>
          <cell r="B2252" t="str">
            <v>CORPORATION</v>
          </cell>
          <cell r="C2252" t="str">
            <v>Mega Industria, Comercio E Distribuidora De Ferragens Ltda. - Epp</v>
          </cell>
          <cell r="D2252" t="str">
            <v>Mega Industria, Comercio E Distribuidora De Ferragens Ltda. - Epp</v>
          </cell>
          <cell r="E2252" t="str">
            <v>BR_CNPJ</v>
          </cell>
          <cell r="F2252" t="str">
            <v>11.717.638/0001-64</v>
          </cell>
        </row>
        <row r="2253">
          <cell r="A2253">
            <v>31977</v>
          </cell>
          <cell r="B2253" t="str">
            <v>CORPORATION</v>
          </cell>
          <cell r="C2253" t="str">
            <v>Comercial Agro Industrial Ltda</v>
          </cell>
          <cell r="D2253" t="str">
            <v>Nutrimaq</v>
          </cell>
          <cell r="E2253" t="str">
            <v>BR_CNPJ</v>
          </cell>
          <cell r="F2253" t="str">
            <v>04.221.051/0001-02</v>
          </cell>
        </row>
        <row r="2254">
          <cell r="A2254">
            <v>31983</v>
          </cell>
          <cell r="B2254" t="str">
            <v>CORPORATION</v>
          </cell>
          <cell r="C2254" t="str">
            <v>Armo Do Brasil Mercantil De Borracha Ltda - Epp</v>
          </cell>
          <cell r="D2254" t="str">
            <v>Armo Do Brasil</v>
          </cell>
          <cell r="E2254" t="str">
            <v>BR_CNPJ</v>
          </cell>
          <cell r="F2254" t="str">
            <v>03.335.777/0001-03</v>
          </cell>
        </row>
        <row r="2255">
          <cell r="A2255">
            <v>31988</v>
          </cell>
          <cell r="B2255" t="str">
            <v>CORPORATION</v>
          </cell>
          <cell r="C2255" t="str">
            <v>Erasmo Souza Almeida</v>
          </cell>
          <cell r="D2255" t="str">
            <v>Construeng Comercio De Ferragens E Mao De Obra Civil</v>
          </cell>
          <cell r="E2255" t="str">
            <v>BR_CNPJ</v>
          </cell>
          <cell r="F2255" t="str">
            <v>32.485.665/0001-29</v>
          </cell>
        </row>
        <row r="2256">
          <cell r="A2256">
            <v>31989</v>
          </cell>
          <cell r="B2256" t="str">
            <v>CORPORATION</v>
          </cell>
          <cell r="C2256" t="str">
            <v>Fixfer Comercio De Ferramentas Ltda - Me</v>
          </cell>
          <cell r="D2256" t="str">
            <v>Fixfer Comercio De Ferramentas Ltda - Me</v>
          </cell>
          <cell r="E2256" t="str">
            <v>BR_CNPJ</v>
          </cell>
          <cell r="F2256" t="str">
            <v>07.335.101/0001-62</v>
          </cell>
        </row>
        <row r="2257">
          <cell r="A2257">
            <v>31991</v>
          </cell>
          <cell r="B2257" t="str">
            <v>CORPORATION</v>
          </cell>
          <cell r="C2257" t="str">
            <v>Majama Roscas E Ferramentas Ltda - Me</v>
          </cell>
          <cell r="D2257" t="str">
            <v>Majama Roscas E Ferramentas Ltda - Me</v>
          </cell>
          <cell r="E2257" t="str">
            <v>BR_CNPJ</v>
          </cell>
          <cell r="F2257" t="str">
            <v>74.155.722/0001-51</v>
          </cell>
        </row>
        <row r="2258">
          <cell r="A2258">
            <v>31993</v>
          </cell>
          <cell r="B2258" t="str">
            <v>CORPORATION</v>
          </cell>
          <cell r="C2258" t="str">
            <v>Pure Tech Energy Ltda</v>
          </cell>
          <cell r="E2258" t="str">
            <v>BR_CNPJ</v>
          </cell>
          <cell r="F2258" t="str">
            <v>41.827.255/0001-00</v>
          </cell>
        </row>
        <row r="2259">
          <cell r="A2259">
            <v>31998</v>
          </cell>
          <cell r="B2259" t="str">
            <v>CORPORATION</v>
          </cell>
          <cell r="C2259" t="str">
            <v>Vale Equipamentos De Protecao Individual, Extintores, Maquinas E Ferramentas Ltda</v>
          </cell>
          <cell r="D2259" t="str">
            <v>Vale Epi, Extintores, Maquinas E Ferramentas</v>
          </cell>
          <cell r="E2259" t="str">
            <v>BR_CNPJ</v>
          </cell>
          <cell r="F2259" t="str">
            <v>26.573.889/0001-90</v>
          </cell>
        </row>
        <row r="2260">
          <cell r="A2260">
            <v>32000</v>
          </cell>
          <cell r="B2260" t="str">
            <v>CORPORATION</v>
          </cell>
          <cell r="C2260" t="str">
            <v>Ferragens Santa Rosa Ltda</v>
          </cell>
          <cell r="D2260" t="str">
            <v>Ferragens Santa Rosa Ltda</v>
          </cell>
          <cell r="E2260" t="str">
            <v>BR_CNPJ</v>
          </cell>
          <cell r="F2260" t="str">
            <v>15.123.276/0001-34</v>
          </cell>
        </row>
        <row r="2261">
          <cell r="A2261">
            <v>32003</v>
          </cell>
          <cell r="B2261" t="str">
            <v>CORPORATION</v>
          </cell>
          <cell r="C2261" t="str">
            <v>F. F. A. Comercio E Representacoes Ltda. - Epp</v>
          </cell>
          <cell r="D2261" t="str">
            <v>Aluminex</v>
          </cell>
          <cell r="E2261" t="str">
            <v>BR_CNPJ</v>
          </cell>
          <cell r="F2261" t="str">
            <v>07.716.220/0001-65</v>
          </cell>
        </row>
        <row r="2262">
          <cell r="A2262">
            <v>32005</v>
          </cell>
          <cell r="B2262" t="str">
            <v>CORPORATION</v>
          </cell>
          <cell r="C2262" t="str">
            <v>Mg Soldas E Abrasivos Ltda</v>
          </cell>
          <cell r="D2262" t="str">
            <v>Mg Soldas</v>
          </cell>
          <cell r="E2262" t="str">
            <v>BR_CNPJ</v>
          </cell>
          <cell r="F2262" t="str">
            <v>03.327.823/0001-14</v>
          </cell>
        </row>
        <row r="2263">
          <cell r="A2263">
            <v>32006</v>
          </cell>
          <cell r="B2263" t="str">
            <v>CORPORATION</v>
          </cell>
          <cell r="C2263" t="str">
            <v>Marcos Mesquita Da Silveira Mello Junior - Me</v>
          </cell>
          <cell r="D2263" t="str">
            <v>Mesquip</v>
          </cell>
          <cell r="E2263" t="str">
            <v>BR_CNPJ</v>
          </cell>
          <cell r="F2263" t="str">
            <v>02.685.357/0001-86</v>
          </cell>
        </row>
        <row r="2264">
          <cell r="A2264">
            <v>32011</v>
          </cell>
          <cell r="B2264" t="str">
            <v>CORPORATION</v>
          </cell>
          <cell r="C2264" t="str">
            <v>Sirachi Rubino E Cia Ltda</v>
          </cell>
          <cell r="D2264" t="str">
            <v>Bib'Os Store</v>
          </cell>
          <cell r="E2264" t="str">
            <v>BR_CNPJ</v>
          </cell>
          <cell r="F2264" t="str">
            <v>31.940.704/0001-78</v>
          </cell>
        </row>
        <row r="2265">
          <cell r="A2265">
            <v>32013</v>
          </cell>
          <cell r="B2265" t="str">
            <v>CORPORATION</v>
          </cell>
          <cell r="C2265" t="str">
            <v>Rei Dos Compressores Eireli</v>
          </cell>
          <cell r="D2265" t="str">
            <v>Rei Dos Compressores</v>
          </cell>
          <cell r="E2265" t="str">
            <v>BR_CNPJ</v>
          </cell>
          <cell r="F2265" t="str">
            <v>15.104.850/0001-07</v>
          </cell>
        </row>
        <row r="2266">
          <cell r="A2266">
            <v>32014</v>
          </cell>
          <cell r="B2266" t="str">
            <v>CORPORATION</v>
          </cell>
          <cell r="C2266" t="str">
            <v>Totalseg Produtos De Seguranca Eireli</v>
          </cell>
          <cell r="D2266" t="str">
            <v>Totalseg</v>
          </cell>
          <cell r="E2266" t="str">
            <v>BR_CNPJ</v>
          </cell>
          <cell r="F2266" t="str">
            <v>04.538.894/0001-29</v>
          </cell>
        </row>
        <row r="2267">
          <cell r="A2267">
            <v>32015</v>
          </cell>
          <cell r="B2267" t="str">
            <v>CORPORATION</v>
          </cell>
          <cell r="C2267" t="str">
            <v>Ferragista Goias Ltda</v>
          </cell>
          <cell r="D2267" t="str">
            <v>Ferragista Goias</v>
          </cell>
          <cell r="E2267" t="str">
            <v>BR_CNPJ</v>
          </cell>
          <cell r="F2267" t="str">
            <v>11.994.976/0001-43</v>
          </cell>
        </row>
        <row r="2268">
          <cell r="A2268">
            <v>32016</v>
          </cell>
          <cell r="B2268" t="str">
            <v>CORPORATION</v>
          </cell>
          <cell r="C2268" t="str">
            <v>Aco-Fer Comercio De Produtos Siderurgicos Ltda</v>
          </cell>
          <cell r="D2268" t="str">
            <v>Aco Fer - Matriz</v>
          </cell>
          <cell r="E2268" t="str">
            <v>BR_CNPJ</v>
          </cell>
          <cell r="F2268" t="str">
            <v>03.240.029/0001-39</v>
          </cell>
          <cell r="G2268" t="str">
            <v>AÇO-FER</v>
          </cell>
        </row>
        <row r="2269">
          <cell r="A2269">
            <v>32018</v>
          </cell>
          <cell r="B2269" t="str">
            <v>CORPORATION</v>
          </cell>
          <cell r="C2269" t="str">
            <v>A. P. Comercio De Gases Industriais Ltda</v>
          </cell>
          <cell r="D2269" t="str">
            <v>Ap Soldas E Gases</v>
          </cell>
          <cell r="E2269" t="str">
            <v>BR_CNPJ</v>
          </cell>
          <cell r="F2269" t="str">
            <v>09.591.824/0001-58</v>
          </cell>
        </row>
        <row r="2270">
          <cell r="A2270">
            <v>32019</v>
          </cell>
          <cell r="B2270" t="str">
            <v>CORPORATION</v>
          </cell>
          <cell r="C2270" t="str">
            <v>Deposito Candinho Materiais De Construcao Ltda - Me</v>
          </cell>
          <cell r="D2270" t="str">
            <v>Deposito Candinho</v>
          </cell>
          <cell r="E2270" t="str">
            <v>BR_CNPJ</v>
          </cell>
          <cell r="F2270" t="str">
            <v>00.278.163/0001-30</v>
          </cell>
        </row>
        <row r="2271">
          <cell r="A2271">
            <v>32021</v>
          </cell>
          <cell r="B2271" t="str">
            <v>CORPORATION</v>
          </cell>
          <cell r="C2271" t="str">
            <v>Selma Cristina Fernandes Borges 05154462629</v>
          </cell>
          <cell r="D2271" t="str">
            <v>Agropecuaria Bom Jesus</v>
          </cell>
          <cell r="E2271" t="str">
            <v>BR_CNPJ</v>
          </cell>
          <cell r="F2271" t="str">
            <v>27.793.030/0001-59</v>
          </cell>
        </row>
        <row r="2272">
          <cell r="A2272">
            <v>32022</v>
          </cell>
          <cell r="B2272" t="str">
            <v>CORPORATION</v>
          </cell>
          <cell r="C2272" t="str">
            <v>Adaelson Da Fonseca - Me</v>
          </cell>
          <cell r="D2272" t="str">
            <v>Camera Service</v>
          </cell>
          <cell r="E2272" t="str">
            <v>BR_CNPJ</v>
          </cell>
          <cell r="F2272" t="str">
            <v>74.113.754/0001-94</v>
          </cell>
        </row>
        <row r="2273">
          <cell r="A2273">
            <v>32027</v>
          </cell>
          <cell r="B2273" t="str">
            <v>CORPORATION</v>
          </cell>
          <cell r="C2273" t="str">
            <v>Luiz Carlos Alberto Comercio De Materiais Eletricos Ltda - Me</v>
          </cell>
          <cell r="D2273" t="str">
            <v>Casa Alberto Ferragens E Ferramentas</v>
          </cell>
          <cell r="E2273" t="str">
            <v>BR_CNPJ</v>
          </cell>
          <cell r="F2273" t="str">
            <v>17.473.920/0001-20</v>
          </cell>
        </row>
        <row r="2274">
          <cell r="A2274">
            <v>32028</v>
          </cell>
          <cell r="B2274" t="str">
            <v>CORPORATION</v>
          </cell>
          <cell r="C2274" t="str">
            <v>N G Ribeiro Pecas E Servicos Ltda</v>
          </cell>
          <cell r="D2274" t="str">
            <v>Ribeiro Pecas Auto+</v>
          </cell>
          <cell r="E2274" t="str">
            <v>BR_CNPJ</v>
          </cell>
          <cell r="F2274" t="str">
            <v>47.138.271/0001-71</v>
          </cell>
        </row>
        <row r="2275">
          <cell r="A2275">
            <v>32029</v>
          </cell>
          <cell r="B2275" t="str">
            <v>CORPORATION</v>
          </cell>
          <cell r="C2275" t="str">
            <v>Loja Do Borracheiro Ltda</v>
          </cell>
          <cell r="D2275" t="str">
            <v>Loja Do Borracheiro</v>
          </cell>
          <cell r="E2275" t="str">
            <v>BR_CNPJ</v>
          </cell>
          <cell r="F2275" t="str">
            <v>07.415.798/0001-81</v>
          </cell>
        </row>
        <row r="2276">
          <cell r="A2276">
            <v>32030</v>
          </cell>
          <cell r="B2276" t="str">
            <v>CORPORATION</v>
          </cell>
          <cell r="C2276" t="str">
            <v>Engesolda Industria E Comercio Ltda</v>
          </cell>
          <cell r="D2276" t="str">
            <v>Engesolda</v>
          </cell>
          <cell r="E2276" t="str">
            <v>BR_CNPJ</v>
          </cell>
          <cell r="F2276" t="str">
            <v>27.372.218/0001-23</v>
          </cell>
        </row>
        <row r="2277">
          <cell r="A2277">
            <v>32033</v>
          </cell>
          <cell r="B2277" t="str">
            <v>CORPORATION</v>
          </cell>
          <cell r="C2277" t="str">
            <v>Precisao Maquinas E Ferramentas Ltda - Me</v>
          </cell>
          <cell r="D2277" t="str">
            <v>Precisao Maquinas E Ferramentas Ltda - Me</v>
          </cell>
          <cell r="E2277" t="str">
            <v>BR_CNPJ</v>
          </cell>
          <cell r="F2277" t="str">
            <v>10.479.447/0001-49</v>
          </cell>
        </row>
        <row r="2278">
          <cell r="A2278">
            <v>32036</v>
          </cell>
          <cell r="B2278" t="str">
            <v>CORPORATION</v>
          </cell>
          <cell r="C2278" t="str">
            <v>Ferreira &amp; Abelha Locacao Comercio E Servicos Em Maquinas Ltda</v>
          </cell>
          <cell r="D2278" t="str">
            <v>Porto Ferreira Locacoes</v>
          </cell>
          <cell r="E2278" t="str">
            <v>BR_CNPJ</v>
          </cell>
          <cell r="F2278" t="str">
            <v>06.078.301/0001-14</v>
          </cell>
        </row>
        <row r="2279">
          <cell r="A2279">
            <v>32039</v>
          </cell>
          <cell r="B2279" t="str">
            <v>CORPORATION</v>
          </cell>
          <cell r="C2279" t="str">
            <v>Farloc Comercio E Servicos Ltda</v>
          </cell>
          <cell r="D2279" t="str">
            <v>Farloc</v>
          </cell>
          <cell r="E2279" t="str">
            <v>BR_CNPJ</v>
          </cell>
          <cell r="F2279" t="str">
            <v>03.172.011/0001-47</v>
          </cell>
        </row>
        <row r="2280">
          <cell r="A2280">
            <v>32040</v>
          </cell>
          <cell r="B2280" t="str">
            <v>CORPORATION</v>
          </cell>
          <cell r="C2280" t="str">
            <v>Petrea Projetos E Servicos Ltda</v>
          </cell>
          <cell r="D2280" t="str">
            <v>Petrea Projetos E Servicos Ltda</v>
          </cell>
          <cell r="E2280" t="str">
            <v>BR_CNPJ</v>
          </cell>
          <cell r="F2280" t="str">
            <v>03.161.983/0001-36</v>
          </cell>
        </row>
        <row r="2281">
          <cell r="A2281">
            <v>32042</v>
          </cell>
          <cell r="B2281" t="str">
            <v>CORPORATION</v>
          </cell>
          <cell r="C2281" t="str">
            <v>M. A. De Souza Da Silva Ferragens - Me</v>
          </cell>
          <cell r="D2281" t="str">
            <v>Mafer Acessorios</v>
          </cell>
          <cell r="E2281" t="str">
            <v>BR_CNPJ</v>
          </cell>
          <cell r="F2281" t="str">
            <v>08.625.138/0001-98</v>
          </cell>
        </row>
        <row r="2282">
          <cell r="A2282">
            <v>32044</v>
          </cell>
          <cell r="B2282" t="str">
            <v>CORPORATION</v>
          </cell>
          <cell r="C2282" t="str">
            <v>Prado E Cunha Comercio Varejista Ltda</v>
          </cell>
          <cell r="D2282" t="str">
            <v>Prado E Cunha Comercio Varejista</v>
          </cell>
          <cell r="E2282" t="str">
            <v>BR_CNPJ</v>
          </cell>
          <cell r="F2282" t="str">
            <v>15.138.189/0001-50</v>
          </cell>
        </row>
        <row r="2283">
          <cell r="A2283">
            <v>32045</v>
          </cell>
          <cell r="B2283" t="str">
            <v>CORPORATION</v>
          </cell>
          <cell r="C2283" t="str">
            <v>Novo Gas De Itaguai Comercial Ltda - Me</v>
          </cell>
          <cell r="D2283" t="str">
            <v>Novo Gas De Itaguai Comercial Ltda - Me</v>
          </cell>
          <cell r="E2283" t="str">
            <v>BR_CNPJ</v>
          </cell>
          <cell r="F2283" t="str">
            <v>08.295.802/0001-88</v>
          </cell>
        </row>
        <row r="2284">
          <cell r="A2284">
            <v>32050</v>
          </cell>
          <cell r="B2284" t="str">
            <v>CORPORATION</v>
          </cell>
          <cell r="C2284" t="str">
            <v>Trk Ferragens Maquinas E Equipamentos Ltda</v>
          </cell>
          <cell r="D2284" t="str">
            <v>Trk Ferragens Maquinas E Equipamentos</v>
          </cell>
          <cell r="E2284" t="str">
            <v>BR_CNPJ</v>
          </cell>
          <cell r="F2284" t="str">
            <v>06.010.131/0002-17</v>
          </cell>
        </row>
        <row r="2285">
          <cell r="A2285">
            <v>32051</v>
          </cell>
          <cell r="B2285" t="str">
            <v>CORPORATION</v>
          </cell>
          <cell r="C2285" t="str">
            <v>Casa Da Solda Comercio Ltda - Me</v>
          </cell>
          <cell r="D2285" t="str">
            <v>Casa Da Solda</v>
          </cell>
          <cell r="E2285" t="str">
            <v>BR_CNPJ</v>
          </cell>
          <cell r="F2285" t="str">
            <v>06.164.831/0001-85</v>
          </cell>
        </row>
        <row r="2286">
          <cell r="A2286">
            <v>32052</v>
          </cell>
          <cell r="B2286" t="str">
            <v>CORPORATION</v>
          </cell>
          <cell r="C2286" t="str">
            <v>Comercial Soldas Piracicaba Ltda.</v>
          </cell>
          <cell r="D2286" t="str">
            <v>Comercial Soldas</v>
          </cell>
          <cell r="E2286" t="str">
            <v>BR_CNPJ</v>
          </cell>
          <cell r="F2286" t="str">
            <v>38.401.783/0001-98</v>
          </cell>
        </row>
        <row r="2287">
          <cell r="A2287">
            <v>32053</v>
          </cell>
          <cell r="B2287" t="str">
            <v>CORPORATION</v>
          </cell>
          <cell r="C2287" t="str">
            <v>Maquisul Comercial Ltda</v>
          </cell>
          <cell r="D2287" t="str">
            <v>Maquisul</v>
          </cell>
          <cell r="E2287" t="str">
            <v>BR_CNPJ</v>
          </cell>
          <cell r="F2287" t="str">
            <v>69.427.219/0001-78</v>
          </cell>
        </row>
        <row r="2288">
          <cell r="A2288">
            <v>32058</v>
          </cell>
          <cell r="B2288" t="str">
            <v>CORPORATION</v>
          </cell>
          <cell r="C2288" t="str">
            <v>Rodrigo R Da Hora Silva Equipamentos De Seguranca</v>
          </cell>
          <cell r="D2288" t="str">
            <v>Rhocal</v>
          </cell>
          <cell r="E2288" t="str">
            <v>BR_CNPJ</v>
          </cell>
          <cell r="F2288" t="str">
            <v>13.184.805/0001-84</v>
          </cell>
        </row>
        <row r="2289">
          <cell r="A2289">
            <v>32059</v>
          </cell>
          <cell r="B2289" t="str">
            <v>CORPORATION</v>
          </cell>
          <cell r="C2289" t="str">
            <v>Torneadora Galvao Ltda - Me</v>
          </cell>
          <cell r="D2289" t="str">
            <v>Torneadora Galvao Ltda - Me</v>
          </cell>
          <cell r="E2289" t="str">
            <v>BR_CNPJ</v>
          </cell>
          <cell r="F2289" t="str">
            <v>24.012.353/0001-70</v>
          </cell>
        </row>
        <row r="2290">
          <cell r="A2290">
            <v>32061</v>
          </cell>
          <cell r="B2290" t="str">
            <v>CORPORATION</v>
          </cell>
          <cell r="C2290" t="str">
            <v>Alexsandro Santos Da Silva - Epp</v>
          </cell>
          <cell r="D2290" t="str">
            <v>Sos Oxigenio</v>
          </cell>
          <cell r="E2290" t="str">
            <v>BR_CNPJ</v>
          </cell>
          <cell r="F2290" t="str">
            <v>05.329.135/0001-19</v>
          </cell>
        </row>
        <row r="2291">
          <cell r="A2291">
            <v>32063</v>
          </cell>
          <cell r="B2291" t="str">
            <v>CORPORATION</v>
          </cell>
          <cell r="C2291" t="str">
            <v>Equipar Ferramentas E Construcao Ltda Me</v>
          </cell>
          <cell r="D2291" t="str">
            <v>Equipar Ferramentas</v>
          </cell>
          <cell r="E2291" t="str">
            <v>BR_CNPJ</v>
          </cell>
          <cell r="F2291" t="str">
            <v>17.017.005/0001-20</v>
          </cell>
        </row>
        <row r="2292">
          <cell r="A2292">
            <v>32064</v>
          </cell>
          <cell r="B2292" t="str">
            <v>CORPORATION</v>
          </cell>
          <cell r="C2292" t="str">
            <v>A Grinaura Dos Santos - Me</v>
          </cell>
          <cell r="D2292" t="str">
            <v>Caruaru Soldas E Arames</v>
          </cell>
          <cell r="E2292" t="str">
            <v>BR_CNPJ</v>
          </cell>
          <cell r="F2292" t="str">
            <v>04.938.974/0001-71</v>
          </cell>
        </row>
        <row r="2293">
          <cell r="A2293">
            <v>32065</v>
          </cell>
          <cell r="B2293" t="str">
            <v>CORPORATION</v>
          </cell>
          <cell r="C2293" t="str">
            <v>Caroline Sousa Silveira 13278536630</v>
          </cell>
          <cell r="D2293" t="str">
            <v>Apoio Da Obra</v>
          </cell>
          <cell r="E2293" t="str">
            <v>BR_CNPJ</v>
          </cell>
          <cell r="F2293" t="str">
            <v>38.181.023/0001-12</v>
          </cell>
        </row>
        <row r="2294">
          <cell r="A2294">
            <v>32067</v>
          </cell>
          <cell r="B2294" t="str">
            <v>CORPORATION</v>
          </cell>
          <cell r="C2294" t="str">
            <v>Magazine Das Ferramentas Ltda - Epp</v>
          </cell>
          <cell r="D2294" t="str">
            <v>Marcelo Ferragens</v>
          </cell>
          <cell r="E2294" t="str">
            <v>BR_CNPJ</v>
          </cell>
          <cell r="F2294" t="str">
            <v>08.503.846/0001-56</v>
          </cell>
        </row>
        <row r="2295">
          <cell r="A2295">
            <v>32069</v>
          </cell>
          <cell r="B2295" t="str">
            <v>CORPORATION</v>
          </cell>
          <cell r="C2295" t="str">
            <v>Ituferragens Comercio De Ferramentas Ltda</v>
          </cell>
          <cell r="D2295" t="str">
            <v>Ituferragens</v>
          </cell>
          <cell r="E2295" t="str">
            <v>BR_CNPJ</v>
          </cell>
          <cell r="F2295" t="str">
            <v>24.360.260/0001-36</v>
          </cell>
        </row>
        <row r="2296">
          <cell r="A2296">
            <v>32070</v>
          </cell>
          <cell r="B2296" t="str">
            <v>CORPORATION</v>
          </cell>
          <cell r="C2296" t="str">
            <v>Ferpaso Ferramentas Parafusos E Soldas Ltda - Epp</v>
          </cell>
          <cell r="D2296" t="str">
            <v>Ferpaso</v>
          </cell>
          <cell r="E2296" t="str">
            <v>BR_CNPJ</v>
          </cell>
          <cell r="F2296" t="str">
            <v>40.868.937/0001-06</v>
          </cell>
        </row>
        <row r="2297">
          <cell r="A2297">
            <v>32072</v>
          </cell>
          <cell r="B2297" t="str">
            <v>CORPORATION</v>
          </cell>
          <cell r="C2297" t="str">
            <v>Ferrasul Comercio Varejista E Atacadista De Ferramentas E Equipamentos De Seguranca Ltda</v>
          </cell>
          <cell r="D2297" t="str">
            <v>Ferrasul Ferramentas &amp; Cia</v>
          </cell>
          <cell r="E2297" t="str">
            <v>BR_CNPJ</v>
          </cell>
          <cell r="F2297" t="str">
            <v>08.517.373/0001-46</v>
          </cell>
        </row>
        <row r="2298">
          <cell r="A2298">
            <v>32074</v>
          </cell>
          <cell r="B2298" t="str">
            <v>CORPORATION</v>
          </cell>
          <cell r="C2298" t="str">
            <v>Dimac Distr De Materiais De Construcoes E Ferramentas Ltda - Me</v>
          </cell>
          <cell r="D2298" t="str">
            <v>Dimac</v>
          </cell>
          <cell r="E2298" t="str">
            <v>BR_CNPJ</v>
          </cell>
          <cell r="F2298" t="str">
            <v>04.040.025/0001-70</v>
          </cell>
        </row>
        <row r="2299">
          <cell r="A2299">
            <v>32078</v>
          </cell>
          <cell r="B2299" t="str">
            <v>CORPORATION</v>
          </cell>
          <cell r="C2299" t="str">
            <v>Equipa Ferramentas E Parafusos Ltda</v>
          </cell>
          <cell r="D2299" t="str">
            <v>Equipa Ferramentas E Parafusos</v>
          </cell>
          <cell r="E2299" t="str">
            <v>BR_CNPJ</v>
          </cell>
          <cell r="F2299" t="str">
            <v>33.580.073/0001-59</v>
          </cell>
        </row>
        <row r="2300">
          <cell r="A2300">
            <v>32079</v>
          </cell>
          <cell r="B2300" t="str">
            <v>CORPORATION</v>
          </cell>
          <cell r="C2300" t="str">
            <v>Eden Gases E Soldas Ltda - Epp</v>
          </cell>
          <cell r="D2300" t="str">
            <v>Eden Gases E Soldas Ltda - Epp</v>
          </cell>
          <cell r="E2300" t="str">
            <v>BR_CNPJ</v>
          </cell>
          <cell r="F2300" t="str">
            <v>74.187.840/0001-41</v>
          </cell>
        </row>
        <row r="2301">
          <cell r="A2301">
            <v>32081</v>
          </cell>
          <cell r="B2301" t="str">
            <v>CORPORATION</v>
          </cell>
          <cell r="C2301" t="str">
            <v>Soldemaq Soldagens E Maquinas Comercio E Repres Ltda - Epp</v>
          </cell>
          <cell r="D2301" t="str">
            <v>Soldemaq</v>
          </cell>
          <cell r="E2301" t="str">
            <v>BR_CNPJ</v>
          </cell>
          <cell r="F2301" t="str">
            <v>24.587.966/0001-35</v>
          </cell>
        </row>
        <row r="2302">
          <cell r="A2302">
            <v>32083</v>
          </cell>
          <cell r="B2302" t="str">
            <v>CORPORATION</v>
          </cell>
          <cell r="C2302" t="str">
            <v>Paratudo Industria E Comercio De Parafusos Ltda</v>
          </cell>
          <cell r="D2302" t="str">
            <v>Paratudo</v>
          </cell>
          <cell r="E2302" t="str">
            <v>BR_CNPJ</v>
          </cell>
          <cell r="F2302" t="str">
            <v>33.642.743/0001-14</v>
          </cell>
        </row>
        <row r="2303">
          <cell r="A2303">
            <v>32084</v>
          </cell>
          <cell r="B2303" t="str">
            <v>CORPORATION</v>
          </cell>
          <cell r="C2303" t="str">
            <v>Gcs Gemeos Comercial E Servicos Ltda - Me</v>
          </cell>
          <cell r="D2303" t="str">
            <v>Gcs Gemeos Comercial E Servicos Ltda - Me</v>
          </cell>
          <cell r="E2303" t="str">
            <v>BR_CNPJ</v>
          </cell>
          <cell r="F2303" t="str">
            <v>05.304.400/0001-04</v>
          </cell>
        </row>
        <row r="2304">
          <cell r="A2304">
            <v>32086</v>
          </cell>
          <cell r="B2304" t="str">
            <v>CORPORATION</v>
          </cell>
          <cell r="C2304" t="str">
            <v>Patos Maquinas Ltda</v>
          </cell>
          <cell r="D2304" t="str">
            <v>Patos Maquinas</v>
          </cell>
          <cell r="E2304" t="str">
            <v>BR_CNPJ</v>
          </cell>
          <cell r="F2304" t="str">
            <v>13.015.306/0001-63</v>
          </cell>
        </row>
        <row r="2305">
          <cell r="A2305">
            <v>32089</v>
          </cell>
          <cell r="B2305" t="str">
            <v>CORPORATION</v>
          </cell>
          <cell r="C2305" t="str">
            <v>Locasim Comercio, Industria E Locacao De Maquinas Ltda - Epp</v>
          </cell>
          <cell r="D2305" t="str">
            <v>Locasim</v>
          </cell>
          <cell r="E2305" t="str">
            <v>BR_CNPJ</v>
          </cell>
          <cell r="F2305" t="str">
            <v>02.963.800/0001-33</v>
          </cell>
        </row>
        <row r="2306">
          <cell r="A2306">
            <v>32090</v>
          </cell>
          <cell r="B2306" t="str">
            <v>CORPORATION</v>
          </cell>
          <cell r="C2306" t="str">
            <v>Parafuso E Acessorios Distribuidora De Ferragens Ltda</v>
          </cell>
          <cell r="D2306" t="str">
            <v>Parafuso &amp; Cia</v>
          </cell>
          <cell r="E2306" t="str">
            <v>BR_CNPJ</v>
          </cell>
          <cell r="F2306" t="str">
            <v>10.865.728/0001-30</v>
          </cell>
        </row>
        <row r="2307">
          <cell r="A2307">
            <v>32092</v>
          </cell>
          <cell r="B2307" t="str">
            <v>CORPORATION</v>
          </cell>
          <cell r="C2307" t="str">
            <v>Jaline L. Sousa - Comercio De Ferramentas E Equipamentos - Me</v>
          </cell>
          <cell r="D2307" t="str">
            <v>Jcd Comercio De Ferramentas E Equipamentos</v>
          </cell>
          <cell r="E2307" t="str">
            <v>BR_CNPJ</v>
          </cell>
          <cell r="F2307" t="str">
            <v>17.481.396/0001-39</v>
          </cell>
        </row>
        <row r="2308">
          <cell r="A2308">
            <v>32094</v>
          </cell>
          <cell r="B2308" t="str">
            <v>CORPORATION</v>
          </cell>
          <cell r="C2308" t="str">
            <v>Rs Material De Construcao E Utensilios Em Geral Ltda</v>
          </cell>
          <cell r="D2308" t="str">
            <v>Wg Construcao</v>
          </cell>
          <cell r="E2308" t="str">
            <v>BR_CNPJ</v>
          </cell>
          <cell r="F2308" t="str">
            <v>44.178.793/0001-09</v>
          </cell>
        </row>
        <row r="2309">
          <cell r="A2309">
            <v>32101</v>
          </cell>
          <cell r="B2309" t="str">
            <v>CORPORATION</v>
          </cell>
          <cell r="C2309" t="str">
            <v>Mg &amp; L Comercio De Equipamentos De Seguranca Ltda - Me</v>
          </cell>
          <cell r="D2309" t="str">
            <v>Casa Do Epi Ferramentas E Maquinas</v>
          </cell>
          <cell r="E2309" t="str">
            <v>BR_CNPJ</v>
          </cell>
          <cell r="F2309" t="str">
            <v>10.595.624/0001-52</v>
          </cell>
        </row>
        <row r="2310">
          <cell r="A2310">
            <v>32105</v>
          </cell>
          <cell r="B2310" t="str">
            <v>CORPORATION</v>
          </cell>
          <cell r="C2310" t="str">
            <v>A Bitencourt Comercio De Ferragens Ltda</v>
          </cell>
          <cell r="D2310" t="str">
            <v>Casa Dos Parafusos</v>
          </cell>
          <cell r="E2310" t="str">
            <v>BR_CNPJ</v>
          </cell>
          <cell r="F2310" t="str">
            <v>75.104.406/0003-85</v>
          </cell>
          <cell r="G2310" t="str">
            <v>BITENCOURT</v>
          </cell>
        </row>
        <row r="2311">
          <cell r="A2311">
            <v>32107</v>
          </cell>
          <cell r="B2311" t="str">
            <v>CORPORATION</v>
          </cell>
          <cell r="C2311" t="str">
            <v>Ikeda,Ono &amp; Cia.Ltda.</v>
          </cell>
          <cell r="D2311" t="str">
            <v>Casa Ikeda</v>
          </cell>
          <cell r="E2311" t="str">
            <v>BR_CNPJ</v>
          </cell>
          <cell r="F2311" t="str">
            <v>47.835.665/0001-89</v>
          </cell>
        </row>
        <row r="2312">
          <cell r="A2312">
            <v>32109</v>
          </cell>
          <cell r="B2312" t="str">
            <v>CORPORATION</v>
          </cell>
          <cell r="C2312" t="str">
            <v>Marciene Borin De Souza</v>
          </cell>
          <cell r="D2312" t="str">
            <v>Vip Uniformes E Epi</v>
          </cell>
          <cell r="E2312" t="str">
            <v>BR_CNPJ</v>
          </cell>
          <cell r="F2312" t="str">
            <v>08.187.548/0001-02</v>
          </cell>
        </row>
        <row r="2313">
          <cell r="A2313">
            <v>32110</v>
          </cell>
          <cell r="B2313" t="str">
            <v>CORPORATION</v>
          </cell>
          <cell r="C2313" t="str">
            <v>Casa Dos Parafusos Bsb Eireli - Epp</v>
          </cell>
          <cell r="D2313" t="str">
            <v>Casa Dos Parafusos Bsb</v>
          </cell>
          <cell r="E2313" t="str">
            <v>BR_CNPJ</v>
          </cell>
          <cell r="F2313" t="str">
            <v>14.974.267/0001-94</v>
          </cell>
        </row>
        <row r="2314">
          <cell r="A2314">
            <v>32113</v>
          </cell>
          <cell r="B2314" t="str">
            <v>CORPORATION</v>
          </cell>
          <cell r="C2314" t="str">
            <v>Bf Ferramentas Ltda</v>
          </cell>
          <cell r="D2314" t="str">
            <v>Bf Industria De Ferramentas</v>
          </cell>
          <cell r="E2314" t="str">
            <v>BR_CNPJ</v>
          </cell>
          <cell r="F2314" t="str">
            <v>03.556.425/0001-70</v>
          </cell>
        </row>
        <row r="2315">
          <cell r="A2315">
            <v>32115</v>
          </cell>
          <cell r="B2315" t="str">
            <v>CORPORATION</v>
          </cell>
          <cell r="C2315" t="str">
            <v>Cleber Ribeiro De Souza</v>
          </cell>
          <cell r="D2315" t="str">
            <v>Super Soldas</v>
          </cell>
          <cell r="E2315" t="str">
            <v>BR_CNPJ</v>
          </cell>
          <cell r="F2315" t="str">
            <v>22.801.390/0001-31</v>
          </cell>
        </row>
        <row r="2316">
          <cell r="A2316">
            <v>32116</v>
          </cell>
          <cell r="B2316" t="str">
            <v>CORPORATION</v>
          </cell>
          <cell r="C2316" t="str">
            <v>Hermano M. Perroni - Epp</v>
          </cell>
          <cell r="D2316" t="str">
            <v>Madeireira Do Trevo</v>
          </cell>
          <cell r="E2316" t="str">
            <v>BR_CNPJ</v>
          </cell>
          <cell r="F2316" t="str">
            <v>08.001.150/0001-21</v>
          </cell>
        </row>
        <row r="2317">
          <cell r="A2317">
            <v>32119</v>
          </cell>
          <cell r="B2317" t="str">
            <v>CORPORATION</v>
          </cell>
          <cell r="C2317" t="str">
            <v>Comercio De Material De Construcao Aroeira Ltda - Epp</v>
          </cell>
          <cell r="D2317" t="str">
            <v>Aroeira Materiais De Construcao</v>
          </cell>
          <cell r="E2317" t="str">
            <v>BR_CNPJ</v>
          </cell>
          <cell r="F2317" t="str">
            <v>81.236.242/0001-80</v>
          </cell>
        </row>
        <row r="2318">
          <cell r="A2318">
            <v>32122</v>
          </cell>
          <cell r="B2318" t="str">
            <v>CORPORATION</v>
          </cell>
          <cell r="C2318" t="str">
            <v>J.Flex Comercio De Maquinas E Ferramentas Ltda</v>
          </cell>
          <cell r="D2318" t="str">
            <v>J. Flex</v>
          </cell>
          <cell r="E2318" t="str">
            <v>BR_CNPJ</v>
          </cell>
          <cell r="F2318" t="str">
            <v>23.595.259/0001-28</v>
          </cell>
        </row>
        <row r="2319">
          <cell r="A2319">
            <v>32124</v>
          </cell>
          <cell r="B2319" t="str">
            <v>CORPORATION</v>
          </cell>
          <cell r="C2319" t="str">
            <v>Tetamanti Comercio De Ferros E Metais Ltda</v>
          </cell>
          <cell r="D2319" t="str">
            <v>Tetamanti</v>
          </cell>
          <cell r="E2319" t="str">
            <v>BR_CNPJ</v>
          </cell>
          <cell r="F2319" t="str">
            <v>48.930.457/0001-21</v>
          </cell>
        </row>
        <row r="2320">
          <cell r="A2320">
            <v>32125</v>
          </cell>
          <cell r="B2320" t="str">
            <v>CORPORATION</v>
          </cell>
          <cell r="C2320" t="str">
            <v>J C L Agro Ltda</v>
          </cell>
          <cell r="D2320" t="str">
            <v>Casa Das Maquinas</v>
          </cell>
          <cell r="E2320" t="str">
            <v>BR_CNPJ</v>
          </cell>
          <cell r="F2320" t="str">
            <v>03.296.908/0001-82</v>
          </cell>
        </row>
        <row r="2321">
          <cell r="A2321">
            <v>32126</v>
          </cell>
          <cell r="B2321" t="str">
            <v>CORPORATION</v>
          </cell>
          <cell r="C2321" t="str">
            <v>Protec Solucoes Industria E Comercio Ltda</v>
          </cell>
          <cell r="D2321" t="str">
            <v>Protec Solucoes Industria E Comercio Ltda</v>
          </cell>
          <cell r="E2321" t="str">
            <v>BR_CNPJ</v>
          </cell>
          <cell r="F2321" t="str">
            <v>15.518.264/0001-09</v>
          </cell>
        </row>
        <row r="2322">
          <cell r="A2322">
            <v>32138</v>
          </cell>
          <cell r="B2322" t="str">
            <v>CORPORATION</v>
          </cell>
          <cell r="C2322" t="str">
            <v>Jose Marcelino Fernandes 15036247817</v>
          </cell>
          <cell r="D2322" t="str">
            <v>St Soldas &amp; Abrasivos</v>
          </cell>
          <cell r="E2322" t="str">
            <v>BR_CNPJ</v>
          </cell>
          <cell r="F2322" t="str">
            <v>37.271.538/0001-40</v>
          </cell>
        </row>
        <row r="2323">
          <cell r="A2323">
            <v>32140</v>
          </cell>
          <cell r="B2323" t="str">
            <v>CORPORATION</v>
          </cell>
          <cell r="C2323" t="str">
            <v>Gurgelmix Maquinas E Ferramentas S.A.</v>
          </cell>
          <cell r="D2323" t="str">
            <v>Loja Do Mecanico (Ribeirão)</v>
          </cell>
          <cell r="E2323" t="str">
            <v>BR_CNPJ</v>
          </cell>
          <cell r="F2323" t="str">
            <v>29.302.348/0007-00</v>
          </cell>
          <cell r="G2323" t="str">
            <v>GURGEL</v>
          </cell>
        </row>
        <row r="2324">
          <cell r="A2324">
            <v>32141</v>
          </cell>
          <cell r="B2324" t="str">
            <v>CORPORATION</v>
          </cell>
          <cell r="C2324" t="str">
            <v>Nl Tintas E Ferragens S/A</v>
          </cell>
          <cell r="D2324" t="str">
            <v>Nl Tintas E Ferragens</v>
          </cell>
          <cell r="E2324" t="str">
            <v>BR_CNPJ</v>
          </cell>
          <cell r="F2324" t="str">
            <v>14.072.798/0003-53</v>
          </cell>
          <cell r="G2324" t="str">
            <v xml:space="preserve">Nl Tintas </v>
          </cell>
        </row>
        <row r="2325">
          <cell r="A2325">
            <v>32149</v>
          </cell>
          <cell r="B2325" t="str">
            <v>CORPORATION</v>
          </cell>
          <cell r="C2325" t="str">
            <v>Nova Fortefer Materiais Eletricos Ltda</v>
          </cell>
          <cell r="D2325" t="str">
            <v>Nova Fortefer Materiais Eletricos Ltda</v>
          </cell>
          <cell r="E2325" t="str">
            <v>BR_CNPJ</v>
          </cell>
          <cell r="F2325" t="str">
            <v>02.993.755/0001-60</v>
          </cell>
        </row>
        <row r="2326">
          <cell r="A2326">
            <v>32151</v>
          </cell>
          <cell r="B2326" t="str">
            <v>CORPORATION</v>
          </cell>
          <cell r="C2326" t="str">
            <v>Ferragens Vw Ltda - Me</v>
          </cell>
          <cell r="D2326" t="str">
            <v>Ferragens Vw</v>
          </cell>
          <cell r="E2326" t="str">
            <v>BR_CNPJ</v>
          </cell>
          <cell r="F2326" t="str">
            <v>04.857.933/0001-50</v>
          </cell>
        </row>
        <row r="2327">
          <cell r="A2327">
            <v>32153</v>
          </cell>
          <cell r="B2327" t="str">
            <v>CORPORATION</v>
          </cell>
          <cell r="C2327" t="str">
            <v>26.119.763 Felipe Carvalho De Azevedo</v>
          </cell>
          <cell r="D2327" t="str">
            <v>Bazar Corrientes</v>
          </cell>
          <cell r="E2327" t="str">
            <v>BR_CNPJ</v>
          </cell>
          <cell r="F2327" t="str">
            <v>26.119.763/0001-40</v>
          </cell>
        </row>
        <row r="2328">
          <cell r="A2328">
            <v>32155</v>
          </cell>
          <cell r="B2328" t="str">
            <v>CORPORATION</v>
          </cell>
          <cell r="C2328" t="str">
            <v>Fermasul - Comercio De Ferramentas Ltda - Me</v>
          </cell>
          <cell r="D2328" t="str">
            <v>Fermasul</v>
          </cell>
          <cell r="E2328" t="str">
            <v>BR_CNPJ</v>
          </cell>
          <cell r="F2328" t="str">
            <v>08.302.787/0001-58</v>
          </cell>
        </row>
        <row r="2329">
          <cell r="A2329">
            <v>32158</v>
          </cell>
          <cell r="B2329" t="str">
            <v>CORPORATION</v>
          </cell>
          <cell r="C2329" t="str">
            <v>J A Ferragens E Ferramentas Ltda - Me</v>
          </cell>
          <cell r="D2329" t="str">
            <v>Pica Pau Parafusos</v>
          </cell>
          <cell r="E2329" t="str">
            <v>BR_CNPJ</v>
          </cell>
          <cell r="F2329" t="str">
            <v>08.713.347/0001-93</v>
          </cell>
        </row>
        <row r="2330">
          <cell r="A2330">
            <v>32161</v>
          </cell>
          <cell r="B2330" t="str">
            <v>CORPORATION</v>
          </cell>
          <cell r="C2330" t="str">
            <v>Mundo Das Maquinas Ltda</v>
          </cell>
          <cell r="D2330" t="str">
            <v>Mundo Das Maquinas</v>
          </cell>
          <cell r="E2330" t="str">
            <v>BR_CNPJ</v>
          </cell>
          <cell r="F2330" t="str">
            <v>25.038.225/0003-20</v>
          </cell>
        </row>
        <row r="2331">
          <cell r="A2331">
            <v>32163</v>
          </cell>
          <cell r="B2331" t="str">
            <v>CORPORATION</v>
          </cell>
          <cell r="C2331" t="str">
            <v>Adriano Da Silva Bicudo 06806083978</v>
          </cell>
          <cell r="D2331" t="str">
            <v>Top Feramentas</v>
          </cell>
          <cell r="E2331" t="str">
            <v>BR_CNPJ</v>
          </cell>
          <cell r="F2331" t="str">
            <v>43.093.799/0001-10</v>
          </cell>
        </row>
        <row r="2332">
          <cell r="A2332">
            <v>32164</v>
          </cell>
          <cell r="B2332" t="str">
            <v>CORPORATION</v>
          </cell>
          <cell r="C2332" t="str">
            <v>Gasparelo Equipamentos Ltda - Me</v>
          </cell>
          <cell r="D2332" t="str">
            <v>Gasparelo Equipamentos Ltda - Me</v>
          </cell>
          <cell r="E2332" t="str">
            <v>BR_CNPJ</v>
          </cell>
          <cell r="F2332" t="str">
            <v>19.538.307/0001-79</v>
          </cell>
        </row>
        <row r="2333">
          <cell r="A2333">
            <v>32165</v>
          </cell>
          <cell r="B2333" t="str">
            <v>CORPORATION</v>
          </cell>
          <cell r="C2333" t="str">
            <v>31.180.092 Toni Celestino Da Silva Reis</v>
          </cell>
          <cell r="D2333" t="str">
            <v>Eletronica Silva</v>
          </cell>
          <cell r="E2333" t="str">
            <v>BR_CNPJ</v>
          </cell>
          <cell r="F2333" t="str">
            <v>31.180.092/0001-62</v>
          </cell>
        </row>
        <row r="2334">
          <cell r="A2334">
            <v>32166</v>
          </cell>
          <cell r="B2334" t="str">
            <v>CORPORATION</v>
          </cell>
          <cell r="C2334" t="str">
            <v>Itapema - Comercio De Ferragens E Maquinas Agricolas Ltda - Me</v>
          </cell>
          <cell r="D2334" t="str">
            <v>Itapema - Comercio De Ferragens E Maquinas Agricolas Ltda - Me</v>
          </cell>
          <cell r="E2334" t="str">
            <v>BR_CNPJ</v>
          </cell>
          <cell r="F2334" t="str">
            <v>07.635.580/0001-32</v>
          </cell>
        </row>
        <row r="2335">
          <cell r="A2335">
            <v>32169</v>
          </cell>
          <cell r="B2335" t="str">
            <v>CORPORATION</v>
          </cell>
          <cell r="C2335" t="str">
            <v>Comercial R.V. Parafusos E Ferramentas Ltda - Epp</v>
          </cell>
          <cell r="D2335" t="str">
            <v>Lima Parafusos E Ferramentas</v>
          </cell>
          <cell r="E2335" t="str">
            <v>BR_CNPJ</v>
          </cell>
          <cell r="F2335" t="str">
            <v>06.746.097/0001-62</v>
          </cell>
        </row>
        <row r="2336">
          <cell r="A2336">
            <v>32171</v>
          </cell>
          <cell r="B2336" t="str">
            <v>CORPORATION</v>
          </cell>
          <cell r="C2336" t="str">
            <v>Ferragens Benato Ltda - Epp</v>
          </cell>
          <cell r="D2336" t="str">
            <v>Ferragens Benato Ltda - Epp</v>
          </cell>
          <cell r="E2336" t="str">
            <v>BR_CNPJ</v>
          </cell>
          <cell r="F2336" t="str">
            <v>77.776.557/0001-43</v>
          </cell>
        </row>
        <row r="2337">
          <cell r="A2337">
            <v>32173</v>
          </cell>
          <cell r="B2337" t="str">
            <v>CORPORATION</v>
          </cell>
          <cell r="C2337" t="str">
            <v>Candido Ferragens E Acessorios Ltda</v>
          </cell>
          <cell r="D2337" t="str">
            <v>Candido Ferragens E Acessorios</v>
          </cell>
          <cell r="E2337" t="str">
            <v>BR_CNPJ</v>
          </cell>
          <cell r="F2337" t="str">
            <v>37.348.630/0001-61</v>
          </cell>
        </row>
        <row r="2338">
          <cell r="A2338">
            <v>32174</v>
          </cell>
          <cell r="B2338" t="str">
            <v>CORPORATION</v>
          </cell>
          <cell r="C2338" t="str">
            <v>Fernando Ferragens Ltda - Me</v>
          </cell>
          <cell r="D2338" t="str">
            <v>Fernando Ferragens Ltda</v>
          </cell>
          <cell r="E2338" t="str">
            <v>BR_CNPJ</v>
          </cell>
          <cell r="F2338" t="str">
            <v>20.316.608/0001-37</v>
          </cell>
        </row>
        <row r="2339">
          <cell r="A2339">
            <v>32177</v>
          </cell>
          <cell r="B2339" t="str">
            <v>CORPORATION</v>
          </cell>
          <cell r="C2339" t="str">
            <v>Lara Maquinas E Ferramentas Eireli - Epp</v>
          </cell>
          <cell r="D2339" t="str">
            <v>Projecta</v>
          </cell>
          <cell r="E2339" t="str">
            <v>BR_CNPJ</v>
          </cell>
          <cell r="F2339" t="str">
            <v>70.110.630/0001-02</v>
          </cell>
        </row>
        <row r="2340">
          <cell r="A2340">
            <v>32183</v>
          </cell>
          <cell r="B2340" t="str">
            <v>CORPORATION</v>
          </cell>
          <cell r="C2340" t="str">
            <v>Ferragens Amadeo Scalabrin Ltda - Epp</v>
          </cell>
          <cell r="D2340" t="str">
            <v>Amadeo Scalabrin</v>
          </cell>
          <cell r="E2340" t="str">
            <v>BR_CNPJ</v>
          </cell>
          <cell r="F2340" t="str">
            <v>91.058.222/0001-10</v>
          </cell>
        </row>
        <row r="2341">
          <cell r="A2341">
            <v>32186</v>
          </cell>
          <cell r="B2341" t="str">
            <v>CORPORATION</v>
          </cell>
          <cell r="C2341" t="str">
            <v>Linhares Maquinas E Ferramentas Ltda - Me</v>
          </cell>
          <cell r="D2341" t="str">
            <v>Linhares Maquinas E Ferramentas Ltda - Me</v>
          </cell>
          <cell r="E2341" t="str">
            <v>BR_CNPJ</v>
          </cell>
          <cell r="F2341" t="str">
            <v>09.547.719/0001-11</v>
          </cell>
        </row>
        <row r="2342">
          <cell r="A2342">
            <v>32189</v>
          </cell>
          <cell r="B2342" t="str">
            <v>CORPORATION</v>
          </cell>
          <cell r="C2342" t="str">
            <v>Samafel Comercio De Ferragens Ltda - Epp</v>
          </cell>
          <cell r="D2342" t="str">
            <v>Samafel</v>
          </cell>
          <cell r="E2342" t="str">
            <v>BR_CNPJ</v>
          </cell>
          <cell r="F2342" t="str">
            <v>32.419.145/0001-18</v>
          </cell>
        </row>
        <row r="2343">
          <cell r="A2343">
            <v>32192</v>
          </cell>
          <cell r="B2343" t="str">
            <v>CORPORATION</v>
          </cell>
          <cell r="C2343" t="str">
            <v>Lumaf Maquinas E Ferramentas Ltda - Me</v>
          </cell>
          <cell r="D2343" t="str">
            <v>Lumaf Maquinas E Ferramentas</v>
          </cell>
          <cell r="E2343" t="str">
            <v>BR_CNPJ</v>
          </cell>
          <cell r="F2343" t="str">
            <v>11.500.793/0001-24</v>
          </cell>
        </row>
        <row r="2344">
          <cell r="A2344">
            <v>32195</v>
          </cell>
          <cell r="B2344" t="str">
            <v>CORPORATION</v>
          </cell>
          <cell r="C2344" t="str">
            <v>Parmaq - Parafusos E Ferramentas Ltda - Epp</v>
          </cell>
          <cell r="D2344" t="str">
            <v>Parmaq</v>
          </cell>
          <cell r="E2344" t="str">
            <v>BR_CNPJ</v>
          </cell>
          <cell r="F2344" t="str">
            <v>09.227.924/0001-08</v>
          </cell>
        </row>
        <row r="2345">
          <cell r="A2345">
            <v>32197</v>
          </cell>
          <cell r="B2345" t="str">
            <v>CORPORATION</v>
          </cell>
          <cell r="C2345" t="str">
            <v>E P Miranda Eireli</v>
          </cell>
          <cell r="D2345" t="str">
            <v>Tocantins Ferro E Aco</v>
          </cell>
          <cell r="E2345" t="str">
            <v>BR_CNPJ</v>
          </cell>
          <cell r="F2345" t="str">
            <v>16.821.997/0001-80</v>
          </cell>
        </row>
        <row r="2346">
          <cell r="A2346">
            <v>32198</v>
          </cell>
          <cell r="B2346" t="str">
            <v>CORPORATION</v>
          </cell>
          <cell r="C2346" t="str">
            <v>Casa Das Ferragens Manzotti Ltda - Epp</v>
          </cell>
          <cell r="D2346" t="str">
            <v>Casa Das Ferragens</v>
          </cell>
          <cell r="E2346" t="str">
            <v>BR_CNPJ</v>
          </cell>
          <cell r="F2346" t="str">
            <v>75.726.265/0001-70</v>
          </cell>
        </row>
        <row r="2347">
          <cell r="A2347">
            <v>32203</v>
          </cell>
          <cell r="B2347" t="str">
            <v>CORPORATION</v>
          </cell>
          <cell r="C2347" t="str">
            <v>Parafusos Serranense Ltda - Me</v>
          </cell>
          <cell r="D2347" t="str">
            <v>Parafusos Serranense Ltda - Me</v>
          </cell>
          <cell r="E2347" t="str">
            <v>BR_CNPJ</v>
          </cell>
          <cell r="F2347" t="str">
            <v>03.219.369/0001-88</v>
          </cell>
        </row>
        <row r="2348">
          <cell r="A2348">
            <v>32205</v>
          </cell>
          <cell r="B2348" t="str">
            <v>CORPORATION</v>
          </cell>
          <cell r="C2348" t="str">
            <v>Ferragens Milanez Ltda - Me</v>
          </cell>
          <cell r="D2348" t="str">
            <v>Ferragens Milanez Ltda - Me</v>
          </cell>
          <cell r="E2348" t="str">
            <v>BR_CNPJ</v>
          </cell>
          <cell r="F2348" t="str">
            <v>83.260.414/0001-87</v>
          </cell>
        </row>
        <row r="2349">
          <cell r="A2349">
            <v>32208</v>
          </cell>
          <cell r="B2349" t="str">
            <v>CORPORATION</v>
          </cell>
          <cell r="C2349" t="str">
            <v>Comercio De Ferragens Pareci Ltda - Me</v>
          </cell>
          <cell r="D2349" t="str">
            <v>Comercio De Ferragens Pareci Ltda - Me</v>
          </cell>
          <cell r="E2349" t="str">
            <v>BR_CNPJ</v>
          </cell>
          <cell r="F2349" t="str">
            <v>88.867.486/0001-00</v>
          </cell>
        </row>
        <row r="2350">
          <cell r="A2350">
            <v>32212</v>
          </cell>
          <cell r="B2350" t="str">
            <v>CORPORATION</v>
          </cell>
          <cell r="C2350" t="str">
            <v>Ferragens Lassakoski Ltda - Me</v>
          </cell>
          <cell r="D2350" t="str">
            <v>Ferragens Lassakoski Ltda - Me</v>
          </cell>
          <cell r="E2350" t="str">
            <v>BR_CNPJ</v>
          </cell>
          <cell r="F2350" t="str">
            <v>15.623.055/0001-25</v>
          </cell>
        </row>
        <row r="2351">
          <cell r="A2351">
            <v>32217</v>
          </cell>
          <cell r="B2351" t="str">
            <v>CORPORATION</v>
          </cell>
          <cell r="C2351" t="str">
            <v>Difemaq Ferramentas E Maquinas Ltda</v>
          </cell>
          <cell r="D2351" t="str">
            <v>Difemaq Maquinas E Ferramentas</v>
          </cell>
          <cell r="E2351" t="str">
            <v>BR_CNPJ</v>
          </cell>
          <cell r="F2351" t="str">
            <v>02.803.608/0001-80</v>
          </cell>
        </row>
        <row r="2352">
          <cell r="A2352">
            <v>32220</v>
          </cell>
          <cell r="B2352" t="str">
            <v>CORPORATION</v>
          </cell>
          <cell r="C2352" t="str">
            <v>Comercial Ferp Ltda</v>
          </cell>
          <cell r="D2352" t="str">
            <v>Comercial Ferp Ltda</v>
          </cell>
          <cell r="E2352" t="str">
            <v>BR_CNPJ</v>
          </cell>
          <cell r="F2352" t="str">
            <v>21.684.402/0001-22</v>
          </cell>
        </row>
        <row r="2353">
          <cell r="A2353">
            <v>32221</v>
          </cell>
          <cell r="B2353" t="str">
            <v>CORPORATION</v>
          </cell>
          <cell r="C2353" t="str">
            <v>Souza Comercio De Parafuso E Ferramentas Ltda</v>
          </cell>
          <cell r="D2353" t="str">
            <v>Parafuso E Cia</v>
          </cell>
          <cell r="E2353" t="str">
            <v>BR_CNPJ</v>
          </cell>
          <cell r="F2353" t="str">
            <v>32.431.573/0001-66</v>
          </cell>
          <cell r="G2353" t="str">
            <v>PARAFUSO E CIA</v>
          </cell>
        </row>
        <row r="2354">
          <cell r="A2354">
            <v>32225</v>
          </cell>
          <cell r="B2354" t="str">
            <v>CORPORATION</v>
          </cell>
          <cell r="C2354" t="str">
            <v>Gilmar Neles Serra Lucas 11180462696</v>
          </cell>
          <cell r="D2354" t="str">
            <v>Gn Discos</v>
          </cell>
          <cell r="E2354" t="str">
            <v>BR_CNPJ</v>
          </cell>
          <cell r="F2354" t="str">
            <v>28.252.580/0001-23</v>
          </cell>
        </row>
        <row r="2355">
          <cell r="A2355">
            <v>32226</v>
          </cell>
          <cell r="B2355" t="str">
            <v>CORPORATION</v>
          </cell>
          <cell r="C2355" t="str">
            <v>Centralpar - Central De Parafusos &amp; Ferramentas Ltda - Epp</v>
          </cell>
          <cell r="D2355" t="str">
            <v>Centralpar</v>
          </cell>
          <cell r="E2355" t="str">
            <v>BR_CNPJ</v>
          </cell>
          <cell r="F2355" t="str">
            <v>08.783.572/0001-04</v>
          </cell>
        </row>
        <row r="2356">
          <cell r="A2356">
            <v>32228</v>
          </cell>
          <cell r="B2356" t="str">
            <v>CORPORATION</v>
          </cell>
          <cell r="C2356" t="str">
            <v>Ferragens Mallet Ltda - Epp</v>
          </cell>
          <cell r="D2356" t="str">
            <v>Ferragens Mallet Ltda - Epp</v>
          </cell>
          <cell r="E2356" t="str">
            <v>BR_CNPJ</v>
          </cell>
          <cell r="F2356" t="str">
            <v>78.897.386/0001-73</v>
          </cell>
        </row>
        <row r="2357">
          <cell r="A2357">
            <v>32230</v>
          </cell>
          <cell r="B2357" t="str">
            <v>CORPORATION</v>
          </cell>
          <cell r="C2357" t="str">
            <v>Casa Mauricio Construcoes Ltda</v>
          </cell>
          <cell r="D2357" t="str">
            <v>Casa Mauricio</v>
          </cell>
          <cell r="E2357" t="str">
            <v>BR_CNPJ</v>
          </cell>
          <cell r="F2357" t="str">
            <v>23.543.663/0001-58</v>
          </cell>
        </row>
        <row r="2358">
          <cell r="A2358">
            <v>32231</v>
          </cell>
          <cell r="B2358" t="str">
            <v>CORPORATION</v>
          </cell>
          <cell r="C2358" t="str">
            <v>Maqserras Motores E Equipamentos Ltda - Epp</v>
          </cell>
          <cell r="D2358" t="str">
            <v>Maqserras Motores E Equipamentos</v>
          </cell>
          <cell r="E2358" t="str">
            <v>BR_CNPJ</v>
          </cell>
          <cell r="F2358" t="str">
            <v>01.274.458/0001-00</v>
          </cell>
        </row>
        <row r="2359">
          <cell r="A2359">
            <v>32232</v>
          </cell>
          <cell r="B2359" t="str">
            <v>CORPORATION</v>
          </cell>
          <cell r="C2359" t="str">
            <v>Ferreira Ferramentas Comercio Ltda</v>
          </cell>
          <cell r="D2359" t="str">
            <v>Ferreira Ferramentas</v>
          </cell>
          <cell r="E2359" t="str">
            <v>BR_CNPJ</v>
          </cell>
          <cell r="F2359" t="str">
            <v>01.743.668/0001-91</v>
          </cell>
        </row>
        <row r="2360">
          <cell r="A2360">
            <v>32234</v>
          </cell>
          <cell r="B2360" t="str">
            <v>CORPORATION</v>
          </cell>
          <cell r="C2360" t="str">
            <v>Maquipel-Comercio De Maquinas E Pecas Ltda</v>
          </cell>
          <cell r="D2360" t="str">
            <v>Maquipel</v>
          </cell>
          <cell r="E2360" t="str">
            <v>BR_CNPJ</v>
          </cell>
          <cell r="F2360" t="str">
            <v>02.106.579/0001-05</v>
          </cell>
          <cell r="G2360" t="str">
            <v>MAQUIPEL</v>
          </cell>
        </row>
        <row r="2361">
          <cell r="A2361">
            <v>32236</v>
          </cell>
          <cell r="B2361" t="str">
            <v>CORPORATION</v>
          </cell>
          <cell r="C2361" t="str">
            <v>Carlos Jorge C. Guimaraes</v>
          </cell>
          <cell r="D2361" t="str">
            <v>Dtg - Distribuidora &amp; Transportadora Guimaraes</v>
          </cell>
          <cell r="E2361" t="str">
            <v>BR_CNPJ</v>
          </cell>
          <cell r="F2361" t="str">
            <v>69.705.382/0001-55</v>
          </cell>
        </row>
        <row r="2362">
          <cell r="A2362">
            <v>32238</v>
          </cell>
          <cell r="B2362" t="str">
            <v>CORPORATION</v>
          </cell>
          <cell r="C2362" t="str">
            <v>Lojas De Ferragens Toquio Ltda - Epp</v>
          </cell>
          <cell r="D2362" t="str">
            <v>Lojas De Ferragens Toquio Ltda - Epp</v>
          </cell>
          <cell r="E2362" t="str">
            <v>BR_CNPJ</v>
          </cell>
          <cell r="F2362" t="str">
            <v>15.517.907/0001-08</v>
          </cell>
        </row>
        <row r="2363">
          <cell r="A2363">
            <v>32240</v>
          </cell>
          <cell r="B2363" t="str">
            <v>CORPORATION</v>
          </cell>
          <cell r="C2363" t="str">
            <v>E.E Ferragens E Ferramentas Ltda</v>
          </cell>
          <cell r="D2363" t="str">
            <v>Mafro Ferragens E Ferramentas</v>
          </cell>
          <cell r="E2363" t="str">
            <v>BR_CNPJ</v>
          </cell>
          <cell r="F2363" t="str">
            <v>41.115.345/0001-78</v>
          </cell>
        </row>
        <row r="2364">
          <cell r="A2364">
            <v>32241</v>
          </cell>
          <cell r="B2364" t="str">
            <v>CORPORATION</v>
          </cell>
          <cell r="C2364" t="str">
            <v>Apiguana Maquinas E Ferramentas Ltda</v>
          </cell>
          <cell r="D2364" t="str">
            <v>Apiguana</v>
          </cell>
          <cell r="E2364" t="str">
            <v>BR_CNPJ</v>
          </cell>
          <cell r="F2364" t="str">
            <v>07.240.450/0001-09</v>
          </cell>
          <cell r="G2364" t="str">
            <v>APIGUANA</v>
          </cell>
        </row>
        <row r="2365">
          <cell r="A2365">
            <v>32244</v>
          </cell>
          <cell r="B2365" t="str">
            <v>CORPORATION</v>
          </cell>
          <cell r="C2365" t="str">
            <v>Agro Maquinas Lacimar Ltda - Me</v>
          </cell>
          <cell r="D2365" t="str">
            <v>Agro Maquinas Lacimar Ltda - Me</v>
          </cell>
          <cell r="E2365" t="str">
            <v>BR_CNPJ</v>
          </cell>
          <cell r="F2365" t="str">
            <v>76.937.606/0001-10</v>
          </cell>
        </row>
        <row r="2366">
          <cell r="A2366">
            <v>32247</v>
          </cell>
          <cell r="B2366" t="str">
            <v>CORPORATION</v>
          </cell>
          <cell r="C2366" t="str">
            <v>Maringamaq E Equipamentos Ltda. - Me</v>
          </cell>
          <cell r="D2366" t="str">
            <v>Maringamaq E Equipamentos Ltda. - Me</v>
          </cell>
          <cell r="E2366" t="str">
            <v>BR_CNPJ</v>
          </cell>
          <cell r="F2366" t="str">
            <v>12.831.177/0001-19</v>
          </cell>
        </row>
        <row r="2367">
          <cell r="A2367">
            <v>32249</v>
          </cell>
          <cell r="B2367" t="str">
            <v>CORPORATION</v>
          </cell>
          <cell r="C2367" t="str">
            <v>Vl Ferramentas Ltda</v>
          </cell>
          <cell r="D2367" t="str">
            <v>Vl Ferramentas</v>
          </cell>
          <cell r="E2367" t="str">
            <v>BR_CNPJ</v>
          </cell>
          <cell r="F2367" t="str">
            <v>08.599.248/0001-22</v>
          </cell>
        </row>
        <row r="2368">
          <cell r="A2368">
            <v>32250</v>
          </cell>
          <cell r="B2368" t="str">
            <v>CORPORATION</v>
          </cell>
          <cell r="C2368" t="str">
            <v>Maqbrasil-Maquinas E Equipamentos Ltda - Me</v>
          </cell>
          <cell r="D2368" t="str">
            <v>Maqbrasil</v>
          </cell>
          <cell r="E2368" t="str">
            <v>BR_CNPJ</v>
          </cell>
          <cell r="F2368" t="str">
            <v>03.819.668/0001-53</v>
          </cell>
        </row>
        <row r="2369">
          <cell r="A2369">
            <v>32252</v>
          </cell>
          <cell r="B2369" t="str">
            <v>CORPORATION</v>
          </cell>
          <cell r="C2369" t="str">
            <v>A B Campos Junior - Me</v>
          </cell>
          <cell r="D2369" t="str">
            <v>Comercial Campos Junior</v>
          </cell>
          <cell r="E2369" t="str">
            <v>BR_CNPJ</v>
          </cell>
          <cell r="F2369" t="str">
            <v>07.753.250/0001-41</v>
          </cell>
        </row>
        <row r="2370">
          <cell r="A2370">
            <v>32254</v>
          </cell>
          <cell r="B2370" t="str">
            <v>CORPORATION</v>
          </cell>
          <cell r="C2370" t="str">
            <v>Centro De Distribuicao Pau De Oleo Ltda</v>
          </cell>
          <cell r="D2370" t="str">
            <v>Eletrica De Pau De Oleo</v>
          </cell>
          <cell r="E2370" t="str">
            <v>BR_CNPJ</v>
          </cell>
          <cell r="F2370" t="str">
            <v>34.307.917/0002-36</v>
          </cell>
          <cell r="G2370" t="str">
            <v>PAU DE OLEO</v>
          </cell>
        </row>
        <row r="2371">
          <cell r="A2371">
            <v>32255</v>
          </cell>
          <cell r="B2371" t="str">
            <v>CORPORATION</v>
          </cell>
          <cell r="C2371" t="str">
            <v>Lider Comercio, Maquinas E Pecas Ltda - Me</v>
          </cell>
          <cell r="D2371" t="str">
            <v>Lider Maquinas</v>
          </cell>
          <cell r="E2371" t="str">
            <v>BR_CNPJ</v>
          </cell>
          <cell r="F2371" t="str">
            <v>01.289.850/0001-14</v>
          </cell>
        </row>
        <row r="2372">
          <cell r="A2372">
            <v>32256</v>
          </cell>
          <cell r="B2372" t="str">
            <v>CORPORATION</v>
          </cell>
          <cell r="C2372" t="str">
            <v>Cofermix Ferramentas E Eletricos Ltda</v>
          </cell>
          <cell r="D2372" t="str">
            <v>Cofermix</v>
          </cell>
          <cell r="E2372" t="str">
            <v>BR_CNPJ</v>
          </cell>
          <cell r="F2372" t="str">
            <v>34.452.972/0001-39</v>
          </cell>
        </row>
        <row r="2373">
          <cell r="A2373">
            <v>32258</v>
          </cell>
          <cell r="B2373" t="str">
            <v>CORPORATION</v>
          </cell>
          <cell r="C2373" t="str">
            <v>Soldar Avila Ltda - Me</v>
          </cell>
          <cell r="D2373" t="str">
            <v>Soldar Avila Ltda - Me</v>
          </cell>
          <cell r="E2373" t="str">
            <v>BR_CNPJ</v>
          </cell>
          <cell r="F2373" t="str">
            <v>11.906.180/0001-91</v>
          </cell>
        </row>
        <row r="2374">
          <cell r="A2374">
            <v>32259</v>
          </cell>
          <cell r="B2374" t="str">
            <v>CORPORATION</v>
          </cell>
          <cell r="C2374" t="str">
            <v>Jbs Pereira Ferragens E Ferramentas Ltda</v>
          </cell>
          <cell r="D2374" t="str">
            <v>J. J. Parafusos E Ferramentas</v>
          </cell>
          <cell r="E2374" t="str">
            <v>BR_CNPJ</v>
          </cell>
          <cell r="F2374" t="str">
            <v>11.363.208/0001-91</v>
          </cell>
        </row>
        <row r="2375">
          <cell r="A2375">
            <v>32260</v>
          </cell>
          <cell r="B2375" t="str">
            <v>CORPORATION</v>
          </cell>
          <cell r="C2375" t="str">
            <v>Irmaos Schlosser Ltda - Epp</v>
          </cell>
          <cell r="D2375" t="str">
            <v>Schlosser Materiais Eletricos</v>
          </cell>
          <cell r="E2375" t="str">
            <v>BR_CNPJ</v>
          </cell>
          <cell r="F2375" t="str">
            <v>12.508.983/0001-50</v>
          </cell>
        </row>
        <row r="2376">
          <cell r="A2376">
            <v>32261</v>
          </cell>
          <cell r="B2376" t="str">
            <v>CORPORATION</v>
          </cell>
          <cell r="C2376" t="str">
            <v>Jose Henrique Gallante Sangaletti</v>
          </cell>
          <cell r="D2376" t="str">
            <v>Comercial Cofemhe</v>
          </cell>
          <cell r="E2376" t="str">
            <v>BR_CNPJ</v>
          </cell>
          <cell r="F2376" t="str">
            <v>06.113.843/0001-80</v>
          </cell>
        </row>
        <row r="2377">
          <cell r="A2377">
            <v>32263</v>
          </cell>
          <cell r="B2377" t="str">
            <v>CORPORATION</v>
          </cell>
          <cell r="C2377" t="str">
            <v>Jm Avimax Comercio E Instalacao Ltda - Epp</v>
          </cell>
          <cell r="D2377" t="str">
            <v>Avimax</v>
          </cell>
          <cell r="E2377" t="str">
            <v>BR_CNPJ</v>
          </cell>
          <cell r="F2377" t="str">
            <v>10.569.228/0001-50</v>
          </cell>
        </row>
        <row r="2378">
          <cell r="A2378">
            <v>32266</v>
          </cell>
          <cell r="B2378" t="str">
            <v>CORPORATION</v>
          </cell>
          <cell r="C2378" t="str">
            <v>Montemaq Monte Santo Maquinas Agricolas Ltda - Me</v>
          </cell>
          <cell r="D2378" t="str">
            <v>Montemaq</v>
          </cell>
          <cell r="E2378" t="str">
            <v>BR_CNPJ</v>
          </cell>
          <cell r="F2378" t="str">
            <v>18.398.008/0001-13</v>
          </cell>
        </row>
        <row r="2379">
          <cell r="A2379">
            <v>32267</v>
          </cell>
          <cell r="B2379" t="str">
            <v>CORPORATION</v>
          </cell>
          <cell r="C2379" t="str">
            <v>I. C. C. Comercial Ltda</v>
          </cell>
          <cell r="D2379" t="str">
            <v>I. C. C.</v>
          </cell>
          <cell r="E2379" t="str">
            <v>BR_CNPJ</v>
          </cell>
          <cell r="F2379" t="str">
            <v>06.029.739/0001-02</v>
          </cell>
        </row>
        <row r="2380">
          <cell r="A2380">
            <v>32269</v>
          </cell>
          <cell r="B2380" t="str">
            <v>CORPORATION</v>
          </cell>
          <cell r="C2380" t="str">
            <v>Comercial Maranguape Ltda</v>
          </cell>
          <cell r="D2380" t="str">
            <v>Comercial Maranguape Ltda</v>
          </cell>
          <cell r="E2380" t="str">
            <v>BR_CNPJ</v>
          </cell>
          <cell r="F2380" t="str">
            <v>01.625.371/0002-02</v>
          </cell>
        </row>
        <row r="2381">
          <cell r="A2381">
            <v>32270</v>
          </cell>
          <cell r="B2381" t="str">
            <v>CORPORATION</v>
          </cell>
          <cell r="C2381" t="str">
            <v>Global Comercio De Ferramentas E Ferragens Ltda - Epp</v>
          </cell>
          <cell r="D2381" t="str">
            <v>Global Ferramentas E Ferragens</v>
          </cell>
          <cell r="E2381" t="str">
            <v>BR_CNPJ</v>
          </cell>
          <cell r="F2381" t="str">
            <v>12.984.682/0001-01</v>
          </cell>
        </row>
        <row r="2382">
          <cell r="A2382">
            <v>32271</v>
          </cell>
          <cell r="B2382" t="str">
            <v>CORPORATION</v>
          </cell>
          <cell r="C2382" t="str">
            <v>Grampao Ltda</v>
          </cell>
          <cell r="D2382" t="str">
            <v>Grampao Maquinas E Ferramentas</v>
          </cell>
          <cell r="E2382" t="str">
            <v>BR_CNPJ</v>
          </cell>
          <cell r="F2382" t="str">
            <v>34.211.222/0001-75</v>
          </cell>
        </row>
        <row r="2383">
          <cell r="A2383">
            <v>32273</v>
          </cell>
          <cell r="B2383" t="str">
            <v>CORPORATION</v>
          </cell>
          <cell r="C2383" t="str">
            <v>Fermaq Ferramentas E Maquinas Ltda - Me</v>
          </cell>
          <cell r="D2383" t="str">
            <v>Fermaq</v>
          </cell>
          <cell r="E2383" t="str">
            <v>BR_CNPJ</v>
          </cell>
          <cell r="F2383" t="str">
            <v>18.257.895/0001-00</v>
          </cell>
        </row>
        <row r="2384">
          <cell r="A2384">
            <v>32274</v>
          </cell>
          <cell r="B2384" t="str">
            <v>CORPORATION</v>
          </cell>
          <cell r="C2384" t="str">
            <v>R A Dellacqua</v>
          </cell>
          <cell r="D2384" t="str">
            <v>R A Dellacqua</v>
          </cell>
          <cell r="E2384" t="str">
            <v>BR_CNPJ</v>
          </cell>
          <cell r="F2384" t="str">
            <v>02.342.345/0001-59</v>
          </cell>
          <cell r="G2384" t="str">
            <v>OX-TINTAS</v>
          </cell>
        </row>
        <row r="2385">
          <cell r="A2385">
            <v>32279</v>
          </cell>
          <cell r="B2385" t="str">
            <v>CORPORATION</v>
          </cell>
          <cell r="C2385" t="str">
            <v>Oliveira Ferragens Ltda - Me</v>
          </cell>
          <cell r="D2385" t="str">
            <v>Oliveira Ferragens Ltda - Me</v>
          </cell>
          <cell r="E2385" t="str">
            <v>BR_CNPJ</v>
          </cell>
          <cell r="F2385" t="str">
            <v>03.292.939/0001-65</v>
          </cell>
        </row>
        <row r="2386">
          <cell r="A2386">
            <v>32281</v>
          </cell>
          <cell r="B2386" t="str">
            <v>CORPORATION</v>
          </cell>
          <cell r="C2386" t="str">
            <v>Fermaseg Comercio E Representacao Ltda</v>
          </cell>
          <cell r="D2386" t="str">
            <v>Fermaseg</v>
          </cell>
          <cell r="E2386" t="str">
            <v>BR_CNPJ</v>
          </cell>
          <cell r="F2386" t="str">
            <v>33.223.300/0001-99</v>
          </cell>
        </row>
        <row r="2387">
          <cell r="A2387">
            <v>32282</v>
          </cell>
          <cell r="B2387" t="str">
            <v>CORPORATION</v>
          </cell>
          <cell r="C2387" t="str">
            <v>Nova Ponte Materiais Para Construcao Ltda - Me</v>
          </cell>
          <cell r="D2387" t="str">
            <v>Nova Ponte Materiais Para Construcao Ltda - Me</v>
          </cell>
          <cell r="E2387" t="str">
            <v>BR_CNPJ</v>
          </cell>
          <cell r="F2387" t="str">
            <v>82.870.932/0001-50</v>
          </cell>
        </row>
        <row r="2388">
          <cell r="A2388">
            <v>32285</v>
          </cell>
          <cell r="B2388" t="str">
            <v>CORPORATION</v>
          </cell>
          <cell r="C2388" t="str">
            <v>Trincoforte Ferragens Ltda</v>
          </cell>
          <cell r="D2388" t="str">
            <v>Trincofort</v>
          </cell>
          <cell r="E2388" t="str">
            <v>BR_CNPJ</v>
          </cell>
          <cell r="F2388" t="str">
            <v>27.876.960/0001-76</v>
          </cell>
        </row>
        <row r="2389">
          <cell r="A2389">
            <v>32288</v>
          </cell>
          <cell r="B2389" t="str">
            <v>CORPORATION</v>
          </cell>
          <cell r="C2389" t="str">
            <v>Ferpam Com De Ferramentas Parafusos E Maquinas Ltda</v>
          </cell>
          <cell r="D2389" t="str">
            <v>Ferpam</v>
          </cell>
          <cell r="E2389" t="str">
            <v>BR_CNPJ</v>
          </cell>
          <cell r="F2389" t="str">
            <v>01.040.887/0001-04</v>
          </cell>
        </row>
        <row r="2390">
          <cell r="A2390">
            <v>32292</v>
          </cell>
          <cell r="B2390" t="str">
            <v>CORPORATION</v>
          </cell>
          <cell r="C2390" t="str">
            <v>Fedalto Comercio De Maquinas E Equipamentos Ltda - Me</v>
          </cell>
          <cell r="D2390" t="str">
            <v>Fedalto Maquinas</v>
          </cell>
          <cell r="E2390" t="str">
            <v>BR_CNPJ</v>
          </cell>
          <cell r="F2390" t="str">
            <v>12.587.674/0001-13</v>
          </cell>
        </row>
        <row r="2391">
          <cell r="A2391">
            <v>32294</v>
          </cell>
          <cell r="B2391" t="str">
            <v>CORPORATION</v>
          </cell>
          <cell r="C2391" t="str">
            <v>48.718.725 Ronier Crozara Freitas</v>
          </cell>
          <cell r="D2391" t="str">
            <v>Sol Negocios E Importacoes</v>
          </cell>
          <cell r="E2391" t="str">
            <v>BR_CNPJ</v>
          </cell>
          <cell r="F2391" t="str">
            <v>48.718.725/0001-46</v>
          </cell>
        </row>
        <row r="2392">
          <cell r="A2392">
            <v>32295</v>
          </cell>
          <cell r="B2392" t="str">
            <v>CORPORATION</v>
          </cell>
          <cell r="C2392" t="str">
            <v>Maquinas Donini Ltda</v>
          </cell>
          <cell r="D2392" t="str">
            <v>Donini</v>
          </cell>
          <cell r="E2392" t="str">
            <v>BR_CNPJ</v>
          </cell>
          <cell r="F2392" t="str">
            <v>82.851.908/0001-73</v>
          </cell>
        </row>
        <row r="2393">
          <cell r="A2393">
            <v>32297</v>
          </cell>
          <cell r="B2393" t="str">
            <v>CORPORATION</v>
          </cell>
          <cell r="C2393" t="str">
            <v>Mercantil De Ferragens Riflor Ltda - Epp</v>
          </cell>
          <cell r="D2393" t="str">
            <v>Mercantil De Ferragens Riflor Ltda - Epp</v>
          </cell>
          <cell r="E2393" t="str">
            <v>BR_CNPJ</v>
          </cell>
          <cell r="F2393" t="str">
            <v>77.860.153/0001-33</v>
          </cell>
        </row>
        <row r="2394">
          <cell r="A2394">
            <v>32301</v>
          </cell>
          <cell r="B2394" t="str">
            <v>CORPORATION</v>
          </cell>
          <cell r="C2394" t="str">
            <v>Comercio Representacao Ferragens Brito Ltda - Epp</v>
          </cell>
          <cell r="D2394" t="str">
            <v>Ferragens Brito</v>
          </cell>
          <cell r="E2394" t="str">
            <v>BR_CNPJ</v>
          </cell>
          <cell r="F2394" t="str">
            <v>84.493.592/0001-10</v>
          </cell>
        </row>
        <row r="2395">
          <cell r="A2395">
            <v>32304</v>
          </cell>
          <cell r="B2395" t="str">
            <v>CORPORATION</v>
          </cell>
          <cell r="C2395" t="str">
            <v>Ss Ferramentas E Fogoes Eireli</v>
          </cell>
          <cell r="D2395" t="str">
            <v>Ss Ferramentas</v>
          </cell>
          <cell r="E2395" t="str">
            <v>BR_CNPJ</v>
          </cell>
          <cell r="F2395" t="str">
            <v>19.801.624/0001-36</v>
          </cell>
        </row>
        <row r="2396">
          <cell r="A2396">
            <v>32306</v>
          </cell>
          <cell r="B2396" t="str">
            <v>CORPORATION</v>
          </cell>
          <cell r="C2396" t="str">
            <v>R. R. Ferramentas Ltda - Me</v>
          </cell>
          <cell r="D2396" t="str">
            <v>Trianorte</v>
          </cell>
          <cell r="E2396" t="str">
            <v>BR_CNPJ</v>
          </cell>
          <cell r="F2396" t="str">
            <v>05.775.872/0001-45</v>
          </cell>
        </row>
        <row r="2397">
          <cell r="A2397">
            <v>32309</v>
          </cell>
          <cell r="B2397" t="str">
            <v>CORPORATION</v>
          </cell>
          <cell r="C2397" t="str">
            <v>Invertecnica Comercio, Servicos E Locacao De Solda Ltda - Me</v>
          </cell>
          <cell r="D2397" t="str">
            <v>Invertecnica</v>
          </cell>
          <cell r="E2397" t="str">
            <v>BR_CNPJ</v>
          </cell>
          <cell r="F2397" t="str">
            <v>03.056.591/0001-07</v>
          </cell>
        </row>
        <row r="2398">
          <cell r="A2398">
            <v>32312</v>
          </cell>
          <cell r="B2398" t="str">
            <v>CORPORATION</v>
          </cell>
          <cell r="C2398" t="str">
            <v>Ferragens Pavan Ltda - Epp</v>
          </cell>
          <cell r="D2398" t="str">
            <v>Ferragens Pavan Ltda - Epp</v>
          </cell>
          <cell r="E2398" t="str">
            <v>BR_CNPJ</v>
          </cell>
          <cell r="F2398" t="str">
            <v>90.838.046/0001-77</v>
          </cell>
        </row>
        <row r="2399">
          <cell r="A2399">
            <v>32315</v>
          </cell>
          <cell r="B2399" t="str">
            <v>CORPORATION</v>
          </cell>
          <cell r="C2399" t="str">
            <v>Materiais De Construcao Rogeri Ltda</v>
          </cell>
          <cell r="D2399" t="str">
            <v>Materiais De Construcao Rogeri Ltda</v>
          </cell>
          <cell r="E2399" t="str">
            <v>BR_CNPJ</v>
          </cell>
          <cell r="F2399" t="str">
            <v>04.909.692/0001-46</v>
          </cell>
        </row>
        <row r="2400">
          <cell r="A2400">
            <v>32322</v>
          </cell>
          <cell r="B2400" t="str">
            <v>CORPORATION</v>
          </cell>
          <cell r="C2400" t="str">
            <v>Elo Maquinas E Ferramentas Ltda - Me</v>
          </cell>
          <cell r="D2400" t="str">
            <v>Elo Maquinas E Ferramentas Ltda - Me</v>
          </cell>
          <cell r="E2400" t="str">
            <v>BR_CNPJ</v>
          </cell>
          <cell r="F2400" t="str">
            <v>03.959.942/0001-90</v>
          </cell>
        </row>
        <row r="2401">
          <cell r="A2401">
            <v>32323</v>
          </cell>
          <cell r="B2401" t="str">
            <v>CORPORATION</v>
          </cell>
          <cell r="C2401" t="str">
            <v>Andreia M. Dos Santos - Bazar</v>
          </cell>
          <cell r="D2401" t="str">
            <v>Belinha Bazar (Socorro Do Lar)</v>
          </cell>
          <cell r="E2401" t="str">
            <v>BR_CNPJ</v>
          </cell>
          <cell r="F2401" t="str">
            <v>45.027.429/0001-00</v>
          </cell>
          <cell r="G2401" t="str">
            <v>SOCORRO DO LAR</v>
          </cell>
        </row>
        <row r="2402">
          <cell r="A2402">
            <v>32325</v>
          </cell>
          <cell r="B2402" t="str">
            <v>CORPORATION</v>
          </cell>
          <cell r="C2402" t="str">
            <v>Ferragens Ribeiro Ltda</v>
          </cell>
          <cell r="D2402" t="str">
            <v>Comafer</v>
          </cell>
          <cell r="E2402" t="str">
            <v>BR_CNPJ</v>
          </cell>
          <cell r="F2402" t="str">
            <v>26.538.777/0002-89</v>
          </cell>
        </row>
        <row r="2403">
          <cell r="A2403">
            <v>32328</v>
          </cell>
          <cell r="B2403" t="str">
            <v>CORPORATION</v>
          </cell>
          <cell r="C2403" t="str">
            <v>Ferragem Diadel Ltda - Me</v>
          </cell>
          <cell r="D2403" t="str">
            <v>Ferragem Diadel</v>
          </cell>
          <cell r="E2403" t="str">
            <v>BR_CNPJ</v>
          </cell>
          <cell r="F2403" t="str">
            <v>03.484.747/0001-50</v>
          </cell>
        </row>
        <row r="2404">
          <cell r="A2404">
            <v>32330</v>
          </cell>
          <cell r="B2404" t="str">
            <v>CORPORATION</v>
          </cell>
          <cell r="C2404" t="str">
            <v>Cebotech Do Brasil Comercio Importacao E Exportacao Ltda - Me</v>
          </cell>
          <cell r="D2404" t="str">
            <v>Cebotech Do Brasil</v>
          </cell>
          <cell r="E2404" t="str">
            <v>BR_CNPJ</v>
          </cell>
          <cell r="F2404" t="str">
            <v>03.964.637/0001-96</v>
          </cell>
        </row>
        <row r="2405">
          <cell r="A2405">
            <v>32333</v>
          </cell>
          <cell r="B2405" t="str">
            <v>CORPORATION</v>
          </cell>
          <cell r="C2405" t="str">
            <v>Ferragem Parati Ltda - Epp</v>
          </cell>
          <cell r="D2405" t="str">
            <v>Ferragem Parati Ltda - Epp</v>
          </cell>
          <cell r="E2405" t="str">
            <v>BR_CNPJ</v>
          </cell>
          <cell r="F2405" t="str">
            <v>00.942.872/0001-79</v>
          </cell>
        </row>
        <row r="2406">
          <cell r="A2406">
            <v>32335</v>
          </cell>
          <cell r="B2406" t="str">
            <v>CORPORATION</v>
          </cell>
          <cell r="C2406" t="str">
            <v>Fernanda Salustiano Fernandes 42968304810</v>
          </cell>
          <cell r="D2406" t="str">
            <v>Elooito</v>
          </cell>
          <cell r="E2406" t="str">
            <v>BR_CNPJ</v>
          </cell>
          <cell r="F2406" t="str">
            <v>41.767.430/0001-10</v>
          </cell>
        </row>
        <row r="2407">
          <cell r="A2407">
            <v>32337</v>
          </cell>
          <cell r="B2407" t="str">
            <v>CORPORATION</v>
          </cell>
          <cell r="C2407" t="str">
            <v>Leferrcon Ferragem Ltda - Me</v>
          </cell>
          <cell r="D2407" t="str">
            <v>Leferrcon</v>
          </cell>
          <cell r="E2407" t="str">
            <v>BR_CNPJ</v>
          </cell>
          <cell r="F2407" t="str">
            <v>10.365.867/0001-02</v>
          </cell>
        </row>
        <row r="2408">
          <cell r="A2408">
            <v>32339</v>
          </cell>
          <cell r="B2408" t="str">
            <v>CORPORATION</v>
          </cell>
          <cell r="C2408" t="str">
            <v>Maju - Comercio De Aquecedores E Maquinas Ltda - Epp</v>
          </cell>
          <cell r="D2408" t="str">
            <v>Maju - Comercio De Aquecedores E Maquinas Ltda - Epp</v>
          </cell>
          <cell r="E2408" t="str">
            <v>BR_CNPJ</v>
          </cell>
          <cell r="F2408" t="str">
            <v>90.025.313/0001-97</v>
          </cell>
        </row>
        <row r="2409">
          <cell r="A2409">
            <v>32341</v>
          </cell>
          <cell r="B2409" t="str">
            <v>CORPORATION</v>
          </cell>
          <cell r="C2409" t="str">
            <v>Broquel Epi E Ferramentas Ltda</v>
          </cell>
          <cell r="D2409" t="str">
            <v>Broquel Epi</v>
          </cell>
          <cell r="E2409" t="str">
            <v>BR_CNPJ</v>
          </cell>
          <cell r="F2409" t="str">
            <v>42.476.822/0001-93</v>
          </cell>
        </row>
        <row r="2410">
          <cell r="A2410">
            <v>32345</v>
          </cell>
          <cell r="B2410" t="str">
            <v>CORPORATION</v>
          </cell>
          <cell r="C2410" t="str">
            <v>W S P Comercial De Ferragens Ltda - Me</v>
          </cell>
          <cell r="D2410" t="str">
            <v>J F Parafusos E Ferramentas</v>
          </cell>
          <cell r="E2410" t="str">
            <v>BR_CNPJ</v>
          </cell>
          <cell r="F2410" t="str">
            <v>10.177.318/0001-04</v>
          </cell>
        </row>
        <row r="2411">
          <cell r="A2411">
            <v>32348</v>
          </cell>
          <cell r="B2411" t="str">
            <v>CORPORATION</v>
          </cell>
          <cell r="C2411" t="str">
            <v>Severino Maquinas Ltda - Me</v>
          </cell>
          <cell r="D2411" t="str">
            <v>A Goyana Maquinas</v>
          </cell>
          <cell r="E2411" t="str">
            <v>BR_CNPJ</v>
          </cell>
          <cell r="F2411" t="str">
            <v>10.141.494/0001-88</v>
          </cell>
        </row>
        <row r="2412">
          <cell r="A2412">
            <v>32351</v>
          </cell>
          <cell r="B2412" t="str">
            <v>CORPORATION</v>
          </cell>
          <cell r="C2412" t="str">
            <v>Marchini Materiais De Construcao Ltda - Me</v>
          </cell>
          <cell r="D2412" t="str">
            <v>Deposito Marchini</v>
          </cell>
          <cell r="E2412" t="str">
            <v>BR_CNPJ</v>
          </cell>
          <cell r="F2412" t="str">
            <v>15.287.633/0001-08</v>
          </cell>
        </row>
        <row r="2413">
          <cell r="A2413">
            <v>32354</v>
          </cell>
          <cell r="B2413" t="str">
            <v>CORPORATION</v>
          </cell>
          <cell r="C2413" t="str">
            <v>Naderer Materiais De Construcao Ltda - Me</v>
          </cell>
          <cell r="D2413" t="str">
            <v>Naderer Materiais De Construcao Ltda - Me</v>
          </cell>
          <cell r="E2413" t="str">
            <v>BR_CNPJ</v>
          </cell>
          <cell r="F2413" t="str">
            <v>01.720.508/0001-27</v>
          </cell>
        </row>
        <row r="2414">
          <cell r="A2414">
            <v>32357</v>
          </cell>
          <cell r="B2414" t="str">
            <v>CORPORATION</v>
          </cell>
          <cell r="C2414" t="str">
            <v>Ferragens Glazar Ltda - Me</v>
          </cell>
          <cell r="D2414" t="str">
            <v>Ferragens Glazar Ltda - Me</v>
          </cell>
          <cell r="E2414" t="str">
            <v>BR_CNPJ</v>
          </cell>
          <cell r="F2414" t="str">
            <v>30.948.830/0001-06</v>
          </cell>
        </row>
        <row r="2415">
          <cell r="A2415">
            <v>32358</v>
          </cell>
          <cell r="B2415" t="str">
            <v>CORPORATION</v>
          </cell>
          <cell r="C2415" t="str">
            <v>Caroni &amp; Baldini Acessorios Industriais Ltda</v>
          </cell>
          <cell r="D2415" t="str">
            <v>Carfex Acessorios Industriais</v>
          </cell>
          <cell r="E2415" t="str">
            <v>BR_CNPJ</v>
          </cell>
          <cell r="F2415" t="str">
            <v>17.741.342/0001-65</v>
          </cell>
        </row>
        <row r="2416">
          <cell r="A2416">
            <v>32359</v>
          </cell>
          <cell r="B2416" t="str">
            <v>CORPORATION</v>
          </cell>
          <cell r="C2416" t="str">
            <v>Comercio De Materiais De Construcao Gribogi Ltda - Me</v>
          </cell>
          <cell r="D2416" t="str">
            <v>Comercio De Materiais De Construcao Gribogi Ltda - Me</v>
          </cell>
          <cell r="E2416" t="str">
            <v>BR_CNPJ</v>
          </cell>
          <cell r="F2416" t="str">
            <v>10.292.060/0001-89</v>
          </cell>
        </row>
        <row r="2417">
          <cell r="A2417">
            <v>32361</v>
          </cell>
          <cell r="B2417" t="str">
            <v>CORPORATION</v>
          </cell>
          <cell r="C2417" t="str">
            <v>Serflex Comercio E Servicos De Equipamentos Industriais Ltda</v>
          </cell>
          <cell r="D2417" t="str">
            <v>Serflex</v>
          </cell>
          <cell r="E2417" t="str">
            <v>BR_CNPJ</v>
          </cell>
          <cell r="F2417" t="str">
            <v>01.822.054/0001-03</v>
          </cell>
        </row>
        <row r="2418">
          <cell r="A2418">
            <v>32362</v>
          </cell>
          <cell r="B2418" t="str">
            <v>CORPORATION</v>
          </cell>
          <cell r="C2418" t="str">
            <v>Materiais De Construcao A. Malucelli Ltda - Epp</v>
          </cell>
          <cell r="D2418" t="str">
            <v>Materiais De Construcao A. Malucelli Ltda - Epp</v>
          </cell>
          <cell r="E2418" t="str">
            <v>BR_CNPJ</v>
          </cell>
          <cell r="F2418" t="str">
            <v>03.280.606/0001-16</v>
          </cell>
        </row>
        <row r="2419">
          <cell r="A2419">
            <v>32364</v>
          </cell>
          <cell r="B2419" t="str">
            <v>CORPORATION</v>
          </cell>
          <cell r="C2419" t="str">
            <v>R X M Comercio De Ferragens Ltda.</v>
          </cell>
          <cell r="D2419" t="str">
            <v>Copar - Parafusos, Ferragens, Eletrica E Hidraulica</v>
          </cell>
          <cell r="E2419" t="str">
            <v>BR_CNPJ</v>
          </cell>
          <cell r="F2419" t="str">
            <v>29.760.060/0001-94</v>
          </cell>
        </row>
        <row r="2420">
          <cell r="A2420">
            <v>32365</v>
          </cell>
          <cell r="B2420" t="str">
            <v>CORPORATION</v>
          </cell>
          <cell r="C2420" t="str">
            <v>C Stelmachuk Materiais De Construcoes Ltda - Epp</v>
          </cell>
          <cell r="D2420" t="str">
            <v>C Stelmachuk Materiais De Construcoes Ltda - Epp</v>
          </cell>
          <cell r="E2420" t="str">
            <v>BR_CNPJ</v>
          </cell>
          <cell r="F2420" t="str">
            <v>81.073.850/0001-11</v>
          </cell>
        </row>
        <row r="2421">
          <cell r="A2421">
            <v>32368</v>
          </cell>
          <cell r="B2421" t="str">
            <v>CORPORATION</v>
          </cell>
          <cell r="C2421" t="str">
            <v>Lorenzo Comercio E Materiais De Construcao Ltda - Epp</v>
          </cell>
          <cell r="D2421" t="str">
            <v>Lorenzo Comercio E Materiais De Construcao Ltda - Epp</v>
          </cell>
          <cell r="E2421" t="str">
            <v>BR_CNPJ</v>
          </cell>
          <cell r="F2421" t="str">
            <v>00.245.111/0001-68</v>
          </cell>
        </row>
        <row r="2422">
          <cell r="A2422">
            <v>32372</v>
          </cell>
          <cell r="B2422" t="str">
            <v>CORPORATION</v>
          </cell>
          <cell r="C2422" t="str">
            <v>Fermak Comercial De Maquinas E Ferramentas Ltda - Me</v>
          </cell>
          <cell r="D2422" t="str">
            <v>Fermak Comercial De Maquinas E Ferramentas Ltda - Me</v>
          </cell>
          <cell r="E2422" t="str">
            <v>BR_CNPJ</v>
          </cell>
          <cell r="F2422" t="str">
            <v>00.643.351/0001-10</v>
          </cell>
        </row>
        <row r="2423">
          <cell r="A2423">
            <v>32373</v>
          </cell>
          <cell r="B2423" t="str">
            <v>CORPORATION</v>
          </cell>
          <cell r="C2423" t="str">
            <v>Rede Equipamentos Industriais Ltda</v>
          </cell>
          <cell r="D2423" t="str">
            <v>Rede Equipamentos Industriais Ltda</v>
          </cell>
          <cell r="E2423" t="str">
            <v>BR_CNPJ</v>
          </cell>
          <cell r="F2423" t="str">
            <v>06.156.896/0002-60</v>
          </cell>
        </row>
        <row r="2424">
          <cell r="A2424">
            <v>32376</v>
          </cell>
          <cell r="B2424" t="str">
            <v>CORPORATION</v>
          </cell>
          <cell r="C2424" t="str">
            <v>R. M. Equipamentos Ltda - Me</v>
          </cell>
          <cell r="D2424" t="str">
            <v>R. M. Equipamentos Ltda - Me</v>
          </cell>
          <cell r="E2424" t="str">
            <v>BR_CNPJ</v>
          </cell>
          <cell r="F2424" t="str">
            <v>13.601.483/0001-21</v>
          </cell>
        </row>
        <row r="2425">
          <cell r="A2425">
            <v>32379</v>
          </cell>
          <cell r="B2425" t="str">
            <v>CORPORATION</v>
          </cell>
          <cell r="C2425" t="str">
            <v>J.R.Miskinin Materiais De Construcao - Epp</v>
          </cell>
          <cell r="D2425" t="str">
            <v>J.R.Miskinin Materiais De Construcao - Epp</v>
          </cell>
          <cell r="E2425" t="str">
            <v>BR_CNPJ</v>
          </cell>
          <cell r="F2425" t="str">
            <v>06.270.551/0001-51</v>
          </cell>
        </row>
        <row r="2426">
          <cell r="A2426">
            <v>32382</v>
          </cell>
          <cell r="B2426" t="str">
            <v>CORPORATION</v>
          </cell>
          <cell r="C2426" t="str">
            <v>Materiais De Construcao Davascio Ltda - Epp</v>
          </cell>
          <cell r="D2426" t="str">
            <v>Materiais De Construcao Davascio Ltda - Epp</v>
          </cell>
          <cell r="E2426" t="str">
            <v>BR_CNPJ</v>
          </cell>
          <cell r="F2426" t="str">
            <v>10.452.898/0001-92</v>
          </cell>
        </row>
        <row r="2427">
          <cell r="A2427">
            <v>32385</v>
          </cell>
          <cell r="B2427" t="str">
            <v>CORPORATION</v>
          </cell>
          <cell r="C2427" t="str">
            <v>Codef Comercial De Ferramentas Ltda</v>
          </cell>
          <cell r="D2427" t="str">
            <v>Codef Comercial De Ferramentas Ltda</v>
          </cell>
          <cell r="E2427" t="str">
            <v>BR_CNPJ</v>
          </cell>
          <cell r="F2427" t="str">
            <v>13.454.806/0001-00</v>
          </cell>
        </row>
        <row r="2428">
          <cell r="A2428">
            <v>32388</v>
          </cell>
          <cell r="B2428" t="str">
            <v>CORPORATION</v>
          </cell>
          <cell r="C2428" t="str">
            <v>Neris Produtos Veterinarios E Materiais Para Construcao Ltda - Epp</v>
          </cell>
          <cell r="D2428" t="str">
            <v>Casa Do Fazendeiro</v>
          </cell>
          <cell r="E2428" t="str">
            <v>BR_CNPJ</v>
          </cell>
          <cell r="F2428" t="str">
            <v>14.325.898/0001-82</v>
          </cell>
        </row>
        <row r="2429">
          <cell r="A2429">
            <v>32391</v>
          </cell>
          <cell r="B2429" t="str">
            <v>CORPORATION</v>
          </cell>
          <cell r="C2429" t="str">
            <v>Solange Pereira Mats De Constr Ltda</v>
          </cell>
          <cell r="D2429" t="str">
            <v>Solange Pereira Mats De Constr Ltda</v>
          </cell>
          <cell r="E2429" t="str">
            <v>BR_CNPJ</v>
          </cell>
          <cell r="F2429" t="str">
            <v>04.456.197/0001-29</v>
          </cell>
        </row>
        <row r="2430">
          <cell r="A2430">
            <v>32394</v>
          </cell>
          <cell r="B2430" t="str">
            <v>CORPORATION</v>
          </cell>
          <cell r="C2430" t="str">
            <v>Global Comercio De Maquinas E Equipamentos Industriais E Comerciais Ltda - Me</v>
          </cell>
          <cell r="D2430" t="str">
            <v>Global Maquinas</v>
          </cell>
          <cell r="E2430" t="str">
            <v>BR_CNPJ</v>
          </cell>
          <cell r="F2430" t="str">
            <v>10.833.311/0001-95</v>
          </cell>
        </row>
        <row r="2431">
          <cell r="A2431">
            <v>32396</v>
          </cell>
          <cell r="B2431" t="str">
            <v>CORPORATION</v>
          </cell>
          <cell r="C2431" t="str">
            <v>50.714.838 Daniela Lopes De Sousa</v>
          </cell>
          <cell r="D2431" t="str">
            <v>Afinco Ferragista</v>
          </cell>
          <cell r="E2431" t="str">
            <v>BR_CNPJ</v>
          </cell>
          <cell r="F2431" t="str">
            <v>50.714.838/0001-15</v>
          </cell>
          <cell r="G2431" t="str">
            <v>AFINCO FERRAGISTA</v>
          </cell>
        </row>
        <row r="2432">
          <cell r="A2432">
            <v>32398</v>
          </cell>
          <cell r="B2432" t="str">
            <v>CORPORATION</v>
          </cell>
          <cell r="C2432" t="str">
            <v>Celio Grossi Ferragens Ltda</v>
          </cell>
          <cell r="D2432" t="str">
            <v>Celio Grossi Ferragens Ltda</v>
          </cell>
          <cell r="E2432" t="str">
            <v>BR_CNPJ</v>
          </cell>
          <cell r="F2432" t="str">
            <v>23.151.087/0001-01</v>
          </cell>
        </row>
        <row r="2433">
          <cell r="A2433">
            <v>32399</v>
          </cell>
          <cell r="B2433" t="str">
            <v>CORPORATION</v>
          </cell>
          <cell r="C2433" t="str">
            <v>Nao Maquinas Ltda - Me</v>
          </cell>
          <cell r="D2433" t="str">
            <v>Nao Maquinas Ltda - Me</v>
          </cell>
          <cell r="E2433" t="str">
            <v>BR_CNPJ</v>
          </cell>
          <cell r="F2433" t="str">
            <v>01.531.031/0001-31</v>
          </cell>
        </row>
        <row r="2434">
          <cell r="A2434">
            <v>32401</v>
          </cell>
          <cell r="B2434" t="str">
            <v>CORPORATION</v>
          </cell>
          <cell r="C2434" t="str">
            <v>Macerol Rolamentos E Abrasivos Ltda</v>
          </cell>
          <cell r="D2434" t="str">
            <v>Macerol Rolamentos E Abrasivos Ltda</v>
          </cell>
          <cell r="E2434" t="str">
            <v>BR_CNPJ</v>
          </cell>
          <cell r="F2434" t="str">
            <v>11.478.444/0001-53</v>
          </cell>
        </row>
        <row r="2435">
          <cell r="A2435">
            <v>32402</v>
          </cell>
          <cell r="B2435" t="str">
            <v>CORPORATION</v>
          </cell>
          <cell r="C2435" t="str">
            <v>J. L. Pecas E Ferramentas Ltda.</v>
          </cell>
          <cell r="D2435" t="str">
            <v>J. L. Pecas E Ferramentas Ltda.</v>
          </cell>
          <cell r="E2435" t="str">
            <v>BR_CNPJ</v>
          </cell>
          <cell r="F2435" t="str">
            <v>07.256.276/0001-84</v>
          </cell>
        </row>
        <row r="2436">
          <cell r="A2436">
            <v>32405</v>
          </cell>
          <cell r="B2436" t="str">
            <v>CORPORATION</v>
          </cell>
          <cell r="C2436" t="str">
            <v>Z C Materiais De Construcao Ltda</v>
          </cell>
          <cell r="D2436" t="str">
            <v>Z C Materiais De Construcao Ltda</v>
          </cell>
          <cell r="E2436" t="str">
            <v>BR_CNPJ</v>
          </cell>
          <cell r="F2436" t="str">
            <v>93.810.760/0001-45</v>
          </cell>
        </row>
        <row r="2437">
          <cell r="A2437">
            <v>32407</v>
          </cell>
          <cell r="B2437" t="str">
            <v>CORPORATION</v>
          </cell>
          <cell r="C2437" t="str">
            <v>Allumiaco Distribuicao De Aluminio E Aco Ltda</v>
          </cell>
          <cell r="D2437" t="str">
            <v>Allumiaco</v>
          </cell>
          <cell r="E2437" t="str">
            <v>BR_CNPJ</v>
          </cell>
          <cell r="F2437" t="str">
            <v>37.131.732/0001-20</v>
          </cell>
        </row>
        <row r="2438">
          <cell r="A2438">
            <v>32408</v>
          </cell>
          <cell r="B2438" t="str">
            <v>CORPORATION</v>
          </cell>
          <cell r="C2438" t="str">
            <v>Servil Maquinas Ltda - Me</v>
          </cell>
          <cell r="D2438" t="str">
            <v>Servil Maquinas</v>
          </cell>
          <cell r="E2438" t="str">
            <v>BR_CNPJ</v>
          </cell>
          <cell r="F2438" t="str">
            <v>10.716.188/0001-22</v>
          </cell>
        </row>
        <row r="2439">
          <cell r="A2439">
            <v>32411</v>
          </cell>
          <cell r="B2439" t="str">
            <v>CORPORATION</v>
          </cell>
          <cell r="C2439" t="str">
            <v>Schmidt Maquinas E Ferramentas Ltda - Me</v>
          </cell>
          <cell r="D2439" t="str">
            <v>Schmidt Maquinas E Ferramentas Ltda - Me</v>
          </cell>
          <cell r="E2439" t="str">
            <v>BR_CNPJ</v>
          </cell>
          <cell r="F2439" t="str">
            <v>05.078.408/0001-08</v>
          </cell>
        </row>
        <row r="2440">
          <cell r="A2440">
            <v>32413</v>
          </cell>
          <cell r="B2440" t="str">
            <v>CORPORATION</v>
          </cell>
          <cell r="C2440" t="str">
            <v>Ferrari Maquinas E Ferramentas Ltda - Epp</v>
          </cell>
          <cell r="D2440" t="str">
            <v>Ferrari Maquinas E Ferramentas Ltda - Epp</v>
          </cell>
          <cell r="E2440" t="str">
            <v>BR_CNPJ</v>
          </cell>
          <cell r="F2440" t="str">
            <v>39.358.478/0001-23</v>
          </cell>
        </row>
        <row r="2441">
          <cell r="A2441">
            <v>32415</v>
          </cell>
          <cell r="B2441" t="str">
            <v>CORPORATION</v>
          </cell>
          <cell r="C2441" t="str">
            <v>Luis Henrique De Carvalho Ambrozio &amp; Cia Ltda</v>
          </cell>
          <cell r="D2441" t="str">
            <v>Casa Dos Parafusos Sao Jose</v>
          </cell>
          <cell r="E2441" t="str">
            <v>BR_CNPJ</v>
          </cell>
          <cell r="F2441" t="str">
            <v>18.092.725/0001-12</v>
          </cell>
          <cell r="G2441" t="str">
            <v>CASA DOS PARAFUSOS SAO JOSE</v>
          </cell>
        </row>
        <row r="2442">
          <cell r="A2442">
            <v>32416</v>
          </cell>
          <cell r="B2442" t="str">
            <v>CORPORATION</v>
          </cell>
          <cell r="C2442" t="str">
            <v>Sp Comercio De Ferramentas Ltda</v>
          </cell>
          <cell r="D2442" t="str">
            <v>Ferramentas Sao Paulo</v>
          </cell>
          <cell r="E2442" t="str">
            <v>BR_CNPJ</v>
          </cell>
          <cell r="F2442" t="str">
            <v>96.788.658/0001-89</v>
          </cell>
        </row>
        <row r="2443">
          <cell r="A2443">
            <v>32417</v>
          </cell>
          <cell r="B2443" t="str">
            <v>CORPORATION</v>
          </cell>
          <cell r="C2443" t="str">
            <v>Bogas Comercio E Distribuidora De Pecas Ltda</v>
          </cell>
          <cell r="D2443" t="str">
            <v>Bogas Parafusos</v>
          </cell>
          <cell r="E2443" t="str">
            <v>BR_CNPJ</v>
          </cell>
          <cell r="F2443" t="str">
            <v>04.078.543/0001-82</v>
          </cell>
        </row>
        <row r="2444">
          <cell r="A2444">
            <v>32422</v>
          </cell>
          <cell r="B2444" t="str">
            <v>CORPORATION</v>
          </cell>
          <cell r="C2444" t="str">
            <v>A Poderoza Maquinas E Ferragens Ltda - Epp</v>
          </cell>
          <cell r="D2444" t="str">
            <v>A Poderoza</v>
          </cell>
          <cell r="E2444" t="str">
            <v>BR_CNPJ</v>
          </cell>
          <cell r="F2444" t="str">
            <v>30.614.721/0001-52</v>
          </cell>
        </row>
        <row r="2445">
          <cell r="A2445">
            <v>32423</v>
          </cell>
          <cell r="B2445" t="str">
            <v>CORPORATION</v>
          </cell>
          <cell r="C2445" t="str">
            <v>Weldingpro Montagens Industriais Ltda</v>
          </cell>
          <cell r="D2445" t="str">
            <v>Weldingpro Solucoes Industriais</v>
          </cell>
          <cell r="E2445" t="str">
            <v>BR_CNPJ</v>
          </cell>
          <cell r="F2445" t="str">
            <v>29.273.555/0001-99</v>
          </cell>
        </row>
        <row r="2446">
          <cell r="A2446">
            <v>32427</v>
          </cell>
          <cell r="B2446" t="str">
            <v>CORPORATION</v>
          </cell>
          <cell r="C2446" t="str">
            <v>Cris Construcoes Ltda</v>
          </cell>
          <cell r="D2446" t="str">
            <v>Cris Construcoes</v>
          </cell>
          <cell r="E2446" t="str">
            <v>BR_CNPJ</v>
          </cell>
          <cell r="F2446" t="str">
            <v>18.562.463/0001-02</v>
          </cell>
        </row>
        <row r="2447">
          <cell r="A2447">
            <v>32428</v>
          </cell>
          <cell r="B2447" t="str">
            <v>CORPORATION</v>
          </cell>
          <cell r="C2447" t="str">
            <v>A Camargo &amp; Cia Ltda</v>
          </cell>
          <cell r="D2447" t="str">
            <v>A Camargo</v>
          </cell>
          <cell r="E2447" t="str">
            <v>BR_CNPJ</v>
          </cell>
          <cell r="F2447" t="str">
            <v>01.561.794/0001-25</v>
          </cell>
        </row>
        <row r="2448">
          <cell r="A2448">
            <v>32431</v>
          </cell>
          <cell r="B2448" t="str">
            <v>CORPORATION</v>
          </cell>
          <cell r="C2448" t="str">
            <v>A. Couto &amp; Filhos Ltda Epp</v>
          </cell>
          <cell r="D2448" t="str">
            <v>A Prancheta Ferragens E Ferramentas</v>
          </cell>
          <cell r="E2448" t="str">
            <v>BR_CNPJ</v>
          </cell>
          <cell r="F2448" t="str">
            <v>05.102.702/0001-08</v>
          </cell>
        </row>
        <row r="2449">
          <cell r="A2449">
            <v>32436</v>
          </cell>
          <cell r="B2449" t="str">
            <v>CORPORATION</v>
          </cell>
          <cell r="C2449" t="str">
            <v>Maxi Solda Ltda</v>
          </cell>
          <cell r="D2449" t="str">
            <v>Maxi Solda</v>
          </cell>
          <cell r="E2449" t="str">
            <v>BR_CNPJ</v>
          </cell>
          <cell r="F2449" t="str">
            <v>03.251.108/0001-45</v>
          </cell>
        </row>
        <row r="2450">
          <cell r="A2450">
            <v>32441</v>
          </cell>
          <cell r="B2450" t="str">
            <v>CORPORATION</v>
          </cell>
          <cell r="C2450" t="str">
            <v>Fibrasnet Sp Ltda</v>
          </cell>
          <cell r="D2450" t="str">
            <v>Fibrasnet</v>
          </cell>
          <cell r="E2450" t="str">
            <v>BR_CNPJ</v>
          </cell>
          <cell r="F2450" t="str">
            <v>35.729.386/0001-51</v>
          </cell>
        </row>
        <row r="2451">
          <cell r="A2451">
            <v>32442</v>
          </cell>
          <cell r="B2451" t="str">
            <v>CORPORATION</v>
          </cell>
          <cell r="C2451" t="str">
            <v>Suasolda Comercio E Tecnologia Em Soldagem Ltda</v>
          </cell>
          <cell r="D2451" t="str">
            <v>Suasolda</v>
          </cell>
          <cell r="E2451" t="str">
            <v>BR_CNPJ</v>
          </cell>
          <cell r="F2451" t="str">
            <v>03.391.468/0001-42</v>
          </cell>
        </row>
        <row r="2452">
          <cell r="A2452">
            <v>32443</v>
          </cell>
          <cell r="B2452" t="str">
            <v>CORPORATION</v>
          </cell>
          <cell r="C2452" t="str">
            <v>A.L. Materiais Para Irrigacao, Maquinas E Ferragens Ltda - Epp</v>
          </cell>
          <cell r="D2452" t="str">
            <v>Irrigasolo</v>
          </cell>
          <cell r="E2452" t="str">
            <v>BR_CNPJ</v>
          </cell>
          <cell r="F2452" t="str">
            <v>04.913.404/0001-27</v>
          </cell>
        </row>
        <row r="2453">
          <cell r="A2453">
            <v>32444</v>
          </cell>
          <cell r="B2453" t="str">
            <v>CORPORATION</v>
          </cell>
          <cell r="C2453" t="str">
            <v>A Osten E Cia Ltda - Me</v>
          </cell>
          <cell r="D2453" t="str">
            <v>Casa Osten</v>
          </cell>
          <cell r="E2453" t="str">
            <v>BR_CNPJ</v>
          </cell>
          <cell r="F2453" t="str">
            <v>76.494.525/0001-92</v>
          </cell>
        </row>
        <row r="2454">
          <cell r="A2454">
            <v>32446</v>
          </cell>
          <cell r="B2454" t="str">
            <v>CORPORATION</v>
          </cell>
          <cell r="C2454" t="str">
            <v>Domingos Eduardo Nogueira E Cia Ltda</v>
          </cell>
          <cell r="D2454" t="str">
            <v>Central Ferramentas</v>
          </cell>
          <cell r="E2454" t="str">
            <v>BR_CNPJ</v>
          </cell>
          <cell r="F2454" t="str">
            <v>01.503.435/0001-11</v>
          </cell>
        </row>
        <row r="2455">
          <cell r="A2455">
            <v>32448</v>
          </cell>
          <cell r="B2455" t="str">
            <v>CORPORATION</v>
          </cell>
          <cell r="C2455" t="str">
            <v>Samir Materiais De Construcao Ltda - Me</v>
          </cell>
          <cell r="D2455" t="str">
            <v>Samir Materiais De Construcao</v>
          </cell>
          <cell r="E2455" t="str">
            <v>BR_CNPJ</v>
          </cell>
          <cell r="F2455" t="str">
            <v>11.306.023/0001-45</v>
          </cell>
        </row>
        <row r="2456">
          <cell r="A2456">
            <v>32450</v>
          </cell>
          <cell r="B2456" t="str">
            <v>CORPORATION</v>
          </cell>
          <cell r="C2456" t="str">
            <v>Rh Comercio De Materiais De Construcao Ltda - Epp</v>
          </cell>
          <cell r="D2456" t="str">
            <v>Rh Materiais De Construcao</v>
          </cell>
          <cell r="E2456" t="str">
            <v>BR_CNPJ</v>
          </cell>
          <cell r="F2456" t="str">
            <v>04.585.012/0001-86</v>
          </cell>
        </row>
        <row r="2457">
          <cell r="A2457">
            <v>32452</v>
          </cell>
          <cell r="B2457" t="str">
            <v>CORPORATION</v>
          </cell>
          <cell r="C2457" t="str">
            <v>Jundifix Eletrica Hidraulica E Suprimentos Industriais Ltda</v>
          </cell>
          <cell r="D2457" t="str">
            <v>Jundifix</v>
          </cell>
          <cell r="E2457" t="str">
            <v>BR_CNPJ</v>
          </cell>
          <cell r="F2457" t="str">
            <v>27.069.489/0001-04</v>
          </cell>
        </row>
        <row r="2458">
          <cell r="A2458">
            <v>32453</v>
          </cell>
          <cell r="B2458" t="str">
            <v>CORPORATION</v>
          </cell>
          <cell r="C2458" t="str">
            <v>Motoplan Maquinas E Ferramentas Ltda - Me</v>
          </cell>
          <cell r="D2458" t="str">
            <v>Motoplan</v>
          </cell>
          <cell r="E2458" t="str">
            <v>BR_CNPJ</v>
          </cell>
          <cell r="F2458" t="str">
            <v>77.659.423/0001-42</v>
          </cell>
        </row>
        <row r="2459">
          <cell r="A2459">
            <v>32455</v>
          </cell>
          <cell r="B2459" t="str">
            <v>CORPORATION</v>
          </cell>
          <cell r="C2459" t="str">
            <v>Hn Ferramentas E Material Eletrico Ltda</v>
          </cell>
          <cell r="D2459" t="str">
            <v>Hn Ferramentas E Material Eletrico</v>
          </cell>
          <cell r="E2459" t="str">
            <v>BR_CNPJ</v>
          </cell>
          <cell r="F2459" t="str">
            <v>23.583.051/0001-99</v>
          </cell>
        </row>
        <row r="2460">
          <cell r="A2460">
            <v>32456</v>
          </cell>
          <cell r="B2460" t="str">
            <v>CORPORATION</v>
          </cell>
          <cell r="C2460" t="str">
            <v>Guga Material De Construcao Ltda Me</v>
          </cell>
          <cell r="D2460" t="str">
            <v>Guga Material De Construcao</v>
          </cell>
          <cell r="E2460" t="str">
            <v>BR_CNPJ</v>
          </cell>
          <cell r="F2460" t="str">
            <v>05.164.760/0001-58</v>
          </cell>
        </row>
        <row r="2461">
          <cell r="A2461">
            <v>32459</v>
          </cell>
          <cell r="B2461" t="str">
            <v>CORPORATION</v>
          </cell>
          <cell r="C2461" t="str">
            <v>Aramaq Maquinas E Ferramentas Ltda - Me</v>
          </cell>
          <cell r="D2461" t="str">
            <v>Aramaq Maquinas E Ferramentas Ltda - Me</v>
          </cell>
          <cell r="E2461" t="str">
            <v>BR_CNPJ</v>
          </cell>
          <cell r="F2461" t="str">
            <v>08.923.018/0001-77</v>
          </cell>
        </row>
        <row r="2462">
          <cell r="A2462">
            <v>32462</v>
          </cell>
          <cell r="B2462" t="str">
            <v>CORPORATION</v>
          </cell>
          <cell r="C2462" t="str">
            <v>Isomont Comercio Aco E Ferragens Ltda - Me</v>
          </cell>
          <cell r="D2462" t="str">
            <v>Casa Das Mangueiras Tropical</v>
          </cell>
          <cell r="E2462" t="str">
            <v>BR_CNPJ</v>
          </cell>
          <cell r="F2462" t="str">
            <v>08.584.503/0003-25</v>
          </cell>
        </row>
        <row r="2463">
          <cell r="A2463">
            <v>32465</v>
          </cell>
          <cell r="B2463" t="str">
            <v>CORPORATION</v>
          </cell>
          <cell r="C2463" t="str">
            <v>Chiareli Comercio De Ferramentas Ltda - Epp</v>
          </cell>
          <cell r="D2463" t="str">
            <v>Chiarelli Ferramentas</v>
          </cell>
          <cell r="E2463" t="str">
            <v>BR_CNPJ</v>
          </cell>
          <cell r="F2463" t="str">
            <v>81.095.168/0001-20</v>
          </cell>
        </row>
        <row r="2464">
          <cell r="A2464">
            <v>32467</v>
          </cell>
          <cell r="B2464" t="str">
            <v>CORPORATION</v>
          </cell>
          <cell r="C2464" t="str">
            <v>De Santis Comercial Ltda</v>
          </cell>
          <cell r="D2464" t="str">
            <v>De Santis</v>
          </cell>
          <cell r="E2464" t="str">
            <v>BR_CNPJ</v>
          </cell>
          <cell r="F2464" t="str">
            <v>67.501.429/0003-03</v>
          </cell>
          <cell r="G2464" t="str">
            <v>DE SANTIS</v>
          </cell>
        </row>
        <row r="2465">
          <cell r="A2465">
            <v>32468</v>
          </cell>
          <cell r="B2465" t="str">
            <v>CORPORATION</v>
          </cell>
          <cell r="C2465" t="str">
            <v>Comercial Terra Boa Ltda - Me</v>
          </cell>
          <cell r="D2465" t="str">
            <v>Comercial Terra Boa</v>
          </cell>
          <cell r="E2465" t="str">
            <v>BR_CNPJ</v>
          </cell>
          <cell r="F2465" t="str">
            <v>03.872.667/0003-34</v>
          </cell>
        </row>
        <row r="2466">
          <cell r="A2466">
            <v>32469</v>
          </cell>
          <cell r="B2466" t="str">
            <v>CORPORATION</v>
          </cell>
          <cell r="C2466" t="str">
            <v>Eutox - Materiais Para Manutencao Industrial Eireli</v>
          </cell>
          <cell r="D2466" t="str">
            <v>Eutox</v>
          </cell>
          <cell r="E2466" t="str">
            <v>BR_CNPJ</v>
          </cell>
          <cell r="F2466" t="str">
            <v>43.076.361/0001-24</v>
          </cell>
          <cell r="G2466" t="str">
            <v>EUTOX</v>
          </cell>
        </row>
        <row r="2467">
          <cell r="A2467">
            <v>32470</v>
          </cell>
          <cell r="B2467" t="str">
            <v>CORPORATION</v>
          </cell>
          <cell r="C2467" t="str">
            <v>J.L.G Materiais De Construcao E Ferragens Ltda - Me</v>
          </cell>
          <cell r="D2467" t="str">
            <v>J.L.G Materiais De Construcao E Ferragens Ltda - Me</v>
          </cell>
          <cell r="E2467" t="str">
            <v>BR_CNPJ</v>
          </cell>
          <cell r="F2467" t="str">
            <v>07.931.899/0001-05</v>
          </cell>
        </row>
        <row r="2468">
          <cell r="A2468">
            <v>32473</v>
          </cell>
          <cell r="B2468" t="str">
            <v>CORPORATION</v>
          </cell>
          <cell r="C2468" t="str">
            <v>Construcon Materiais De Construcao Ltda</v>
          </cell>
          <cell r="D2468" t="str">
            <v>Construcon Materiais De Construcao Ltda</v>
          </cell>
          <cell r="E2468" t="str">
            <v>BR_CNPJ</v>
          </cell>
          <cell r="F2468" t="str">
            <v>00.471.578/0002-07</v>
          </cell>
        </row>
        <row r="2469">
          <cell r="A2469">
            <v>32476</v>
          </cell>
          <cell r="B2469" t="str">
            <v>CORPORATION</v>
          </cell>
          <cell r="C2469" t="str">
            <v>Construhess Materiais De Construcao Ltda - Me</v>
          </cell>
          <cell r="D2469" t="str">
            <v>Construhess</v>
          </cell>
          <cell r="E2469" t="str">
            <v>BR_CNPJ</v>
          </cell>
          <cell r="F2469" t="str">
            <v>03.722.715/0001-46</v>
          </cell>
        </row>
        <row r="2470">
          <cell r="A2470">
            <v>32477</v>
          </cell>
          <cell r="B2470" t="str">
            <v>CORPORATION</v>
          </cell>
          <cell r="C2470" t="str">
            <v>Timtech Solucoes</v>
          </cell>
          <cell r="D2470" t="str">
            <v>L Da R Silva Comerciante Varejista</v>
          </cell>
          <cell r="E2470" t="str">
            <v>BR_CNPJ</v>
          </cell>
          <cell r="F2470" t="str">
            <v>29.756.700/0001-92</v>
          </cell>
        </row>
        <row r="2471">
          <cell r="A2471">
            <v>32479</v>
          </cell>
          <cell r="B2471" t="str">
            <v>CORPORATION</v>
          </cell>
          <cell r="C2471" t="str">
            <v>Enio Maquinas E Ferramentas Ltda - Me</v>
          </cell>
          <cell r="D2471" t="str">
            <v>Enio Maquinas E Ferramentas</v>
          </cell>
          <cell r="E2471" t="str">
            <v>BR_CNPJ</v>
          </cell>
          <cell r="F2471" t="str">
            <v>10.845.116/0001-85</v>
          </cell>
        </row>
        <row r="2472">
          <cell r="A2472">
            <v>32481</v>
          </cell>
          <cell r="B2472" t="str">
            <v>CORPORATION</v>
          </cell>
          <cell r="C2472" t="str">
            <v>A Ferragista Comercio De Maquinas E Ferramentas Eireli</v>
          </cell>
          <cell r="D2472" t="str">
            <v>A Ferragista Atacarejo</v>
          </cell>
          <cell r="E2472" t="str">
            <v>BR_CNPJ</v>
          </cell>
          <cell r="F2472" t="str">
            <v>29.928.575/0001-50</v>
          </cell>
        </row>
        <row r="2473">
          <cell r="A2473">
            <v>32482</v>
          </cell>
          <cell r="B2473" t="str">
            <v>CORPORATION</v>
          </cell>
          <cell r="C2473" t="str">
            <v>Mathechris Material De Construcao Ltda - Me</v>
          </cell>
          <cell r="D2473" t="str">
            <v>Mathechris Material De Construcao Ltda - Me</v>
          </cell>
          <cell r="E2473" t="str">
            <v>BR_CNPJ</v>
          </cell>
          <cell r="F2473" t="str">
            <v>04.066.316/0001-37</v>
          </cell>
        </row>
        <row r="2474">
          <cell r="A2474">
            <v>32483</v>
          </cell>
          <cell r="B2474" t="str">
            <v>CORPORATION</v>
          </cell>
          <cell r="C2474" t="str">
            <v>Jba Comercio De Ferragens E Ferramentas Ltda</v>
          </cell>
          <cell r="D2474" t="str">
            <v>Jba</v>
          </cell>
          <cell r="E2474" t="str">
            <v>BR_CNPJ</v>
          </cell>
          <cell r="F2474" t="str">
            <v>22.575.862/0001-85</v>
          </cell>
        </row>
        <row r="2475">
          <cell r="A2475">
            <v>32484</v>
          </cell>
          <cell r="B2475" t="str">
            <v>CORPORATION</v>
          </cell>
          <cell r="C2475" t="str">
            <v>Kruger Comercio De Materiais De Construcao Ltda - Epp</v>
          </cell>
          <cell r="D2475" t="str">
            <v>Kruger Ferragens E Materiais</v>
          </cell>
          <cell r="E2475" t="str">
            <v>BR_CNPJ</v>
          </cell>
          <cell r="F2475" t="str">
            <v>00.702.891/0001-28</v>
          </cell>
        </row>
        <row r="2476">
          <cell r="A2476">
            <v>32486</v>
          </cell>
          <cell r="B2476" t="str">
            <v>CORPORATION</v>
          </cell>
          <cell r="C2476" t="str">
            <v>Veratoni Materiais De Construcao Ltda</v>
          </cell>
          <cell r="D2476" t="str">
            <v>Veratoni Materiais De Construcao Ltda</v>
          </cell>
          <cell r="E2476" t="str">
            <v>BR_CNPJ</v>
          </cell>
          <cell r="F2476" t="str">
            <v>00.899.154/0001-67</v>
          </cell>
        </row>
        <row r="2477">
          <cell r="A2477">
            <v>32487</v>
          </cell>
          <cell r="B2477" t="str">
            <v>CORPORATION</v>
          </cell>
          <cell r="C2477" t="str">
            <v>Gomes Rezende Equipamentos De Solda Ltda</v>
          </cell>
          <cell r="D2477" t="str">
            <v>Gomes Rezende Equipamentos De Solda Ltda</v>
          </cell>
          <cell r="E2477" t="str">
            <v>BR_CNPJ</v>
          </cell>
          <cell r="F2477" t="str">
            <v>00.505.087/0001-59</v>
          </cell>
        </row>
        <row r="2478">
          <cell r="A2478">
            <v>32489</v>
          </cell>
          <cell r="B2478" t="str">
            <v>CORPORATION</v>
          </cell>
          <cell r="C2478" t="str">
            <v>Ej Ferragens Ltda - Epp</v>
          </cell>
          <cell r="D2478" t="str">
            <v>Casa Das Fechaduras</v>
          </cell>
          <cell r="E2478" t="str">
            <v>BR_CNPJ</v>
          </cell>
          <cell r="F2478" t="str">
            <v>07.452.213/0001-01</v>
          </cell>
        </row>
        <row r="2479">
          <cell r="A2479">
            <v>32492</v>
          </cell>
          <cell r="B2479" t="str">
            <v>CORPORATION</v>
          </cell>
          <cell r="C2479" t="str">
            <v>Ferragens Utraforte Ltda - Me</v>
          </cell>
          <cell r="D2479" t="str">
            <v>Ferragens Utraforte</v>
          </cell>
          <cell r="E2479" t="str">
            <v>BR_CNPJ</v>
          </cell>
          <cell r="F2479" t="str">
            <v>07.169.734/0001-48</v>
          </cell>
        </row>
        <row r="2480">
          <cell r="A2480">
            <v>32495</v>
          </cell>
          <cell r="B2480" t="str">
            <v>CORPORATION</v>
          </cell>
          <cell r="C2480" t="str">
            <v>Ferragista Capital Ltda - Me</v>
          </cell>
          <cell r="D2480" t="str">
            <v>Casa Nova Capital</v>
          </cell>
          <cell r="E2480" t="str">
            <v>BR_CNPJ</v>
          </cell>
          <cell r="F2480" t="str">
            <v>08.605.945/0001-49</v>
          </cell>
        </row>
        <row r="2481">
          <cell r="A2481">
            <v>32496</v>
          </cell>
          <cell r="B2481" t="str">
            <v>CORPORATION</v>
          </cell>
          <cell r="C2481" t="str">
            <v>Ferrasoldas Comercio E Representacoes Ltda</v>
          </cell>
          <cell r="D2481" t="str">
            <v>Ferrasoldas</v>
          </cell>
          <cell r="E2481" t="str">
            <v>BR_CNPJ</v>
          </cell>
          <cell r="F2481" t="str">
            <v>09.297.620/0001-09</v>
          </cell>
        </row>
        <row r="2482">
          <cell r="A2482">
            <v>32498</v>
          </cell>
          <cell r="B2482" t="str">
            <v>CORPORATION</v>
          </cell>
          <cell r="C2482" t="str">
            <v>Ferragista Souza Ltda - Me</v>
          </cell>
          <cell r="D2482" t="str">
            <v>Ferragista Souza</v>
          </cell>
          <cell r="E2482" t="str">
            <v>BR_CNPJ</v>
          </cell>
          <cell r="F2482" t="str">
            <v>26.433.797/0001-04</v>
          </cell>
        </row>
        <row r="2483">
          <cell r="A2483">
            <v>32501</v>
          </cell>
          <cell r="B2483" t="str">
            <v>CORPORATION</v>
          </cell>
          <cell r="C2483" t="str">
            <v>Itacarambi Ferramentas Ltda - Epp</v>
          </cell>
          <cell r="D2483" t="str">
            <v>Itacarambi Ferramentas Ltda - Epp</v>
          </cell>
          <cell r="E2483" t="str">
            <v>BR_CNPJ</v>
          </cell>
          <cell r="F2483" t="str">
            <v>01.558.665/0001-88</v>
          </cell>
        </row>
        <row r="2484">
          <cell r="A2484">
            <v>32502</v>
          </cell>
          <cell r="B2484" t="str">
            <v>CORPORATION</v>
          </cell>
          <cell r="C2484" t="str">
            <v>Valoc Locadora De Maquinas Ltda</v>
          </cell>
          <cell r="D2484" t="str">
            <v>Gerais Locadora De Equipamentos</v>
          </cell>
          <cell r="E2484" t="str">
            <v>BR_CNPJ</v>
          </cell>
          <cell r="F2484" t="str">
            <v>04.918.037/0001-54</v>
          </cell>
        </row>
        <row r="2485">
          <cell r="A2485">
            <v>32503</v>
          </cell>
          <cell r="B2485" t="str">
            <v>CORPORATION</v>
          </cell>
          <cell r="C2485" t="str">
            <v>Orla Materiais De Construcao Ltda - Epp</v>
          </cell>
          <cell r="D2485" t="str">
            <v>Orla Materiais De Construcao Ltda - Epp</v>
          </cell>
          <cell r="E2485" t="str">
            <v>BR_CNPJ</v>
          </cell>
          <cell r="F2485" t="str">
            <v>02.294.414/0001-04</v>
          </cell>
        </row>
        <row r="2486">
          <cell r="A2486">
            <v>32505</v>
          </cell>
          <cell r="B2486" t="str">
            <v>CORPORATION</v>
          </cell>
          <cell r="C2486" t="str">
            <v>Visual Ferragens Ltda - Me</v>
          </cell>
          <cell r="D2486" t="str">
            <v>Visual Ferragens</v>
          </cell>
          <cell r="E2486" t="str">
            <v>BR_CNPJ</v>
          </cell>
          <cell r="F2486" t="str">
            <v>04.162.292/0001-10</v>
          </cell>
        </row>
        <row r="2487">
          <cell r="A2487">
            <v>32508</v>
          </cell>
          <cell r="B2487" t="str">
            <v>CORPORATION</v>
          </cell>
          <cell r="C2487" t="str">
            <v>Consoni Materiais De Construcao Ltda - Epp</v>
          </cell>
          <cell r="D2487" t="str">
            <v>Consoni</v>
          </cell>
          <cell r="E2487" t="str">
            <v>BR_CNPJ</v>
          </cell>
          <cell r="F2487" t="str">
            <v>93.786.655/0001-18</v>
          </cell>
        </row>
        <row r="2488">
          <cell r="A2488">
            <v>32511</v>
          </cell>
          <cell r="B2488" t="str">
            <v>CORPORATION</v>
          </cell>
          <cell r="C2488" t="str">
            <v>Buriti Ferragens Ltda - Me</v>
          </cell>
          <cell r="D2488" t="str">
            <v>Buriti Ferragens Ltda - Me</v>
          </cell>
          <cell r="E2488" t="str">
            <v>BR_CNPJ</v>
          </cell>
          <cell r="F2488" t="str">
            <v>13.885.787/0001-68</v>
          </cell>
        </row>
        <row r="2489">
          <cell r="A2489">
            <v>32512</v>
          </cell>
          <cell r="B2489" t="str">
            <v>CORPORATION</v>
          </cell>
          <cell r="C2489" t="str">
            <v>Valdene De Oliveira Sousa Eireli</v>
          </cell>
          <cell r="D2489" t="str">
            <v>Valmak Rolamento, Pecas E Servicos</v>
          </cell>
          <cell r="E2489" t="str">
            <v>BR_CNPJ</v>
          </cell>
          <cell r="F2489" t="str">
            <v>21.041.999/0001-97</v>
          </cell>
        </row>
        <row r="2490">
          <cell r="A2490">
            <v>32514</v>
          </cell>
          <cell r="B2490" t="str">
            <v>CORPORATION</v>
          </cell>
          <cell r="C2490" t="str">
            <v>Comercial 90 Graus Ltda - Me</v>
          </cell>
          <cell r="D2490" t="str">
            <v>Comercial 90 Graus Ltda - Me</v>
          </cell>
          <cell r="E2490" t="str">
            <v>BR_CNPJ</v>
          </cell>
          <cell r="F2490" t="str">
            <v>03.304.541/0001-00</v>
          </cell>
        </row>
        <row r="2491">
          <cell r="A2491">
            <v>32515</v>
          </cell>
          <cell r="B2491" t="str">
            <v>CORPORATION</v>
          </cell>
          <cell r="C2491" t="str">
            <v>Goes, Goes &amp; Passos Ltda</v>
          </cell>
          <cell r="D2491" t="str">
            <v>Deposito Dois Irmaos</v>
          </cell>
          <cell r="E2491" t="str">
            <v>BR_CNPJ</v>
          </cell>
          <cell r="F2491" t="str">
            <v>03.598.338/0001-85</v>
          </cell>
        </row>
        <row r="2492">
          <cell r="A2492">
            <v>32517</v>
          </cell>
          <cell r="B2492" t="str">
            <v>CORPORATION</v>
          </cell>
          <cell r="C2492" t="str">
            <v>K. I. Master Equipamentos Ltda. - Me</v>
          </cell>
          <cell r="D2492" t="str">
            <v>K.I Master Construcoes E Jardinagem</v>
          </cell>
          <cell r="E2492" t="str">
            <v>BR_CNPJ</v>
          </cell>
          <cell r="F2492" t="str">
            <v>10.994.875/0001-00</v>
          </cell>
        </row>
        <row r="2493">
          <cell r="A2493">
            <v>32519</v>
          </cell>
          <cell r="B2493" t="str">
            <v>CORPORATION</v>
          </cell>
          <cell r="C2493" t="str">
            <v>Montanari Materiais Para Construcao Ltda - Epp</v>
          </cell>
          <cell r="D2493" t="str">
            <v>Montanari Materiais Para Construcao Ltda - Epp</v>
          </cell>
          <cell r="E2493" t="str">
            <v>BR_CNPJ</v>
          </cell>
          <cell r="F2493" t="str">
            <v>85.482.933/0001-15</v>
          </cell>
        </row>
        <row r="2494">
          <cell r="A2494">
            <v>32522</v>
          </cell>
          <cell r="B2494" t="str">
            <v>CORPORATION</v>
          </cell>
          <cell r="C2494" t="str">
            <v>Ferragem Af Ltda - Me</v>
          </cell>
          <cell r="D2494" t="str">
            <v>Ferragem Af Ltda - Me</v>
          </cell>
          <cell r="E2494" t="str">
            <v>BR_CNPJ</v>
          </cell>
          <cell r="F2494" t="str">
            <v>04.632.283/0001-45</v>
          </cell>
        </row>
        <row r="2495">
          <cell r="A2495">
            <v>32525</v>
          </cell>
          <cell r="B2495" t="str">
            <v>CORPORATION</v>
          </cell>
          <cell r="C2495" t="str">
            <v>Ferragem Charopen Ltda - Me</v>
          </cell>
          <cell r="D2495" t="str">
            <v>Ferragem Charopen Ltda - Me</v>
          </cell>
          <cell r="E2495" t="str">
            <v>BR_CNPJ</v>
          </cell>
          <cell r="F2495" t="str">
            <v>93.066.504/0001-95</v>
          </cell>
        </row>
        <row r="2496">
          <cell r="A2496">
            <v>32528</v>
          </cell>
          <cell r="B2496" t="str">
            <v>CORPORATION</v>
          </cell>
          <cell r="C2496" t="str">
            <v>Ferragem Santos Ltda. - Me</v>
          </cell>
          <cell r="D2496" t="str">
            <v>Ferragem Santos Ltda. - Me</v>
          </cell>
          <cell r="E2496" t="str">
            <v>BR_CNPJ</v>
          </cell>
          <cell r="F2496" t="str">
            <v>03.249.819/0001-85</v>
          </cell>
        </row>
        <row r="2497">
          <cell r="A2497">
            <v>32531</v>
          </cell>
          <cell r="B2497" t="str">
            <v>CORPORATION</v>
          </cell>
          <cell r="C2497" t="str">
            <v>Equiplanalto Comercio De Maquinas E Equipamentos Ltda. - Me</v>
          </cell>
          <cell r="D2497" t="str">
            <v>Equiplanalto</v>
          </cell>
          <cell r="E2497" t="str">
            <v>BR_CNPJ</v>
          </cell>
          <cell r="F2497" t="str">
            <v>10.512.464/0001-30</v>
          </cell>
        </row>
        <row r="2498">
          <cell r="A2498">
            <v>32534</v>
          </cell>
          <cell r="B2498" t="str">
            <v>CORPORATION</v>
          </cell>
          <cell r="C2498" t="str">
            <v>Leomar Bombas Ltda - Epp</v>
          </cell>
          <cell r="D2498" t="str">
            <v>Leomar Bombas Ltda - Epp</v>
          </cell>
          <cell r="E2498" t="str">
            <v>BR_CNPJ</v>
          </cell>
          <cell r="F2498" t="str">
            <v>07.912.653/0001-96</v>
          </cell>
        </row>
        <row r="2499">
          <cell r="A2499">
            <v>32535</v>
          </cell>
          <cell r="B2499" t="str">
            <v>CORPORATION</v>
          </cell>
          <cell r="C2499" t="str">
            <v>Irafer Acabamentos Lar E Construcao Ltda</v>
          </cell>
          <cell r="D2499" t="str">
            <v>Irafer Acabamentos</v>
          </cell>
          <cell r="E2499" t="str">
            <v>BR_CNPJ</v>
          </cell>
          <cell r="F2499" t="str">
            <v>28.369.875/0001-84</v>
          </cell>
        </row>
        <row r="2500">
          <cell r="A2500">
            <v>32536</v>
          </cell>
          <cell r="B2500" t="str">
            <v>CORPORATION</v>
          </cell>
          <cell r="C2500" t="str">
            <v>Farol Materiais Para Construcao Ltda - Me</v>
          </cell>
          <cell r="D2500" t="str">
            <v>Farol Materiais Para Construcao</v>
          </cell>
          <cell r="E2500" t="str">
            <v>BR_CNPJ</v>
          </cell>
          <cell r="F2500" t="str">
            <v>04.545.267/0001-15</v>
          </cell>
        </row>
        <row r="2501">
          <cell r="A2501">
            <v>32539</v>
          </cell>
          <cell r="B2501" t="str">
            <v>CORPORATION</v>
          </cell>
          <cell r="C2501" t="str">
            <v>Construcal Materiais De Construcao Ltda</v>
          </cell>
          <cell r="D2501" t="str">
            <v>Construcal</v>
          </cell>
          <cell r="E2501" t="str">
            <v>BR_CNPJ</v>
          </cell>
          <cell r="F2501" t="str">
            <v>79.953.584/0001-70</v>
          </cell>
        </row>
        <row r="2502">
          <cell r="A2502">
            <v>32540</v>
          </cell>
          <cell r="B2502" t="str">
            <v>CORPORATION</v>
          </cell>
          <cell r="C2502" t="str">
            <v>Cooperativa Dos Plantadores De Cana Do Estado Sao Paulo</v>
          </cell>
          <cell r="D2502" t="str">
            <v>Coplacana (Bandeirantes)</v>
          </cell>
          <cell r="E2502" t="str">
            <v>BR_CNPJ</v>
          </cell>
          <cell r="F2502" t="str">
            <v>54.366.547/0045-55</v>
          </cell>
          <cell r="G2502" t="str">
            <v>COPLACANA</v>
          </cell>
        </row>
        <row r="2503">
          <cell r="A2503">
            <v>32541</v>
          </cell>
          <cell r="B2503" t="str">
            <v>CORPORATION</v>
          </cell>
          <cell r="C2503" t="str">
            <v>G. Gama Ltda</v>
          </cell>
          <cell r="D2503" t="str">
            <v>Grupo Gama</v>
          </cell>
          <cell r="E2503" t="str">
            <v>BR_CNPJ</v>
          </cell>
          <cell r="F2503" t="str">
            <v>15.479.369/0001-04</v>
          </cell>
        </row>
        <row r="2504">
          <cell r="A2504">
            <v>32542</v>
          </cell>
          <cell r="B2504" t="str">
            <v>CORPORATION</v>
          </cell>
          <cell r="C2504" t="str">
            <v>Ferragem Medianeira Ltda - Me</v>
          </cell>
          <cell r="D2504" t="str">
            <v>Ferragem Medianeira Ltda - Me</v>
          </cell>
          <cell r="E2504" t="str">
            <v>BR_CNPJ</v>
          </cell>
          <cell r="F2504" t="str">
            <v>01.756.987/0001-31</v>
          </cell>
        </row>
        <row r="2505">
          <cell r="A2505">
            <v>32544</v>
          </cell>
          <cell r="B2505" t="str">
            <v>CORPORATION</v>
          </cell>
          <cell r="C2505" t="str">
            <v>Ferragens Danrigo Ltda - Me</v>
          </cell>
          <cell r="D2505" t="str">
            <v>Ferragens Br</v>
          </cell>
          <cell r="E2505" t="str">
            <v>BR_CNPJ</v>
          </cell>
          <cell r="F2505" t="str">
            <v>06.127.529/0001-57</v>
          </cell>
        </row>
        <row r="2506">
          <cell r="A2506">
            <v>32545</v>
          </cell>
          <cell r="B2506" t="str">
            <v>CORPORATION</v>
          </cell>
          <cell r="C2506" t="str">
            <v>Manfer Maquinas E Ferramentas Ltda</v>
          </cell>
          <cell r="D2506" t="str">
            <v>Manfer Maquinas E Ferramentas</v>
          </cell>
          <cell r="E2506" t="str">
            <v>BR_CNPJ</v>
          </cell>
          <cell r="F2506" t="str">
            <v>15.146.575/0001-94</v>
          </cell>
        </row>
        <row r="2507">
          <cell r="A2507">
            <v>32547</v>
          </cell>
          <cell r="B2507" t="str">
            <v>CORPORATION</v>
          </cell>
          <cell r="C2507" t="str">
            <v>Lizot Distribuidora De Ferragens Ltda</v>
          </cell>
          <cell r="D2507" t="str">
            <v>Lizot Distribuidora De Ferragens Ltda</v>
          </cell>
          <cell r="E2507" t="str">
            <v>BR_CNPJ</v>
          </cell>
          <cell r="F2507" t="str">
            <v>90.462.003/0001-30</v>
          </cell>
        </row>
        <row r="2508">
          <cell r="A2508">
            <v>32548</v>
          </cell>
          <cell r="B2508" t="str">
            <v>CORPORATION</v>
          </cell>
          <cell r="C2508" t="str">
            <v>Central Rural Pedregulho Insumos Agropecuarios Ltda</v>
          </cell>
          <cell r="D2508" t="str">
            <v>Central Rural</v>
          </cell>
          <cell r="E2508" t="str">
            <v>BR_CNPJ</v>
          </cell>
          <cell r="F2508" t="str">
            <v>09.221.506/0001-03</v>
          </cell>
        </row>
        <row r="2509">
          <cell r="A2509">
            <v>32550</v>
          </cell>
          <cell r="B2509" t="str">
            <v>CORPORATION</v>
          </cell>
          <cell r="C2509" t="str">
            <v>Ferragens Favaretto Ltda - Me</v>
          </cell>
          <cell r="D2509" t="str">
            <v>Ferragens Favaretto Ltda - Me</v>
          </cell>
          <cell r="E2509" t="str">
            <v>BR_CNPJ</v>
          </cell>
          <cell r="F2509" t="str">
            <v>14.772.561/0001-13</v>
          </cell>
        </row>
        <row r="2510">
          <cell r="A2510">
            <v>32552</v>
          </cell>
          <cell r="B2510" t="str">
            <v>CORPORATION</v>
          </cell>
          <cell r="C2510" t="str">
            <v>Femar Ferragens E Materiais Ltda - Me</v>
          </cell>
          <cell r="D2510" t="str">
            <v>Femar Ferragens E Materiais Ltda - Me</v>
          </cell>
          <cell r="E2510" t="str">
            <v>BR_CNPJ</v>
          </cell>
          <cell r="F2510" t="str">
            <v>97.371.652/0001-74</v>
          </cell>
        </row>
        <row r="2511">
          <cell r="A2511">
            <v>32555</v>
          </cell>
          <cell r="B2511" t="str">
            <v>CORPORATION</v>
          </cell>
          <cell r="C2511" t="str">
            <v>Ferbil Ferragens Bilibio Ltda - Me</v>
          </cell>
          <cell r="D2511" t="str">
            <v>Ferbil Ferragens Bilibio Ltda - Me</v>
          </cell>
          <cell r="E2511" t="str">
            <v>BR_CNPJ</v>
          </cell>
          <cell r="F2511" t="str">
            <v>04.070.437/0001-52</v>
          </cell>
        </row>
        <row r="2512">
          <cell r="A2512">
            <v>32556</v>
          </cell>
          <cell r="B2512" t="str">
            <v>CORPORATION</v>
          </cell>
          <cell r="C2512" t="str">
            <v>Dimaval-Distribuidora De Maq Agricolas Vanco Ltda</v>
          </cell>
          <cell r="D2512" t="str">
            <v>Dimaval</v>
          </cell>
          <cell r="E2512" t="str">
            <v>BR_CNPJ</v>
          </cell>
          <cell r="F2512" t="str">
            <v>53.868.253/0001-48</v>
          </cell>
          <cell r="G2512" t="str">
            <v>DIMAVAL</v>
          </cell>
        </row>
        <row r="2513">
          <cell r="A2513">
            <v>32557</v>
          </cell>
          <cell r="B2513" t="str">
            <v>CORPORATION</v>
          </cell>
          <cell r="C2513" t="str">
            <v>Fergral Ferragem Gral Ltda</v>
          </cell>
          <cell r="D2513" t="str">
            <v>Fergral Ferragem Gral Ltda</v>
          </cell>
          <cell r="E2513" t="str">
            <v>BR_CNPJ</v>
          </cell>
          <cell r="F2513" t="str">
            <v>83.298.299/0002-10</v>
          </cell>
        </row>
        <row r="2514">
          <cell r="A2514">
            <v>32558</v>
          </cell>
          <cell r="B2514" t="str">
            <v>CORPORATION</v>
          </cell>
          <cell r="C2514" t="str">
            <v>Edileuza Gomes Sousa 00497836106</v>
          </cell>
          <cell r="D2514" t="str">
            <v>Ferragista E Utilidades Nossa Casa</v>
          </cell>
          <cell r="E2514" t="str">
            <v>BR_CNPJ</v>
          </cell>
          <cell r="F2514" t="str">
            <v>21.965.279/0001-18</v>
          </cell>
        </row>
        <row r="2515">
          <cell r="A2515">
            <v>32559</v>
          </cell>
          <cell r="B2515" t="str">
            <v>CORPORATION</v>
          </cell>
          <cell r="C2515" t="str">
            <v>Dimaval Virtual Ltda</v>
          </cell>
          <cell r="D2515" t="str">
            <v>Dimaval Virtual</v>
          </cell>
          <cell r="E2515" t="str">
            <v>BR_CNPJ</v>
          </cell>
          <cell r="F2515" t="str">
            <v>17.598.213/0001-60</v>
          </cell>
          <cell r="G2515" t="str">
            <v>DIMAVAL</v>
          </cell>
        </row>
        <row r="2516">
          <cell r="A2516">
            <v>32560</v>
          </cell>
          <cell r="B2516" t="str">
            <v>CORPORATION</v>
          </cell>
          <cell r="C2516" t="str">
            <v>Casa Economica Com De Mat De Construcao Ltda - Me</v>
          </cell>
          <cell r="D2516" t="str">
            <v>Casa Economica</v>
          </cell>
          <cell r="E2516" t="str">
            <v>BR_CNPJ</v>
          </cell>
          <cell r="F2516" t="str">
            <v>79.649.075/0001-58</v>
          </cell>
        </row>
        <row r="2517">
          <cell r="A2517">
            <v>32562</v>
          </cell>
          <cell r="B2517" t="str">
            <v>CORPORATION</v>
          </cell>
          <cell r="C2517" t="str">
            <v>Antonio Carlos Donizete Marques Nhandeara - Me</v>
          </cell>
          <cell r="D2517" t="str">
            <v>Acdm</v>
          </cell>
          <cell r="E2517" t="str">
            <v>BR_CNPJ</v>
          </cell>
          <cell r="F2517" t="str">
            <v>67.827.469/0001-70</v>
          </cell>
        </row>
        <row r="2518">
          <cell r="A2518">
            <v>32565</v>
          </cell>
          <cell r="B2518" t="str">
            <v>CORPORATION</v>
          </cell>
          <cell r="C2518" t="str">
            <v>Utilbras Comercial De Ferragens Limitada - Me</v>
          </cell>
          <cell r="D2518" t="str">
            <v>Brasiluti Comercial De Ferragens Limitada Me</v>
          </cell>
          <cell r="E2518" t="str">
            <v>BR_CNPJ</v>
          </cell>
          <cell r="F2518" t="str">
            <v>01.002.572/0001-72</v>
          </cell>
        </row>
        <row r="2519">
          <cell r="A2519">
            <v>32567</v>
          </cell>
          <cell r="B2519" t="str">
            <v>CORPORATION</v>
          </cell>
          <cell r="C2519" t="str">
            <v>Trevo Material De Construcao Ltda - Me</v>
          </cell>
          <cell r="D2519" t="str">
            <v>Trevo Material De Construcao Ltda - Me</v>
          </cell>
          <cell r="E2519" t="str">
            <v>BR_CNPJ</v>
          </cell>
          <cell r="F2519" t="str">
            <v>82.973.728/0001-64</v>
          </cell>
        </row>
        <row r="2520">
          <cell r="A2520">
            <v>32569</v>
          </cell>
          <cell r="B2520" t="str">
            <v>CORPORATION</v>
          </cell>
          <cell r="C2520" t="str">
            <v>Raposo Ferramentas E Maquinas Ltda</v>
          </cell>
          <cell r="D2520" t="str">
            <v>Raposo Ferramentas E Maquinas</v>
          </cell>
          <cell r="E2520" t="str">
            <v>BR_CNPJ</v>
          </cell>
          <cell r="F2520" t="str">
            <v>69.351.500/0001-74</v>
          </cell>
        </row>
        <row r="2521">
          <cell r="A2521">
            <v>32570</v>
          </cell>
          <cell r="B2521" t="str">
            <v>CORPORATION</v>
          </cell>
          <cell r="C2521" t="str">
            <v>Ferdan Comercio De Ferragens E Ferramentas Ltda - Epp</v>
          </cell>
          <cell r="D2521" t="str">
            <v>Ferdan Comercio De Ferragens E Ferramentas Ltda - Epp</v>
          </cell>
          <cell r="E2521" t="str">
            <v>BR_CNPJ</v>
          </cell>
          <cell r="F2521" t="str">
            <v>09.127.670/0001-48</v>
          </cell>
        </row>
        <row r="2522">
          <cell r="A2522">
            <v>32572</v>
          </cell>
          <cell r="B2522" t="str">
            <v>CORPORATION</v>
          </cell>
          <cell r="C2522" t="str">
            <v>Sabrafer Comercio De Abrasivos Ltda</v>
          </cell>
          <cell r="D2522" t="str">
            <v>Sabra - Solucoes Em Superficies</v>
          </cell>
          <cell r="E2522" t="str">
            <v>BR_CNPJ</v>
          </cell>
          <cell r="F2522" t="str">
            <v>06.001.197/0001-60</v>
          </cell>
        </row>
        <row r="2523">
          <cell r="A2523">
            <v>32573</v>
          </cell>
          <cell r="B2523" t="str">
            <v>CORPORATION</v>
          </cell>
          <cell r="C2523" t="str">
            <v>Comercio De Ferragens Juazeiro Ltda - Epp</v>
          </cell>
          <cell r="D2523" t="str">
            <v>Comercio De Ferragens Juazeiro Ltda - Epp</v>
          </cell>
          <cell r="E2523" t="str">
            <v>BR_CNPJ</v>
          </cell>
          <cell r="F2523" t="str">
            <v>07.830.334/0001-31</v>
          </cell>
        </row>
        <row r="2524">
          <cell r="A2524">
            <v>32576</v>
          </cell>
          <cell r="B2524" t="str">
            <v>CORPORATION</v>
          </cell>
          <cell r="C2524" t="str">
            <v>Farcass-Comercio De Maquinas Ltda - Me</v>
          </cell>
          <cell r="D2524" t="str">
            <v>Farcass-Comercio De Maquinas Ltda - Me</v>
          </cell>
          <cell r="E2524" t="str">
            <v>BR_CNPJ</v>
          </cell>
          <cell r="F2524" t="str">
            <v>00.708.144/0001-05</v>
          </cell>
        </row>
        <row r="2525">
          <cell r="A2525">
            <v>32578</v>
          </cell>
          <cell r="B2525" t="str">
            <v>CORPORATION</v>
          </cell>
          <cell r="C2525" t="str">
            <v>Sombrisul Equipamentos Para Supermercados Ltda</v>
          </cell>
          <cell r="D2525" t="str">
            <v>Sombrisul</v>
          </cell>
          <cell r="E2525" t="str">
            <v>BR_CNPJ</v>
          </cell>
          <cell r="F2525" t="str">
            <v>03.033.603/0001-88</v>
          </cell>
        </row>
        <row r="2526">
          <cell r="A2526">
            <v>32579</v>
          </cell>
          <cell r="B2526" t="str">
            <v>CORPORATION</v>
          </cell>
          <cell r="C2526" t="str">
            <v>Casa De Ferragens Renascenca Ltda - Epp</v>
          </cell>
          <cell r="D2526" t="str">
            <v>Casa Renascenca</v>
          </cell>
          <cell r="E2526" t="str">
            <v>BR_CNPJ</v>
          </cell>
          <cell r="F2526" t="str">
            <v>77.345.551/0001-11</v>
          </cell>
        </row>
        <row r="2527">
          <cell r="A2527">
            <v>32580</v>
          </cell>
          <cell r="B2527" t="str">
            <v>CORPORATION</v>
          </cell>
          <cell r="C2527" t="str">
            <v>Distribuidora Renascer Ltda</v>
          </cell>
          <cell r="D2527" t="str">
            <v>Distribuidora Renascer Ltda</v>
          </cell>
          <cell r="E2527" t="str">
            <v>BR_CNPJ</v>
          </cell>
          <cell r="F2527" t="str">
            <v>37.077.561/0001-07</v>
          </cell>
        </row>
        <row r="2528">
          <cell r="A2528">
            <v>32581</v>
          </cell>
          <cell r="B2528" t="str">
            <v>CORPORATION</v>
          </cell>
          <cell r="C2528" t="str">
            <v>Casa Fatima Materiais De Construcao Ltda - Epp</v>
          </cell>
          <cell r="D2528" t="str">
            <v>Casa Fatima</v>
          </cell>
          <cell r="E2528" t="str">
            <v>BR_CNPJ</v>
          </cell>
          <cell r="F2528" t="str">
            <v>77.437.309/0001-78</v>
          </cell>
        </row>
        <row r="2529">
          <cell r="A2529">
            <v>32585</v>
          </cell>
          <cell r="B2529" t="str">
            <v>CORPORATION</v>
          </cell>
          <cell r="C2529" t="str">
            <v>J D Materiais De Construcao Ltda - Me</v>
          </cell>
          <cell r="D2529" t="str">
            <v>Jd Materiais De Construcao</v>
          </cell>
          <cell r="E2529" t="str">
            <v>BR_CNPJ</v>
          </cell>
          <cell r="F2529" t="str">
            <v>63.194.146/0001-35</v>
          </cell>
        </row>
        <row r="2530">
          <cell r="A2530">
            <v>32588</v>
          </cell>
          <cell r="B2530" t="str">
            <v>CORPORATION</v>
          </cell>
          <cell r="C2530" t="str">
            <v>Guefran Comercio De Materiais De Construcao Ltda - Me</v>
          </cell>
          <cell r="D2530" t="str">
            <v>Joao De Barro Materiais De Construcao</v>
          </cell>
          <cell r="E2530" t="str">
            <v>BR_CNPJ</v>
          </cell>
          <cell r="F2530" t="str">
            <v>03.007.310/0001-26</v>
          </cell>
        </row>
        <row r="2531">
          <cell r="A2531">
            <v>32590</v>
          </cell>
          <cell r="B2531" t="str">
            <v>CORPORATION</v>
          </cell>
          <cell r="C2531" t="str">
            <v>Delson Comercio De Maquinas Ltda - Epp</v>
          </cell>
          <cell r="D2531" t="str">
            <v>Delcomaq</v>
          </cell>
          <cell r="E2531" t="str">
            <v>BR_CNPJ</v>
          </cell>
          <cell r="F2531" t="str">
            <v>73.512.030/0001-50</v>
          </cell>
        </row>
        <row r="2532">
          <cell r="A2532">
            <v>32593</v>
          </cell>
          <cell r="B2532" t="str">
            <v>CORPORATION</v>
          </cell>
          <cell r="C2532" t="str">
            <v>Deposito Castelo Ltda - Epp</v>
          </cell>
          <cell r="D2532" t="str">
            <v>Deposito Castelo</v>
          </cell>
          <cell r="E2532" t="str">
            <v>BR_CNPJ</v>
          </cell>
          <cell r="F2532" t="str">
            <v>25.442.773/0001-59</v>
          </cell>
        </row>
        <row r="2533">
          <cell r="A2533">
            <v>32596</v>
          </cell>
          <cell r="B2533" t="str">
            <v>CORPORATION</v>
          </cell>
          <cell r="C2533" t="str">
            <v>Brasferro Com Ind Imp E Exp Ltda</v>
          </cell>
          <cell r="D2533" t="str">
            <v>Brasferro</v>
          </cell>
          <cell r="E2533" t="str">
            <v>BR_CNPJ</v>
          </cell>
          <cell r="F2533" t="str">
            <v>84.054.329/0001-25</v>
          </cell>
          <cell r="G2533" t="str">
            <v>BRASFERRO</v>
          </cell>
        </row>
        <row r="2534">
          <cell r="A2534">
            <v>32601</v>
          </cell>
          <cell r="B2534" t="str">
            <v>CORPORATION</v>
          </cell>
          <cell r="C2534" t="str">
            <v>Cavalheiro Maquinas Ltda - Epp</v>
          </cell>
          <cell r="D2534" t="str">
            <v>Cavalheiro Maquinas</v>
          </cell>
          <cell r="E2534" t="str">
            <v>BR_CNPJ</v>
          </cell>
          <cell r="F2534" t="str">
            <v>09.423.897/0001-30</v>
          </cell>
        </row>
        <row r="2535">
          <cell r="A2535">
            <v>32604</v>
          </cell>
          <cell r="B2535" t="str">
            <v>CORPORATION</v>
          </cell>
          <cell r="C2535" t="str">
            <v>Weiss Comercio De Materiais De Construcao Ltda - Me</v>
          </cell>
          <cell r="D2535" t="str">
            <v>Weiss Comercio De Materiais De Construcao Ltda - Me</v>
          </cell>
          <cell r="E2535" t="str">
            <v>BR_CNPJ</v>
          </cell>
          <cell r="F2535" t="str">
            <v>06.311.234/0001-36</v>
          </cell>
        </row>
        <row r="2536">
          <cell r="A2536">
            <v>32607</v>
          </cell>
          <cell r="B2536" t="str">
            <v>CORPORATION</v>
          </cell>
          <cell r="C2536" t="str">
            <v>E.C. Da Silva &amp; Cia Ltda - Me</v>
          </cell>
          <cell r="D2536" t="str">
            <v>Usi Maquinas</v>
          </cell>
          <cell r="E2536" t="str">
            <v>BR_CNPJ</v>
          </cell>
          <cell r="F2536" t="str">
            <v>02.651.918/0001-26</v>
          </cell>
        </row>
        <row r="2537">
          <cell r="A2537">
            <v>32610</v>
          </cell>
          <cell r="B2537" t="str">
            <v>CORPORATION</v>
          </cell>
          <cell r="C2537" t="str">
            <v>Sirius Ferragens Ltda - Me</v>
          </cell>
          <cell r="D2537" t="str">
            <v>Sirius Ferragens Ltda - Me</v>
          </cell>
          <cell r="E2537" t="str">
            <v>BR_CNPJ</v>
          </cell>
          <cell r="F2537" t="str">
            <v>90.721.648/0001-40</v>
          </cell>
        </row>
        <row r="2538">
          <cell r="A2538">
            <v>32613</v>
          </cell>
          <cell r="B2538" t="str">
            <v>CORPORATION</v>
          </cell>
          <cell r="C2538" t="str">
            <v>Atacadao Dos Parafusos Ltda</v>
          </cell>
          <cell r="D2538" t="str">
            <v>Atacadao Dos Parafusos</v>
          </cell>
          <cell r="E2538" t="str">
            <v>BR_CNPJ</v>
          </cell>
          <cell r="F2538" t="str">
            <v>41.138.298/0001-88</v>
          </cell>
        </row>
        <row r="2539">
          <cell r="A2539">
            <v>32618</v>
          </cell>
          <cell r="B2539" t="str">
            <v>CORPORATION</v>
          </cell>
          <cell r="C2539" t="str">
            <v>Goes Comercio De Materiais Para Construcao Ltda - Me</v>
          </cell>
          <cell r="D2539" t="str">
            <v>Limeira Acessórios</v>
          </cell>
          <cell r="E2539" t="str">
            <v>BR_CNPJ</v>
          </cell>
          <cell r="F2539" t="str">
            <v>02.100.762/0001-95</v>
          </cell>
        </row>
        <row r="2540">
          <cell r="A2540">
            <v>32621</v>
          </cell>
          <cell r="B2540" t="str">
            <v>CORPORATION</v>
          </cell>
          <cell r="C2540" t="str">
            <v>Fortmaq Comercio De Maquinas E Ferramentas Ltda</v>
          </cell>
          <cell r="D2540" t="str">
            <v>Fortmaq Maquinas E Ferramentas</v>
          </cell>
          <cell r="E2540" t="str">
            <v>BR_CNPJ</v>
          </cell>
          <cell r="F2540" t="str">
            <v>46.655.107/0001-79</v>
          </cell>
        </row>
        <row r="2541">
          <cell r="A2541">
            <v>32622</v>
          </cell>
          <cell r="B2541" t="str">
            <v>CORPORATION</v>
          </cell>
          <cell r="C2541" t="str">
            <v>Peruzzo &amp; Filho Ltda - Me</v>
          </cell>
          <cell r="D2541" t="str">
            <v>Peruzzo Materiais De Construção</v>
          </cell>
          <cell r="E2541" t="str">
            <v>BR_CNPJ</v>
          </cell>
          <cell r="F2541" t="str">
            <v>12.957.591/0001-79</v>
          </cell>
        </row>
        <row r="2542">
          <cell r="A2542">
            <v>32624</v>
          </cell>
          <cell r="B2542" t="str">
            <v>CORPORATION</v>
          </cell>
          <cell r="C2542" t="str">
            <v>Dallegrave &amp; Cia Ltda - Me</v>
          </cell>
          <cell r="D2542" t="str">
            <v>Dallegrave &amp; Cia Ltda - Me</v>
          </cell>
          <cell r="E2542" t="str">
            <v>BR_CNPJ</v>
          </cell>
          <cell r="F2542" t="str">
            <v>83.569.590/0001-03</v>
          </cell>
        </row>
        <row r="2543">
          <cell r="A2543">
            <v>32629</v>
          </cell>
          <cell r="B2543" t="str">
            <v>CORPORATION</v>
          </cell>
          <cell r="C2543" t="str">
            <v>Melo &amp; Cia Ltda</v>
          </cell>
          <cell r="D2543" t="str">
            <v>Aratocan</v>
          </cell>
          <cell r="E2543" t="str">
            <v>BR_CNPJ</v>
          </cell>
          <cell r="F2543" t="str">
            <v>21.806.132/0001-85</v>
          </cell>
        </row>
        <row r="2544">
          <cell r="A2544">
            <v>32630</v>
          </cell>
          <cell r="B2544" t="str">
            <v>CORPORATION</v>
          </cell>
          <cell r="C2544" t="str">
            <v>Motoceva Pecas Para Tratores E Implementos Ltda - Epp</v>
          </cell>
          <cell r="D2544" t="str">
            <v>Motoceva Pecas Para Tratores E Implementos Ltda - Epp</v>
          </cell>
          <cell r="E2544" t="str">
            <v>BR_CNPJ</v>
          </cell>
          <cell r="F2544" t="str">
            <v>03.851.839/0001-21</v>
          </cell>
        </row>
        <row r="2545">
          <cell r="A2545">
            <v>32633</v>
          </cell>
          <cell r="B2545" t="str">
            <v>CORPORATION</v>
          </cell>
          <cell r="C2545" t="str">
            <v>Concretelha Industria De Telhas Ltda - Me</v>
          </cell>
          <cell r="D2545" t="str">
            <v>Concretelha Industria De Telhas Ltda - Me</v>
          </cell>
          <cell r="E2545" t="str">
            <v>BR_CNPJ</v>
          </cell>
          <cell r="F2545" t="str">
            <v>07.795.692/0001-50</v>
          </cell>
        </row>
        <row r="2546">
          <cell r="A2546">
            <v>32634</v>
          </cell>
          <cell r="B2546" t="str">
            <v>CORPORATION</v>
          </cell>
          <cell r="C2546" t="str">
            <v>Massoni Comercial Ltda</v>
          </cell>
          <cell r="D2546" t="str">
            <v>Massoni Ferramentas E Parafusos (Tec Par)</v>
          </cell>
          <cell r="E2546" t="str">
            <v>BR_CNPJ</v>
          </cell>
          <cell r="F2546" t="str">
            <v>48.120.871/0001-75</v>
          </cell>
          <cell r="G2546" t="str">
            <v>TEC PAR</v>
          </cell>
        </row>
        <row r="2547">
          <cell r="A2547">
            <v>32639</v>
          </cell>
          <cell r="B2547" t="str">
            <v>CORPORATION</v>
          </cell>
          <cell r="C2547" t="str">
            <v>M Coradin Materiais De Construcao Ltda - Me</v>
          </cell>
          <cell r="D2547" t="str">
            <v>M Coradin Materiais De Construcao Ltda - Me</v>
          </cell>
          <cell r="E2547" t="str">
            <v>BR_CNPJ</v>
          </cell>
          <cell r="F2547" t="str">
            <v>85.084.804/0001-79</v>
          </cell>
        </row>
        <row r="2548">
          <cell r="A2548">
            <v>32642</v>
          </cell>
          <cell r="B2548" t="str">
            <v>CORPORATION</v>
          </cell>
          <cell r="C2548" t="str">
            <v>D S De Mendonca - Casa Pronta Materiais Para Construcao - Me</v>
          </cell>
          <cell r="D2548" t="str">
            <v>Casa Pronta Materiais Para Construcao</v>
          </cell>
          <cell r="E2548" t="str">
            <v>BR_CNPJ</v>
          </cell>
          <cell r="F2548" t="str">
            <v>07.611.737/0001-90</v>
          </cell>
        </row>
        <row r="2549">
          <cell r="A2549">
            <v>32644</v>
          </cell>
          <cell r="B2549" t="str">
            <v>CORPORATION</v>
          </cell>
          <cell r="C2549" t="str">
            <v>Construtem Materiais Para Construcao Ltda - Me</v>
          </cell>
          <cell r="D2549" t="str">
            <v>Construtem Materiais Para Construcao Ltda - Me</v>
          </cell>
          <cell r="E2549" t="str">
            <v>BR_CNPJ</v>
          </cell>
          <cell r="F2549" t="str">
            <v>14.815.342/0001-74</v>
          </cell>
        </row>
        <row r="2550">
          <cell r="A2550">
            <v>32646</v>
          </cell>
          <cell r="B2550" t="str">
            <v>CORPORATION</v>
          </cell>
          <cell r="C2550" t="str">
            <v>P. R. Laureano &amp; Cia Ltda - Epp</v>
          </cell>
          <cell r="D2550" t="str">
            <v>Comacom Materiais De Construção</v>
          </cell>
          <cell r="E2550" t="str">
            <v>BR_CNPJ</v>
          </cell>
          <cell r="F2550" t="str">
            <v>03.346.824/0001-06</v>
          </cell>
        </row>
        <row r="2551">
          <cell r="A2551">
            <v>32647</v>
          </cell>
          <cell r="B2551" t="str">
            <v>CORPORATION</v>
          </cell>
          <cell r="C2551" t="str">
            <v>Agroparts Comercio De Correias E Mangueiras Ltda</v>
          </cell>
          <cell r="D2551" t="str">
            <v>Agroparts</v>
          </cell>
          <cell r="E2551" t="str">
            <v>BR_CNPJ</v>
          </cell>
          <cell r="F2551" t="str">
            <v>37.105.515/0001-66</v>
          </cell>
        </row>
        <row r="2552">
          <cell r="A2552">
            <v>32648</v>
          </cell>
          <cell r="B2552" t="str">
            <v>CORPORATION</v>
          </cell>
          <cell r="C2552" t="str">
            <v>Frontsoldas Comercio De Pecas Para Soldagem Ltda</v>
          </cell>
          <cell r="D2552" t="str">
            <v>Frontsoldas Consumiveis Para Soldagem</v>
          </cell>
          <cell r="E2552" t="str">
            <v>BR_CNPJ</v>
          </cell>
          <cell r="F2552" t="str">
            <v>44.748.735/0001-73</v>
          </cell>
        </row>
        <row r="2553">
          <cell r="A2553">
            <v>32649</v>
          </cell>
          <cell r="B2553" t="str">
            <v>CORPORATION</v>
          </cell>
          <cell r="C2553" t="str">
            <v>A. P. M. Behrens - Comercio De Maquinas E Equipamentos - Me</v>
          </cell>
          <cell r="D2553" t="str">
            <v>Teutomaq</v>
          </cell>
          <cell r="E2553" t="str">
            <v>BR_CNPJ</v>
          </cell>
          <cell r="F2553" t="str">
            <v>16.778.289/0001-04</v>
          </cell>
        </row>
        <row r="2554">
          <cell r="A2554">
            <v>32652</v>
          </cell>
          <cell r="B2554" t="str">
            <v>CORPORATION</v>
          </cell>
          <cell r="C2554" t="str">
            <v>V V S Comercio De Materiais De Construcao Ltda - Me</v>
          </cell>
          <cell r="D2554" t="str">
            <v>V V S Comercio De Materiais De Construcao Ltda - Me</v>
          </cell>
          <cell r="E2554" t="str">
            <v>BR_CNPJ</v>
          </cell>
          <cell r="F2554" t="str">
            <v>01.917.050/0001-09</v>
          </cell>
        </row>
        <row r="2555">
          <cell r="A2555">
            <v>32655</v>
          </cell>
          <cell r="B2555" t="str">
            <v>CORPORATION</v>
          </cell>
          <cell r="C2555" t="str">
            <v>Instalcampo Materiais Eletricos Ltda - Me</v>
          </cell>
          <cell r="D2555" t="str">
            <v>Instalcampo</v>
          </cell>
          <cell r="E2555" t="str">
            <v>BR_CNPJ</v>
          </cell>
          <cell r="F2555" t="str">
            <v>75.366.138/0001-08</v>
          </cell>
        </row>
        <row r="2556">
          <cell r="A2556">
            <v>32657</v>
          </cell>
          <cell r="B2556" t="str">
            <v>CORPORATION</v>
          </cell>
          <cell r="C2556" t="str">
            <v>N. L. Material De Construcao Ltda - Me</v>
          </cell>
          <cell r="D2556" t="str">
            <v>Constrular Materiais De Construcao</v>
          </cell>
          <cell r="E2556" t="str">
            <v>BR_CNPJ</v>
          </cell>
          <cell r="F2556" t="str">
            <v>02.829.430/0001-46</v>
          </cell>
        </row>
        <row r="2557">
          <cell r="A2557">
            <v>32659</v>
          </cell>
          <cell r="B2557" t="str">
            <v>CORPORATION</v>
          </cell>
          <cell r="C2557" t="str">
            <v>Leucidio Sousa Da Silva 37364719806</v>
          </cell>
          <cell r="D2557" t="str">
            <v>Aleoz.Com</v>
          </cell>
          <cell r="E2557" t="str">
            <v>BR_CNPJ</v>
          </cell>
          <cell r="F2557" t="str">
            <v>37.750.815/0001-06</v>
          </cell>
        </row>
        <row r="2558">
          <cell r="A2558">
            <v>32660</v>
          </cell>
          <cell r="B2558" t="str">
            <v>CORPORATION</v>
          </cell>
          <cell r="C2558" t="str">
            <v>Forte Comercio De Maquinas E Motores Ltda - Me</v>
          </cell>
          <cell r="D2558" t="str">
            <v>Forte Comercio De Maquinas E Motores Ltda - Me</v>
          </cell>
          <cell r="E2558" t="str">
            <v>BR_CNPJ</v>
          </cell>
          <cell r="F2558" t="str">
            <v>10.562.103/0001-07</v>
          </cell>
        </row>
        <row r="2559">
          <cell r="A2559">
            <v>32663</v>
          </cell>
          <cell r="B2559" t="str">
            <v>CORPORATION</v>
          </cell>
          <cell r="C2559" t="str">
            <v>Ferragista Anicuns Ltda - Epp</v>
          </cell>
          <cell r="D2559" t="str">
            <v>Ferragista Anicuns Ltda - Epp</v>
          </cell>
          <cell r="E2559" t="str">
            <v>BR_CNPJ</v>
          </cell>
          <cell r="F2559" t="str">
            <v>00.063.628/0001-36</v>
          </cell>
        </row>
        <row r="2560">
          <cell r="A2560">
            <v>32666</v>
          </cell>
          <cell r="B2560" t="str">
            <v>CORPORATION</v>
          </cell>
          <cell r="C2560" t="str">
            <v>Verona Materiais De Construcao Ltda</v>
          </cell>
          <cell r="D2560" t="str">
            <v>Verona Materiais De Construcao Ltda</v>
          </cell>
          <cell r="E2560" t="str">
            <v>BR_CNPJ</v>
          </cell>
          <cell r="F2560" t="str">
            <v>08.080.115/0001-45</v>
          </cell>
        </row>
        <row r="2561">
          <cell r="A2561">
            <v>32671</v>
          </cell>
          <cell r="B2561" t="str">
            <v>CORPORATION</v>
          </cell>
          <cell r="C2561" t="str">
            <v>Costa E Diniz Varejo Ltda</v>
          </cell>
          <cell r="D2561" t="str">
            <v>Costa E Diniz Varejo Ltda</v>
          </cell>
          <cell r="E2561" t="str">
            <v>BR_CNPJ</v>
          </cell>
          <cell r="F2561" t="str">
            <v>42.557.194/0001-70</v>
          </cell>
        </row>
        <row r="2562">
          <cell r="A2562">
            <v>32672</v>
          </cell>
          <cell r="B2562" t="str">
            <v>CORPORATION</v>
          </cell>
          <cell r="C2562" t="str">
            <v>Agnos Comercio De Parafusos Ltda</v>
          </cell>
          <cell r="D2562" t="str">
            <v>Circular Parafusos</v>
          </cell>
          <cell r="E2562" t="str">
            <v>BR_CNPJ</v>
          </cell>
          <cell r="F2562" t="str">
            <v>24.877.896/0001-50</v>
          </cell>
        </row>
        <row r="2563">
          <cell r="A2563">
            <v>32675</v>
          </cell>
          <cell r="B2563" t="str">
            <v>CORPORATION</v>
          </cell>
          <cell r="C2563" t="str">
            <v>Materiais De Construcao Fachi Ltda</v>
          </cell>
          <cell r="D2563" t="str">
            <v>Materiais De Construcao Fachi Ltda</v>
          </cell>
          <cell r="E2563" t="str">
            <v>BR_CNPJ</v>
          </cell>
          <cell r="F2563" t="str">
            <v>03.627.964/0001-52</v>
          </cell>
        </row>
        <row r="2564">
          <cell r="A2564">
            <v>32677</v>
          </cell>
          <cell r="B2564" t="str">
            <v>CORPORATION</v>
          </cell>
          <cell r="C2564" t="str">
            <v>Wl Parafusos E Elementos De Fixacao Eireli</v>
          </cell>
          <cell r="D2564" t="str">
            <v>Castelo Dos Parafusos</v>
          </cell>
          <cell r="E2564" t="str">
            <v>BR_CNPJ</v>
          </cell>
          <cell r="F2564" t="str">
            <v>03.991.073/0001-80</v>
          </cell>
        </row>
        <row r="2565">
          <cell r="A2565">
            <v>32681</v>
          </cell>
          <cell r="B2565" t="str">
            <v>CORPORATION</v>
          </cell>
          <cell r="C2565" t="str">
            <v>Fachinello Materiais De Construcao Ltda - Me</v>
          </cell>
          <cell r="D2565" t="str">
            <v>Fachinello Materiais De Construcao Ltda - Me</v>
          </cell>
          <cell r="E2565" t="str">
            <v>BR_CNPJ</v>
          </cell>
          <cell r="F2565" t="str">
            <v>75.993.527/0001-63</v>
          </cell>
        </row>
        <row r="2566">
          <cell r="A2566">
            <v>32684</v>
          </cell>
          <cell r="B2566" t="str">
            <v>CORPORATION</v>
          </cell>
          <cell r="C2566" t="str">
            <v>Ferragens E Tintas Capanema Ltda - Me</v>
          </cell>
          <cell r="D2566" t="str">
            <v>Tintas Norte Sul</v>
          </cell>
          <cell r="E2566" t="str">
            <v>BR_CNPJ</v>
          </cell>
          <cell r="F2566" t="str">
            <v>05.762.047/0001-06</v>
          </cell>
        </row>
        <row r="2567">
          <cell r="A2567">
            <v>32686</v>
          </cell>
          <cell r="B2567" t="str">
            <v>CORPORATION</v>
          </cell>
          <cell r="C2567" t="str">
            <v>Matercon Material De Construcao Ltda - Epp</v>
          </cell>
          <cell r="D2567" t="str">
            <v>Matercon Materiais De Construcao Ltda</v>
          </cell>
          <cell r="E2567" t="str">
            <v>BR_CNPJ</v>
          </cell>
          <cell r="F2567" t="str">
            <v>02.919.632/0001-89</v>
          </cell>
        </row>
        <row r="2568">
          <cell r="A2568">
            <v>32689</v>
          </cell>
          <cell r="B2568" t="str">
            <v>CORPORATION</v>
          </cell>
          <cell r="C2568" t="str">
            <v>Meotti Materiais De Construcao Ltda - Me</v>
          </cell>
          <cell r="D2568" t="str">
            <v>Meotti Materiais De Construcao</v>
          </cell>
          <cell r="E2568" t="str">
            <v>BR_CNPJ</v>
          </cell>
          <cell r="F2568" t="str">
            <v>12.796.328/0001-45</v>
          </cell>
        </row>
        <row r="2569">
          <cell r="A2569">
            <v>32691</v>
          </cell>
          <cell r="B2569" t="str">
            <v>CORPORATION</v>
          </cell>
          <cell r="C2569" t="str">
            <v>Bernadete Brandao Nunes - Epp</v>
          </cell>
          <cell r="D2569" t="str">
            <v>Brandao Soldas E Ferramentas</v>
          </cell>
          <cell r="E2569" t="str">
            <v>BR_CNPJ</v>
          </cell>
          <cell r="F2569" t="str">
            <v>14.798.041/0001-80</v>
          </cell>
        </row>
        <row r="2570">
          <cell r="A2570">
            <v>32692</v>
          </cell>
          <cell r="B2570" t="str">
            <v>CORPORATION</v>
          </cell>
          <cell r="C2570" t="str">
            <v>Jk De Matos Ltda</v>
          </cell>
          <cell r="D2570" t="str">
            <v>Construfaz Eletro-Material De Construcao</v>
          </cell>
          <cell r="E2570" t="str">
            <v>BR_CNPJ</v>
          </cell>
          <cell r="F2570" t="str">
            <v>06.121.947/0001-37</v>
          </cell>
        </row>
        <row r="2571">
          <cell r="A2571">
            <v>32695</v>
          </cell>
          <cell r="B2571" t="str">
            <v>CORPORATION</v>
          </cell>
          <cell r="C2571" t="str">
            <v>Kotovei &amp; Mayorquim Ltda - Me</v>
          </cell>
          <cell r="D2571" t="str">
            <v>Kotovei &amp; Mayorquim</v>
          </cell>
          <cell r="E2571" t="str">
            <v>BR_CNPJ</v>
          </cell>
          <cell r="F2571" t="str">
            <v>97.554.093/0001-38</v>
          </cell>
        </row>
        <row r="2572">
          <cell r="A2572">
            <v>32696</v>
          </cell>
          <cell r="B2572" t="str">
            <v>CORPORATION</v>
          </cell>
          <cell r="C2572" t="str">
            <v>Elza Maria De Oliveira Ltda</v>
          </cell>
          <cell r="D2572" t="str">
            <v>Norte Aco Comercio De Ferro E Aco</v>
          </cell>
          <cell r="E2572" t="str">
            <v>BR_CNPJ</v>
          </cell>
          <cell r="F2572" t="str">
            <v>45.037.513/0001-05</v>
          </cell>
          <cell r="G2572" t="str">
            <v>NORTE AÇO</v>
          </cell>
        </row>
        <row r="2573">
          <cell r="A2573">
            <v>32698</v>
          </cell>
          <cell r="B2573" t="str">
            <v>CORPORATION</v>
          </cell>
          <cell r="C2573" t="str">
            <v>Jovair Alberto De Morais - Me</v>
          </cell>
          <cell r="D2573" t="str">
            <v>Ferragista Morais</v>
          </cell>
          <cell r="E2573" t="str">
            <v>BR_CNPJ</v>
          </cell>
          <cell r="F2573" t="str">
            <v>08.758.555/0001-09</v>
          </cell>
        </row>
        <row r="2574">
          <cell r="A2574">
            <v>32701</v>
          </cell>
          <cell r="B2574" t="str">
            <v>CORPORATION</v>
          </cell>
          <cell r="C2574" t="str">
            <v>Mesquita R C Ferragem Ltda</v>
          </cell>
          <cell r="D2574" t="str">
            <v>Mesquita Ferragem</v>
          </cell>
          <cell r="E2574" t="str">
            <v>BR_CNPJ</v>
          </cell>
          <cell r="F2574" t="str">
            <v>08.496.603/0001-38</v>
          </cell>
        </row>
        <row r="2575">
          <cell r="A2575">
            <v>32705</v>
          </cell>
          <cell r="B2575" t="str">
            <v>CORPORATION</v>
          </cell>
          <cell r="C2575" t="str">
            <v>Imperial Comercio De Parafusos Ferramentas E Maquinas L</v>
          </cell>
          <cell r="D2575" t="str">
            <v>Imperial Ferramentas</v>
          </cell>
          <cell r="E2575" t="str">
            <v>BR_CNPJ</v>
          </cell>
          <cell r="F2575" t="str">
            <v>01.716.186/0001-42</v>
          </cell>
        </row>
        <row r="2576">
          <cell r="A2576">
            <v>32706</v>
          </cell>
          <cell r="B2576" t="str">
            <v>CORPORATION</v>
          </cell>
          <cell r="C2576" t="str">
            <v>Weld Tech Soldas E Abrasivos Ltda</v>
          </cell>
          <cell r="D2576" t="str">
            <v>Weld Tech Soldas E Abrasivos</v>
          </cell>
          <cell r="E2576" t="str">
            <v>BR_CNPJ</v>
          </cell>
          <cell r="F2576" t="str">
            <v>30.257.946/0001-07</v>
          </cell>
        </row>
        <row r="2577">
          <cell r="A2577">
            <v>32707</v>
          </cell>
          <cell r="B2577" t="str">
            <v>CORPORATION</v>
          </cell>
          <cell r="C2577" t="str">
            <v>Oliveira Melo Ferramentas E Abrasivos Ltda - Epp</v>
          </cell>
          <cell r="D2577" t="str">
            <v>Oliveira Melo Ferramentas E Abrasivos Ltda - Epp</v>
          </cell>
          <cell r="E2577" t="str">
            <v>BR_CNPJ</v>
          </cell>
          <cell r="F2577" t="str">
            <v>65.366.452/0001-37</v>
          </cell>
        </row>
        <row r="2578">
          <cell r="A2578">
            <v>32709</v>
          </cell>
          <cell r="B2578" t="str">
            <v>CORPORATION</v>
          </cell>
          <cell r="C2578" t="str">
            <v>Nortao Comercio, Servicos E Construcoes Ltda - Me</v>
          </cell>
          <cell r="D2578" t="str">
            <v>Nortao</v>
          </cell>
          <cell r="E2578" t="str">
            <v>BR_CNPJ</v>
          </cell>
          <cell r="F2578" t="str">
            <v>09.461.527/0001-98</v>
          </cell>
        </row>
        <row r="2579">
          <cell r="A2579">
            <v>32712</v>
          </cell>
          <cell r="B2579" t="str">
            <v>CORPORATION</v>
          </cell>
          <cell r="C2579" t="str">
            <v>Ademaco-Comercio De Materiais De Construcao Ltda - Me</v>
          </cell>
          <cell r="D2579" t="str">
            <v>Ademaco-Comercio De Materiais De Construcao Ltda - Me</v>
          </cell>
          <cell r="E2579" t="str">
            <v>BR_CNPJ</v>
          </cell>
          <cell r="F2579" t="str">
            <v>91.638.528/0001-46</v>
          </cell>
        </row>
        <row r="2580">
          <cell r="A2580">
            <v>32715</v>
          </cell>
          <cell r="B2580" t="str">
            <v>CORPORATION</v>
          </cell>
          <cell r="C2580" t="str">
            <v>Dallegrave Materiais De Construcao Ltda - Me</v>
          </cell>
          <cell r="D2580" t="str">
            <v>Dallegrave Materiais De Construcao Ltda - Me</v>
          </cell>
          <cell r="E2580" t="str">
            <v>BR_CNPJ</v>
          </cell>
          <cell r="F2580" t="str">
            <v>91.165.902/0001-33</v>
          </cell>
        </row>
        <row r="2581">
          <cell r="A2581">
            <v>32718</v>
          </cell>
          <cell r="B2581" t="str">
            <v>CORPORATION</v>
          </cell>
          <cell r="C2581" t="str">
            <v>Abs Bombas Ferramentas E Maquinas Ltda - Me</v>
          </cell>
          <cell r="D2581" t="str">
            <v>Abs Bombas</v>
          </cell>
          <cell r="E2581" t="str">
            <v>BR_CNPJ</v>
          </cell>
          <cell r="F2581" t="str">
            <v>02.825.387/0001-40</v>
          </cell>
        </row>
        <row r="2582">
          <cell r="A2582">
            <v>32720</v>
          </cell>
          <cell r="B2582" t="str">
            <v>CORPORATION</v>
          </cell>
          <cell r="C2582" t="str">
            <v>Fh Indaia Ferragens E Distribuicao Eireli</v>
          </cell>
          <cell r="D2582" t="str">
            <v>Ferragens Indaia</v>
          </cell>
          <cell r="E2582" t="str">
            <v>BR_CNPJ</v>
          </cell>
          <cell r="F2582" t="str">
            <v>35.215.240/0001-98</v>
          </cell>
        </row>
        <row r="2583">
          <cell r="A2583">
            <v>32721</v>
          </cell>
          <cell r="B2583" t="str">
            <v>CORPORATION</v>
          </cell>
          <cell r="C2583" t="str">
            <v>Nadivan - Materiais De Construcao Ltda - Me</v>
          </cell>
          <cell r="D2583" t="str">
            <v>Paglia Materiais De Construcao</v>
          </cell>
          <cell r="E2583" t="str">
            <v>BR_CNPJ</v>
          </cell>
          <cell r="F2583" t="str">
            <v>93.398.717/0001-14</v>
          </cell>
        </row>
        <row r="2584">
          <cell r="A2584">
            <v>32724</v>
          </cell>
          <cell r="B2584" t="str">
            <v>CORPORATION</v>
          </cell>
          <cell r="C2584" t="str">
            <v>Nativa Ferragens E Agropecuaria Ltda - Me</v>
          </cell>
          <cell r="D2584" t="str">
            <v>Nativa Ferragens E Agropecuaria Ltda - Me</v>
          </cell>
          <cell r="E2584" t="str">
            <v>BR_CNPJ</v>
          </cell>
          <cell r="F2584" t="str">
            <v>10.301.097/0001-26</v>
          </cell>
        </row>
        <row r="2585">
          <cell r="A2585">
            <v>32727</v>
          </cell>
          <cell r="B2585" t="str">
            <v>CORPORATION</v>
          </cell>
          <cell r="C2585" t="str">
            <v>Miro Ferramentas &amp; Ferragens Ltda</v>
          </cell>
          <cell r="D2585" t="str">
            <v>Miro Ferramentas &amp; Ferragens Ltda</v>
          </cell>
          <cell r="E2585" t="str">
            <v>BR_CNPJ</v>
          </cell>
          <cell r="F2585" t="str">
            <v>08.814.444/0003-34</v>
          </cell>
        </row>
        <row r="2586">
          <cell r="A2586">
            <v>32730</v>
          </cell>
          <cell r="B2586" t="str">
            <v>CORPORATION</v>
          </cell>
          <cell r="C2586" t="str">
            <v>Kerber Comercio De Material De Construcao Ltda - Me</v>
          </cell>
          <cell r="D2586" t="str">
            <v>Kerber Comercio De Material De Construcao Ltda - Me</v>
          </cell>
          <cell r="E2586" t="str">
            <v>BR_CNPJ</v>
          </cell>
          <cell r="F2586" t="str">
            <v>10.303.777/0001-89</v>
          </cell>
        </row>
        <row r="2587">
          <cell r="A2587">
            <v>32732</v>
          </cell>
          <cell r="B2587" t="str">
            <v>CORPORATION</v>
          </cell>
          <cell r="C2587" t="str">
            <v>Eletro Solda Comercial Ltda</v>
          </cell>
          <cell r="D2587" t="str">
            <v>Eletro Solda</v>
          </cell>
          <cell r="E2587" t="str">
            <v>BR_CNPJ</v>
          </cell>
          <cell r="F2587" t="str">
            <v>38.061.837/0001-13</v>
          </cell>
        </row>
        <row r="2588">
          <cell r="A2588">
            <v>32733</v>
          </cell>
          <cell r="B2588" t="str">
            <v>CORPORATION</v>
          </cell>
          <cell r="C2588" t="str">
            <v>Palma Maquinas E Ferramentas Ltda</v>
          </cell>
          <cell r="D2588" t="str">
            <v>Palma Maquinas E Ferramentas</v>
          </cell>
          <cell r="E2588" t="str">
            <v>BR_CNPJ</v>
          </cell>
          <cell r="F2588" t="str">
            <v>02.683.153/0001-06</v>
          </cell>
          <cell r="G2588" t="str">
            <v>PALMA PE</v>
          </cell>
        </row>
        <row r="2589">
          <cell r="A2589">
            <v>32736</v>
          </cell>
          <cell r="B2589" t="str">
            <v>CORPORATION</v>
          </cell>
          <cell r="C2589" t="str">
            <v>Nautique Gerenciamentos E Representacoes Ltda</v>
          </cell>
          <cell r="D2589" t="str">
            <v>Nautique Solutions</v>
          </cell>
          <cell r="E2589" t="str">
            <v>BR_CNPJ</v>
          </cell>
          <cell r="F2589" t="str">
            <v>19.738.887/0001-48</v>
          </cell>
          <cell r="G2589" t="str">
            <v>NAUTIQUE SOLUTIONS</v>
          </cell>
        </row>
        <row r="2590">
          <cell r="A2590">
            <v>32738</v>
          </cell>
          <cell r="B2590" t="str">
            <v>CORPORATION</v>
          </cell>
          <cell r="C2590" t="str">
            <v>Ferragens Dos Pampas Ltda - Epp</v>
          </cell>
          <cell r="D2590" t="str">
            <v>Ferragens Pampas</v>
          </cell>
          <cell r="E2590" t="str">
            <v>BR_CNPJ</v>
          </cell>
          <cell r="F2590" t="str">
            <v>72.293.871/0001-51</v>
          </cell>
        </row>
        <row r="2591">
          <cell r="A2591">
            <v>32741</v>
          </cell>
          <cell r="B2591" t="str">
            <v>CORPORATION</v>
          </cell>
          <cell r="C2591" t="str">
            <v>Dismafe Distribuidora De Maquinas E Ferramentas S/A</v>
          </cell>
          <cell r="D2591" t="str">
            <v>Dismafe Distribuidora De Maquinas E Ferramentas S/A</v>
          </cell>
          <cell r="E2591" t="str">
            <v>BR_CNPJ</v>
          </cell>
          <cell r="F2591" t="str">
            <v>37.460.888/0006-60</v>
          </cell>
        </row>
        <row r="2592">
          <cell r="A2592">
            <v>32743</v>
          </cell>
          <cell r="B2592" t="str">
            <v>CORPORATION</v>
          </cell>
          <cell r="C2592" t="str">
            <v>Madeiramadeira Comercio Eletronico S/A</v>
          </cell>
          <cell r="D2592" t="str">
            <v>Madeiramadeira</v>
          </cell>
          <cell r="E2592" t="str">
            <v>BR_CNPJ</v>
          </cell>
          <cell r="F2592" t="str">
            <v>10.490.181/0131-13</v>
          </cell>
          <cell r="G2592" t="str">
            <v>MADEIRAMADEIRA</v>
          </cell>
        </row>
        <row r="2593">
          <cell r="A2593">
            <v>32744</v>
          </cell>
          <cell r="B2593" t="str">
            <v>CORPORATION</v>
          </cell>
          <cell r="C2593" t="str">
            <v>Liderr Distribuidora Centro Oeste Ltda</v>
          </cell>
          <cell r="D2593" t="str">
            <v>Liderr Distribuidora Centro Oeste Ltda</v>
          </cell>
          <cell r="E2593" t="str">
            <v>BR_CNPJ</v>
          </cell>
          <cell r="F2593" t="str">
            <v>04.660.615/0001-03</v>
          </cell>
        </row>
        <row r="2594">
          <cell r="A2594">
            <v>32747</v>
          </cell>
          <cell r="B2594" t="str">
            <v>CORPORATION</v>
          </cell>
          <cell r="C2594" t="str">
            <v>G A Silva &amp; Cia Ltda</v>
          </cell>
          <cell r="D2594" t="str">
            <v>Casa Dos Parafusos</v>
          </cell>
          <cell r="E2594" t="str">
            <v>BR_CNPJ</v>
          </cell>
          <cell r="F2594" t="str">
            <v>02.532.281/0011-20</v>
          </cell>
        </row>
        <row r="2595">
          <cell r="A2595">
            <v>32750</v>
          </cell>
          <cell r="B2595" t="str">
            <v>CORPORATION</v>
          </cell>
          <cell r="C2595" t="str">
            <v>Ferman Comercio De Ferramentas Ltda</v>
          </cell>
          <cell r="D2595" t="str">
            <v>Ferman Comercio De Ferramentas Ltda</v>
          </cell>
          <cell r="E2595" t="str">
            <v>BR_CNPJ</v>
          </cell>
          <cell r="F2595" t="str">
            <v>34.034.272/0001-24</v>
          </cell>
        </row>
        <row r="2596">
          <cell r="A2596">
            <v>32753</v>
          </cell>
          <cell r="B2596" t="str">
            <v>CORPORATION</v>
          </cell>
          <cell r="C2596" t="str">
            <v>Joaco Parafusos E Ferramentas Ltda - Epp</v>
          </cell>
          <cell r="D2596" t="str">
            <v>Joaco Parafusos E Ferramentas Ltda - Epp</v>
          </cell>
          <cell r="E2596" t="str">
            <v>BR_CNPJ</v>
          </cell>
          <cell r="F2596" t="str">
            <v>09.611.600/0001-60</v>
          </cell>
        </row>
        <row r="2597">
          <cell r="A2597">
            <v>32756</v>
          </cell>
          <cell r="B2597" t="str">
            <v>CORPORATION</v>
          </cell>
          <cell r="C2597" t="str">
            <v>B J S Materiais De Construcao Ltda. - Epp</v>
          </cell>
          <cell r="D2597" t="str">
            <v>B J S Materiais De Construcao Ltda. - Epp</v>
          </cell>
          <cell r="E2597" t="str">
            <v>BR_CNPJ</v>
          </cell>
          <cell r="F2597" t="str">
            <v>07.730.586/0001-99</v>
          </cell>
        </row>
        <row r="2598">
          <cell r="A2598">
            <v>32759</v>
          </cell>
          <cell r="B2598" t="str">
            <v>CORPORATION</v>
          </cell>
          <cell r="C2598" t="str">
            <v>Valle Materiais De Construcao Ltda - Me</v>
          </cell>
          <cell r="D2598" t="str">
            <v>Valle Materiais De Construcao Ltda</v>
          </cell>
          <cell r="E2598" t="str">
            <v>BR_CNPJ</v>
          </cell>
          <cell r="F2598" t="str">
            <v>12.504.217/0001-18</v>
          </cell>
        </row>
        <row r="2599">
          <cell r="A2599">
            <v>32760</v>
          </cell>
          <cell r="B2599" t="str">
            <v>CORPORATION</v>
          </cell>
          <cell r="C2599" t="str">
            <v>Triaca Maquinas E Ferramentas Ltda</v>
          </cell>
          <cell r="D2599" t="str">
            <v>Triaca Maquinas E Ferramentas</v>
          </cell>
          <cell r="E2599" t="str">
            <v>BR_CNPJ</v>
          </cell>
          <cell r="F2599" t="str">
            <v>39.287.820/0001-41</v>
          </cell>
          <cell r="G2599" t="str">
            <v>TRIACA</v>
          </cell>
        </row>
        <row r="2600">
          <cell r="A2600">
            <v>32762</v>
          </cell>
          <cell r="B2600" t="str">
            <v>CORPORATION</v>
          </cell>
          <cell r="C2600" t="str">
            <v>J M Comercio De Maquinas Acessorios Agricolas Ltda - Me</v>
          </cell>
          <cell r="D2600" t="str">
            <v>J M Comercio De Maquinas Acessorios Agricolas Ltda - Me</v>
          </cell>
          <cell r="E2600" t="str">
            <v>BR_CNPJ</v>
          </cell>
          <cell r="F2600" t="str">
            <v>12.791.929/0001-65</v>
          </cell>
        </row>
        <row r="2601">
          <cell r="A2601">
            <v>32765</v>
          </cell>
          <cell r="B2601" t="str">
            <v>CORPORATION</v>
          </cell>
          <cell r="C2601" t="str">
            <v>J R Acessorios Para Serralheria Ltda</v>
          </cell>
          <cell r="D2601" t="str">
            <v>J R Acessorios Para Serralheria</v>
          </cell>
          <cell r="E2601" t="str">
            <v>BR_CNPJ</v>
          </cell>
          <cell r="F2601" t="str">
            <v>07.034.414/0001-80</v>
          </cell>
        </row>
        <row r="2602">
          <cell r="A2602">
            <v>32768</v>
          </cell>
          <cell r="B2602" t="str">
            <v>CORPORATION</v>
          </cell>
          <cell r="C2602" t="str">
            <v>Acofer Industria E Comercio Ltda</v>
          </cell>
          <cell r="D2602" t="str">
            <v>Acofer Industria E Comercio Ltda</v>
          </cell>
          <cell r="E2602" t="str">
            <v>BR_CNPJ</v>
          </cell>
          <cell r="F2602" t="str">
            <v>03.989.217/0028-84</v>
          </cell>
        </row>
        <row r="2603">
          <cell r="A2603">
            <v>32769</v>
          </cell>
          <cell r="B2603" t="str">
            <v>CORPORATION</v>
          </cell>
          <cell r="C2603" t="str">
            <v>G C Sant Anna Comercio De Produtos Em Geral Ltda</v>
          </cell>
          <cell r="D2603" t="str">
            <v>Jg Ferramentass</v>
          </cell>
          <cell r="E2603" t="str">
            <v>BR_CNPJ</v>
          </cell>
          <cell r="F2603" t="str">
            <v>43.715.013/0001-50</v>
          </cell>
        </row>
        <row r="2604">
          <cell r="A2604">
            <v>32773</v>
          </cell>
          <cell r="B2604" t="str">
            <v>CORPORATION</v>
          </cell>
          <cell r="C2604" t="str">
            <v>Hiper Mercado Gotardo Ltda</v>
          </cell>
          <cell r="D2604" t="str">
            <v>Hiper Mercado Gotardo Ltda</v>
          </cell>
          <cell r="E2604" t="str">
            <v>BR_CNPJ</v>
          </cell>
          <cell r="F2604" t="str">
            <v>01.339.514/0003-09</v>
          </cell>
        </row>
        <row r="2605">
          <cell r="A2605">
            <v>32776</v>
          </cell>
          <cell r="B2605" t="str">
            <v>CORPORATION</v>
          </cell>
          <cell r="C2605" t="str">
            <v>Ferragem Felipe Ltda - Me</v>
          </cell>
          <cell r="D2605" t="str">
            <v>Ferragem Felipe Ltda - Me</v>
          </cell>
          <cell r="E2605" t="str">
            <v>BR_CNPJ</v>
          </cell>
          <cell r="F2605" t="str">
            <v>79.483.152/0001-42</v>
          </cell>
        </row>
        <row r="2606">
          <cell r="A2606">
            <v>32777</v>
          </cell>
          <cell r="B2606" t="str">
            <v>CORPORATION</v>
          </cell>
          <cell r="C2606" t="str">
            <v>Eletridal Comercio De Materiais E Equipamentos E Servico Eireli</v>
          </cell>
          <cell r="D2606" t="str">
            <v>Eletridal Instalacoes</v>
          </cell>
          <cell r="E2606" t="str">
            <v>BR_CNPJ</v>
          </cell>
          <cell r="F2606" t="str">
            <v>14.770.109/0001-12</v>
          </cell>
        </row>
        <row r="2607">
          <cell r="A2607">
            <v>32779</v>
          </cell>
          <cell r="B2607" t="str">
            <v>CORPORATION</v>
          </cell>
          <cell r="C2607" t="str">
            <v>Protefil Protecao E Ferramentas Industriais Ltda</v>
          </cell>
          <cell r="D2607" t="str">
            <v>Protefil Protecao E Ferramentas Industriais Ltda</v>
          </cell>
          <cell r="E2607" t="str">
            <v>BR_CNPJ</v>
          </cell>
          <cell r="F2607" t="str">
            <v>16.487.878/0001-33</v>
          </cell>
        </row>
        <row r="2608">
          <cell r="A2608">
            <v>32782</v>
          </cell>
          <cell r="B2608" t="str">
            <v>CORPORATION</v>
          </cell>
          <cell r="C2608" t="str">
            <v>Eletrica Gaucho Ltda</v>
          </cell>
          <cell r="D2608" t="str">
            <v>Eletrica Gaucho Ltda</v>
          </cell>
          <cell r="E2608" t="str">
            <v>BR_CNPJ</v>
          </cell>
          <cell r="F2608" t="str">
            <v>14.346.985/0001-16</v>
          </cell>
        </row>
        <row r="2609">
          <cell r="A2609">
            <v>32784</v>
          </cell>
          <cell r="B2609" t="str">
            <v>CORPORATION</v>
          </cell>
          <cell r="C2609" t="str">
            <v>Eletro Ferragens Oriente Ltda - Me</v>
          </cell>
          <cell r="D2609" t="str">
            <v>Eletro Ferragens Oriente Ltda - Me</v>
          </cell>
          <cell r="E2609" t="str">
            <v>BR_CNPJ</v>
          </cell>
          <cell r="F2609" t="str">
            <v>26.014.829/0001-37</v>
          </cell>
        </row>
        <row r="2610">
          <cell r="A2610">
            <v>32787</v>
          </cell>
          <cell r="B2610" t="str">
            <v>CORPORATION</v>
          </cell>
          <cell r="C2610" t="str">
            <v>Coremal - Comercial De Maceio Ltda - Me</v>
          </cell>
          <cell r="D2610" t="str">
            <v>Coremal - Comercial De Maceio Ltda - Me</v>
          </cell>
          <cell r="E2610" t="str">
            <v>BR_CNPJ</v>
          </cell>
          <cell r="F2610" t="str">
            <v>08.510.885/0001-80</v>
          </cell>
        </row>
        <row r="2611">
          <cell r="A2611">
            <v>32791</v>
          </cell>
          <cell r="B2611" t="str">
            <v>CORPORATION</v>
          </cell>
          <cell r="C2611" t="str">
            <v>Eletro Ferragens Rio Verde Ltda - Epp</v>
          </cell>
          <cell r="D2611" t="str">
            <v>Eletro Rio Verde</v>
          </cell>
          <cell r="E2611" t="str">
            <v>BR_CNPJ</v>
          </cell>
          <cell r="F2611" t="str">
            <v>01.047.149/0001-99</v>
          </cell>
        </row>
        <row r="2612">
          <cell r="A2612">
            <v>32793</v>
          </cell>
          <cell r="B2612" t="str">
            <v>CORPORATION</v>
          </cell>
          <cell r="C2612" t="str">
            <v>Motormaquinas Service Ltda - Epp</v>
          </cell>
          <cell r="D2612" t="str">
            <v>Motormaquinas Service Ltda - Epp</v>
          </cell>
          <cell r="E2612" t="str">
            <v>BR_CNPJ</v>
          </cell>
          <cell r="F2612" t="str">
            <v>11.095.527/0001-63</v>
          </cell>
        </row>
        <row r="2613">
          <cell r="A2613">
            <v>32794</v>
          </cell>
          <cell r="B2613" t="str">
            <v>CORPORATION</v>
          </cell>
          <cell r="C2613" t="str">
            <v>Rhino Epis, Ferramentas E Produtos Industriais Ltda</v>
          </cell>
          <cell r="D2613" t="str">
            <v>Rhino Epis</v>
          </cell>
          <cell r="E2613" t="str">
            <v>BR_CNPJ</v>
          </cell>
          <cell r="F2613" t="str">
            <v>17.702.775/0001-01</v>
          </cell>
        </row>
        <row r="2614">
          <cell r="A2614">
            <v>32796</v>
          </cell>
          <cell r="B2614" t="str">
            <v>CORPORATION</v>
          </cell>
          <cell r="C2614" t="str">
            <v>Materiais De Construcao Estrela Ltda - Me</v>
          </cell>
          <cell r="D2614" t="str">
            <v>Materiais De Construcao Estrela Ltda - Me</v>
          </cell>
          <cell r="E2614" t="str">
            <v>BR_CNPJ</v>
          </cell>
          <cell r="F2614" t="str">
            <v>03.714.718/0001-38</v>
          </cell>
        </row>
        <row r="2615">
          <cell r="A2615">
            <v>32799</v>
          </cell>
          <cell r="B2615" t="str">
            <v>CORPORATION</v>
          </cell>
          <cell r="C2615" t="str">
            <v>Megatecnica Empreendimentos Ltda - Me</v>
          </cell>
          <cell r="D2615" t="str">
            <v>Megatecnica Empreendimentos Ltda - Me</v>
          </cell>
          <cell r="E2615" t="str">
            <v>BR_CNPJ</v>
          </cell>
          <cell r="F2615" t="str">
            <v>09.165.315/0001-63</v>
          </cell>
        </row>
        <row r="2616">
          <cell r="A2616">
            <v>32800</v>
          </cell>
          <cell r="B2616" t="str">
            <v>CORPORATION</v>
          </cell>
          <cell r="C2616" t="str">
            <v>Industrial Locacao De Maquinas E Equipamentos Ltda</v>
          </cell>
          <cell r="D2616" t="str">
            <v>Industrial Locacao</v>
          </cell>
          <cell r="E2616" t="str">
            <v>BR_CNPJ</v>
          </cell>
          <cell r="F2616" t="str">
            <v>51.045.885/0001-86</v>
          </cell>
        </row>
        <row r="2617">
          <cell r="A2617">
            <v>32801</v>
          </cell>
          <cell r="B2617" t="str">
            <v>CORPORATION</v>
          </cell>
          <cell r="C2617" t="str">
            <v>Crj Multi Utilidades Ltda</v>
          </cell>
          <cell r="D2617" t="str">
            <v>Agro Novidades</v>
          </cell>
          <cell r="E2617" t="str">
            <v>BR_CNPJ</v>
          </cell>
          <cell r="F2617" t="str">
            <v>33.298.036/0001-52</v>
          </cell>
        </row>
        <row r="2618">
          <cell r="A2618">
            <v>32802</v>
          </cell>
          <cell r="B2618" t="str">
            <v>CORPORATION</v>
          </cell>
          <cell r="C2618" t="str">
            <v>Danielle Andrade Nogueira - Me</v>
          </cell>
          <cell r="D2618" t="str">
            <v>Emil Eletromecanica</v>
          </cell>
          <cell r="E2618" t="str">
            <v>BR_CNPJ</v>
          </cell>
          <cell r="F2618" t="str">
            <v>07.784.400/0001-84</v>
          </cell>
        </row>
        <row r="2619">
          <cell r="A2619">
            <v>32804</v>
          </cell>
          <cell r="B2619" t="str">
            <v>CORPORATION</v>
          </cell>
          <cell r="C2619" t="str">
            <v>Comercial De Ferramentas E Produtos Industriais Ltda</v>
          </cell>
          <cell r="D2619" t="str">
            <v>Conferol</v>
          </cell>
          <cell r="E2619" t="str">
            <v>BR_CNPJ</v>
          </cell>
          <cell r="F2619" t="str">
            <v>02.435.456/0001-00</v>
          </cell>
        </row>
        <row r="2620">
          <cell r="A2620">
            <v>32807</v>
          </cell>
          <cell r="B2620" t="str">
            <v>CORPORATION</v>
          </cell>
          <cell r="C2620" t="str">
            <v>Ferramentas Gerais Comercio E Importacao De Ferramentas E Maquinas Ltda</v>
          </cell>
          <cell r="D2620" t="str">
            <v>Ferramentas Gerais Comercio E Importacao De Ferramentas E Maquinas Ltda</v>
          </cell>
          <cell r="E2620" t="str">
            <v>BR_CNPJ</v>
          </cell>
          <cell r="F2620" t="str">
            <v>92.664.028/0038-33</v>
          </cell>
        </row>
        <row r="2621">
          <cell r="A2621">
            <v>32808</v>
          </cell>
          <cell r="B2621" t="str">
            <v>CORPORATION</v>
          </cell>
          <cell r="C2621" t="str">
            <v>V. P. De Andrade Comercio E Servico</v>
          </cell>
          <cell r="D2621" t="str">
            <v>V. P. De Andrade Comercio E Servico</v>
          </cell>
          <cell r="E2621" t="str">
            <v>BR_CNPJ</v>
          </cell>
          <cell r="F2621" t="str">
            <v>12.258.669/0001-67</v>
          </cell>
        </row>
        <row r="2622">
          <cell r="A2622">
            <v>32811</v>
          </cell>
          <cell r="B2622" t="str">
            <v>CORPORATION</v>
          </cell>
          <cell r="C2622" t="str">
            <v>L J Guerra E Cia Ltda</v>
          </cell>
          <cell r="D2622" t="str">
            <v>Casa Das Correias</v>
          </cell>
          <cell r="E2622" t="str">
            <v>BR_CNPJ</v>
          </cell>
          <cell r="F2622" t="str">
            <v>04.501.136/0001-36</v>
          </cell>
        </row>
        <row r="2623">
          <cell r="A2623">
            <v>32815</v>
          </cell>
          <cell r="B2623" t="str">
            <v>CORPORATION</v>
          </cell>
          <cell r="C2623" t="str">
            <v>Renata Cristina Vieira Camilo 10153130601</v>
          </cell>
          <cell r="D2623" t="str">
            <v>Carvalho Ferramentas Multimarcas</v>
          </cell>
          <cell r="E2623" t="str">
            <v>BR_CNPJ</v>
          </cell>
          <cell r="F2623" t="str">
            <v>43.674.560/0001-34</v>
          </cell>
        </row>
        <row r="2624">
          <cell r="A2624">
            <v>32816</v>
          </cell>
          <cell r="B2624" t="str">
            <v>CORPORATION</v>
          </cell>
          <cell r="C2624" t="str">
            <v>Motonorte Motores E Maquinas Do Norte Ltda</v>
          </cell>
          <cell r="D2624" t="str">
            <v>Motonorte Motores E Maquinas Do Norte Ltda</v>
          </cell>
          <cell r="E2624" t="str">
            <v>BR_CNPJ</v>
          </cell>
          <cell r="F2624" t="str">
            <v>05.447.263/0001-67</v>
          </cell>
        </row>
        <row r="2625">
          <cell r="A2625">
            <v>32818</v>
          </cell>
          <cell r="B2625" t="str">
            <v>CORPORATION</v>
          </cell>
          <cell r="C2625" t="str">
            <v>Sotemaq Sociedade Tecnica De Maquinas Ltda</v>
          </cell>
          <cell r="D2625" t="str">
            <v>Sotemaq Sociedade Tecnica De Maquinas Ltda</v>
          </cell>
          <cell r="E2625" t="str">
            <v>BR_CNPJ</v>
          </cell>
          <cell r="F2625" t="str">
            <v>23.028.541/0001-23</v>
          </cell>
        </row>
        <row r="2626">
          <cell r="A2626">
            <v>32822</v>
          </cell>
          <cell r="B2626" t="str">
            <v>CORPORATION</v>
          </cell>
          <cell r="C2626" t="str">
            <v>J. U. A. Lobato - Epp</v>
          </cell>
          <cell r="D2626" t="str">
            <v>Comercial Lobrito</v>
          </cell>
          <cell r="E2626" t="str">
            <v>BR_CNPJ</v>
          </cell>
          <cell r="F2626" t="str">
            <v>34.936.211/0001-52</v>
          </cell>
        </row>
        <row r="2627">
          <cell r="A2627">
            <v>32824</v>
          </cell>
          <cell r="B2627" t="str">
            <v>CORPORATION</v>
          </cell>
          <cell r="C2627" t="str">
            <v>Ferrari Parafusos Ltda</v>
          </cell>
          <cell r="D2627" t="str">
            <v>Ferrari Parafusos</v>
          </cell>
          <cell r="E2627" t="str">
            <v>BR_CNPJ</v>
          </cell>
          <cell r="F2627" t="str">
            <v>54.214.507/0001-77</v>
          </cell>
        </row>
        <row r="2628">
          <cell r="A2628">
            <v>32825</v>
          </cell>
          <cell r="B2628" t="str">
            <v>CORPORATION</v>
          </cell>
          <cell r="C2628" t="str">
            <v>Abelardo Barbosa &amp; Cia Ltda</v>
          </cell>
          <cell r="D2628" t="str">
            <v>Abelardo Barbosa &amp; Cia Ltda</v>
          </cell>
          <cell r="E2628" t="str">
            <v>BR_CNPJ</v>
          </cell>
          <cell r="F2628" t="str">
            <v>15.173.800/0001-81</v>
          </cell>
        </row>
        <row r="2629">
          <cell r="A2629">
            <v>32827</v>
          </cell>
          <cell r="B2629" t="str">
            <v>CORPORATION</v>
          </cell>
          <cell r="C2629" t="str">
            <v>Comperaco Comercio E Industria De Ferro E Aco Ltda</v>
          </cell>
          <cell r="D2629" t="str">
            <v>Comperaco Comercio E Industria De Ferro E Aco Ltda</v>
          </cell>
          <cell r="E2629" t="str">
            <v>BR_CNPJ</v>
          </cell>
          <cell r="F2629" t="str">
            <v>00.363.548/0002-87</v>
          </cell>
        </row>
        <row r="2630">
          <cell r="A2630">
            <v>32830</v>
          </cell>
          <cell r="B2630" t="str">
            <v>CORPORATION</v>
          </cell>
          <cell r="C2630" t="str">
            <v>Ferramental Maquinas Ferramentas E Parafusos Ltda</v>
          </cell>
          <cell r="D2630" t="str">
            <v>A Ferramental</v>
          </cell>
          <cell r="E2630" t="str">
            <v>BR_CNPJ</v>
          </cell>
          <cell r="F2630" t="str">
            <v>02.991.409/0001-42</v>
          </cell>
        </row>
        <row r="2631">
          <cell r="A2631">
            <v>32834</v>
          </cell>
          <cell r="B2631" t="str">
            <v>CORPORATION</v>
          </cell>
          <cell r="C2631" t="str">
            <v>Heron Soldas E Maquinas Ltda</v>
          </cell>
          <cell r="D2631" t="str">
            <v>Maquine Soldas (Heron)</v>
          </cell>
          <cell r="E2631" t="str">
            <v>BR_CNPJ</v>
          </cell>
          <cell r="F2631" t="str">
            <v>05.916.400/0001-65</v>
          </cell>
          <cell r="G2631" t="str">
            <v>MAQUINE</v>
          </cell>
        </row>
        <row r="2632">
          <cell r="A2632">
            <v>32840</v>
          </cell>
          <cell r="B2632" t="str">
            <v>CORPORATION</v>
          </cell>
          <cell r="C2632" t="str">
            <v>Zatta Empreendimentos Comerciais Ltda - Epp</v>
          </cell>
          <cell r="D2632" t="str">
            <v>Zatta Empreendimentos Comerciais Ltda - Epp</v>
          </cell>
          <cell r="E2632" t="str">
            <v>BR_CNPJ</v>
          </cell>
          <cell r="F2632" t="str">
            <v>13.461.744/0001-55</v>
          </cell>
        </row>
        <row r="2633">
          <cell r="A2633">
            <v>32843</v>
          </cell>
          <cell r="B2633" t="str">
            <v>CORPORATION</v>
          </cell>
          <cell r="C2633" t="str">
            <v>Kaeme Maquinas E Motores Ltda - Epp</v>
          </cell>
          <cell r="D2633" t="str">
            <v>Kaeme Maquinas E Motores Ltda - Epp</v>
          </cell>
          <cell r="E2633" t="str">
            <v>BR_CNPJ</v>
          </cell>
          <cell r="F2633" t="str">
            <v>02.146.311/0001-99</v>
          </cell>
        </row>
        <row r="2634">
          <cell r="A2634">
            <v>32845</v>
          </cell>
          <cell r="B2634" t="str">
            <v>CORPORATION</v>
          </cell>
          <cell r="C2634" t="str">
            <v>Sertao Comercial De Equipamentos Ltda</v>
          </cell>
          <cell r="D2634" t="str">
            <v>Sertao Comercial De Equipamentos Ltda</v>
          </cell>
          <cell r="E2634" t="str">
            <v>BR_CNPJ</v>
          </cell>
          <cell r="F2634" t="str">
            <v>15.459.431/0010-89</v>
          </cell>
        </row>
        <row r="2635">
          <cell r="A2635">
            <v>32848</v>
          </cell>
          <cell r="B2635" t="str">
            <v>CORPORATION</v>
          </cell>
          <cell r="C2635" t="str">
            <v>G.M.J. Comercial Ltda - Me</v>
          </cell>
          <cell r="D2635" t="str">
            <v>G.M.J. Comercial Ltda - Me</v>
          </cell>
          <cell r="E2635" t="str">
            <v>BR_CNPJ</v>
          </cell>
          <cell r="F2635" t="str">
            <v>65.323.537/0001-38</v>
          </cell>
        </row>
        <row r="2636">
          <cell r="A2636">
            <v>32851</v>
          </cell>
          <cell r="B2636" t="str">
            <v>CORPORATION</v>
          </cell>
          <cell r="C2636" t="str">
            <v>Alcino Pavei Materiais De Construcao Ltda - Me</v>
          </cell>
          <cell r="D2636" t="str">
            <v>Alcino Pavei Materiais De Construcao Ltda - Me</v>
          </cell>
          <cell r="E2636" t="str">
            <v>BR_CNPJ</v>
          </cell>
          <cell r="F2636" t="str">
            <v>77.891.653/0001-32</v>
          </cell>
        </row>
        <row r="2637">
          <cell r="A2637">
            <v>32853</v>
          </cell>
          <cell r="B2637" t="str">
            <v>CORPORATION</v>
          </cell>
          <cell r="C2637" t="str">
            <v>Agata Materiais De Construcao Ltda - Me</v>
          </cell>
          <cell r="D2637" t="str">
            <v>Agata Materiais De Construcao Ltda - Me</v>
          </cell>
          <cell r="E2637" t="str">
            <v>BR_CNPJ</v>
          </cell>
          <cell r="F2637" t="str">
            <v>01.104.226/0001-03</v>
          </cell>
        </row>
        <row r="2638">
          <cell r="A2638">
            <v>32857</v>
          </cell>
          <cell r="B2638" t="str">
            <v>CORPORATION</v>
          </cell>
          <cell r="C2638" t="str">
            <v>America Maquinas E Equipamentos Ltda - Me</v>
          </cell>
          <cell r="D2638" t="str">
            <v>Park Garden</v>
          </cell>
          <cell r="E2638" t="str">
            <v>BR_CNPJ</v>
          </cell>
          <cell r="F2638" t="str">
            <v>08.409.439/0001-84</v>
          </cell>
        </row>
        <row r="2639">
          <cell r="A2639">
            <v>32859</v>
          </cell>
          <cell r="B2639" t="str">
            <v>CORPORATION</v>
          </cell>
          <cell r="C2639" t="str">
            <v>Ds Distribuidora De Suprimentos Industriais Ltda</v>
          </cell>
          <cell r="D2639" t="str">
            <v>Ds Distribuidora De Suprimentos Industriais</v>
          </cell>
          <cell r="E2639" t="str">
            <v>BR_CNPJ</v>
          </cell>
          <cell r="F2639" t="str">
            <v>43.347.572/0001-54</v>
          </cell>
          <cell r="G2639" t="str">
            <v>FEBRAZO</v>
          </cell>
        </row>
        <row r="2640">
          <cell r="A2640">
            <v>32860</v>
          </cell>
          <cell r="B2640" t="str">
            <v>CORPORATION</v>
          </cell>
          <cell r="C2640" t="str">
            <v>Atenas Materiais De Construcao Ltda</v>
          </cell>
          <cell r="D2640" t="str">
            <v>Atenas Materiais De Construcao Ltda</v>
          </cell>
          <cell r="E2640" t="str">
            <v>BR_CNPJ</v>
          </cell>
          <cell r="F2640" t="str">
            <v>79.109.088/0001-34</v>
          </cell>
        </row>
        <row r="2641">
          <cell r="A2641">
            <v>32864</v>
          </cell>
          <cell r="B2641" t="str">
            <v>CORPORATION</v>
          </cell>
          <cell r="C2641" t="str">
            <v>Alj Comercio De Acos Ltda - Me</v>
          </cell>
          <cell r="D2641" t="str">
            <v>Acos Taruma</v>
          </cell>
          <cell r="E2641" t="str">
            <v>BR_CNPJ</v>
          </cell>
          <cell r="F2641" t="str">
            <v>13.602.475/0001-08</v>
          </cell>
        </row>
        <row r="2642">
          <cell r="A2642">
            <v>32865</v>
          </cell>
          <cell r="B2642" t="str">
            <v>CORPORATION</v>
          </cell>
          <cell r="C2642" t="str">
            <v>Nordfix Comercio E Servicos Eireli</v>
          </cell>
          <cell r="D2642" t="str">
            <v>Nordfix Resinas</v>
          </cell>
          <cell r="E2642" t="str">
            <v>BR_CNPJ</v>
          </cell>
          <cell r="F2642" t="str">
            <v>03.704.735/0001-94</v>
          </cell>
        </row>
        <row r="2643">
          <cell r="A2643">
            <v>32867</v>
          </cell>
          <cell r="B2643" t="str">
            <v>CORPORATION</v>
          </cell>
          <cell r="C2643" t="str">
            <v>Casa Platina Materiais De Construcao Ltda - Me</v>
          </cell>
          <cell r="D2643" t="str">
            <v>Casa Platina Materiais De Construcao</v>
          </cell>
          <cell r="E2643" t="str">
            <v>BR_CNPJ</v>
          </cell>
          <cell r="F2643" t="str">
            <v>08.067.814/0001-55</v>
          </cell>
        </row>
        <row r="2644">
          <cell r="A2644">
            <v>32870</v>
          </cell>
          <cell r="B2644" t="str">
            <v>CORPORATION</v>
          </cell>
          <cell r="C2644" t="str">
            <v>Comercial Arigon De Ferragens Ltda - Me</v>
          </cell>
          <cell r="D2644" t="str">
            <v>Comercial Arigon De Ferragens Ltda - Me</v>
          </cell>
          <cell r="E2644" t="str">
            <v>BR_CNPJ</v>
          </cell>
          <cell r="F2644" t="str">
            <v>05.704.147/0001-86</v>
          </cell>
        </row>
        <row r="2645">
          <cell r="A2645">
            <v>32875</v>
          </cell>
          <cell r="B2645" t="str">
            <v>CORPORATION</v>
          </cell>
          <cell r="C2645" t="str">
            <v>K &amp; K Material De Construcao Ltda</v>
          </cell>
          <cell r="D2645" t="str">
            <v>Araujo Material De Construcao</v>
          </cell>
          <cell r="E2645" t="str">
            <v>BR_CNPJ</v>
          </cell>
          <cell r="F2645" t="str">
            <v>21.633.588/0001-90</v>
          </cell>
        </row>
        <row r="2646">
          <cell r="A2646">
            <v>32876</v>
          </cell>
          <cell r="B2646" t="str">
            <v>CORPORATION</v>
          </cell>
          <cell r="C2646" t="str">
            <v>Deposito De Materiais Para Construcao Nichele Ltda</v>
          </cell>
          <cell r="D2646" t="str">
            <v>Deposito De Materiais Para Construcao Nichele Ltda</v>
          </cell>
          <cell r="E2646" t="str">
            <v>BR_CNPJ</v>
          </cell>
          <cell r="F2646" t="str">
            <v>77.172.161/0002-78</v>
          </cell>
        </row>
        <row r="2647">
          <cell r="A2647">
            <v>32878</v>
          </cell>
          <cell r="B2647" t="str">
            <v>CORPORATION</v>
          </cell>
          <cell r="C2647" t="str">
            <v>Ferragens Guedes Ltda - Me</v>
          </cell>
          <cell r="D2647" t="str">
            <v>Ferragens Guedes</v>
          </cell>
          <cell r="E2647" t="str">
            <v>BR_CNPJ</v>
          </cell>
          <cell r="F2647" t="str">
            <v>03.465.783/0001-77</v>
          </cell>
        </row>
        <row r="2648">
          <cell r="A2648">
            <v>32884</v>
          </cell>
          <cell r="B2648" t="str">
            <v>CORPORATION</v>
          </cell>
          <cell r="C2648" t="str">
            <v>Giordano Bruno Gomes Reis Soldas E Ferramentas - Me</v>
          </cell>
          <cell r="D2648" t="str">
            <v>Multisoldas E Ferramentas Eletricas</v>
          </cell>
          <cell r="E2648" t="str">
            <v>BR_CNPJ</v>
          </cell>
          <cell r="F2648" t="str">
            <v>16.710.232/0001-73</v>
          </cell>
        </row>
        <row r="2649">
          <cell r="A2649">
            <v>32886</v>
          </cell>
          <cell r="B2649" t="str">
            <v>CORPORATION</v>
          </cell>
          <cell r="C2649" t="str">
            <v>H7 Tools Ferramentas E Acessorios Ltda</v>
          </cell>
          <cell r="D2649" t="str">
            <v>H7 Tools</v>
          </cell>
          <cell r="E2649" t="str">
            <v>BR_CNPJ</v>
          </cell>
          <cell r="F2649" t="str">
            <v>26.529.504/0001-97</v>
          </cell>
        </row>
        <row r="2650">
          <cell r="A2650">
            <v>32887</v>
          </cell>
          <cell r="B2650" t="str">
            <v>CORPORATION</v>
          </cell>
          <cell r="C2650" t="str">
            <v>J Perin Comercio De Materiais De Construcao Ltda - Epp</v>
          </cell>
          <cell r="D2650" t="str">
            <v>Materiais De Construcao Perin</v>
          </cell>
          <cell r="E2650" t="str">
            <v>BR_CNPJ</v>
          </cell>
          <cell r="F2650" t="str">
            <v>85.042.737/0001-20</v>
          </cell>
        </row>
        <row r="2651">
          <cell r="A2651">
            <v>32889</v>
          </cell>
          <cell r="B2651" t="str">
            <v>CORPORATION</v>
          </cell>
          <cell r="C2651" t="str">
            <v>O Parafusao Ltda - Me</v>
          </cell>
          <cell r="D2651" t="str">
            <v>O Parafusao Ltda - Me</v>
          </cell>
          <cell r="E2651" t="str">
            <v>BR_CNPJ</v>
          </cell>
          <cell r="F2651" t="str">
            <v>03.326.803/0001-29</v>
          </cell>
        </row>
        <row r="2652">
          <cell r="A2652">
            <v>32892</v>
          </cell>
          <cell r="B2652" t="str">
            <v>CORPORATION</v>
          </cell>
          <cell r="C2652" t="str">
            <v>Linseletrica Ltda</v>
          </cell>
          <cell r="D2652" t="str">
            <v>Linseletrica Ltda</v>
          </cell>
          <cell r="E2652" t="str">
            <v>BR_CNPJ</v>
          </cell>
          <cell r="F2652" t="str">
            <v>07.973.886/0001-07</v>
          </cell>
        </row>
        <row r="2653">
          <cell r="A2653">
            <v>32893</v>
          </cell>
          <cell r="B2653" t="str">
            <v>CORPORATION</v>
          </cell>
          <cell r="C2653" t="str">
            <v>M. L. R. Mazoti</v>
          </cell>
          <cell r="D2653" t="str">
            <v>M.L.R. (Orlasolda)</v>
          </cell>
          <cell r="E2653" t="str">
            <v>BR_CNPJ</v>
          </cell>
          <cell r="F2653" t="str">
            <v>04.668.418/0001-22</v>
          </cell>
          <cell r="G2653" t="str">
            <v>ORLASOLDA</v>
          </cell>
        </row>
        <row r="2654">
          <cell r="A2654">
            <v>32894</v>
          </cell>
          <cell r="B2654" t="str">
            <v>CORPORATION</v>
          </cell>
          <cell r="C2654" t="str">
            <v>Gm Distribuidora De Abrasivos E Material Eletrico Ltda</v>
          </cell>
          <cell r="D2654" t="str">
            <v>Gm Distribuidora</v>
          </cell>
          <cell r="E2654" t="str">
            <v>BR_CNPJ</v>
          </cell>
          <cell r="F2654" t="str">
            <v>36.088.024/0001-91</v>
          </cell>
        </row>
        <row r="2655">
          <cell r="A2655">
            <v>32895</v>
          </cell>
          <cell r="B2655" t="str">
            <v>CORPORATION</v>
          </cell>
          <cell r="C2655" t="str">
            <v>Dima Distribuidora De Maquinas Ltda</v>
          </cell>
          <cell r="D2655" t="str">
            <v>Dima Distribuidora De Maquinas Ltda</v>
          </cell>
          <cell r="E2655" t="str">
            <v>BR_CNPJ</v>
          </cell>
          <cell r="F2655" t="str">
            <v>06.339.675/0001-46</v>
          </cell>
        </row>
        <row r="2656">
          <cell r="A2656">
            <v>32898</v>
          </cell>
          <cell r="B2656" t="str">
            <v>CORPORATION</v>
          </cell>
          <cell r="C2656" t="str">
            <v>Lajesul Comercio De Materiais De Construcao Ltda - Me</v>
          </cell>
          <cell r="D2656" t="str">
            <v>Ferlux</v>
          </cell>
          <cell r="E2656" t="str">
            <v>BR_CNPJ</v>
          </cell>
          <cell r="F2656" t="str">
            <v>75.009.472/0001-04</v>
          </cell>
        </row>
        <row r="2657">
          <cell r="A2657">
            <v>32899</v>
          </cell>
          <cell r="B2657" t="str">
            <v>CORPORATION</v>
          </cell>
          <cell r="C2657" t="str">
            <v>Rei Dos Parafusos Ltda</v>
          </cell>
          <cell r="D2657" t="str">
            <v>Rei Dos Parafusos</v>
          </cell>
          <cell r="E2657" t="str">
            <v>BR_CNPJ</v>
          </cell>
          <cell r="F2657" t="str">
            <v>37.701.854/0001-05</v>
          </cell>
        </row>
        <row r="2658">
          <cell r="A2658">
            <v>32900</v>
          </cell>
          <cell r="B2658" t="str">
            <v>CORPORATION</v>
          </cell>
          <cell r="C2658" t="str">
            <v>Intertig Comercio De Equipamentos E Servicos Ltda</v>
          </cell>
          <cell r="D2658" t="str">
            <v>Intertig</v>
          </cell>
          <cell r="E2658" t="str">
            <v>BR_CNPJ</v>
          </cell>
          <cell r="F2658" t="str">
            <v>40.194.281/0001-85</v>
          </cell>
          <cell r="G2658" t="str">
            <v>INTERTIG</v>
          </cell>
        </row>
        <row r="2659">
          <cell r="A2659">
            <v>32901</v>
          </cell>
          <cell r="B2659" t="str">
            <v>CORPORATION</v>
          </cell>
          <cell r="C2659" t="str">
            <v>C Gimenes Borges - Epp</v>
          </cell>
          <cell r="D2659" t="str">
            <v>Tratorpecas</v>
          </cell>
          <cell r="E2659" t="str">
            <v>BR_CNPJ</v>
          </cell>
          <cell r="F2659" t="str">
            <v>03.395.800/0001-47</v>
          </cell>
        </row>
        <row r="2660">
          <cell r="A2660">
            <v>32902</v>
          </cell>
          <cell r="B2660" t="str">
            <v>CORPORATION</v>
          </cell>
          <cell r="C2660" t="str">
            <v>Lal Maquinas E Equipamentos Ltda. - Me</v>
          </cell>
          <cell r="D2660" t="str">
            <v>Master Maq</v>
          </cell>
          <cell r="E2660" t="str">
            <v>BR_CNPJ</v>
          </cell>
          <cell r="F2660" t="str">
            <v>18.371.804/0001-62</v>
          </cell>
        </row>
        <row r="2661">
          <cell r="A2661">
            <v>32903</v>
          </cell>
          <cell r="B2661" t="str">
            <v>CORPORATION</v>
          </cell>
          <cell r="C2661" t="str">
            <v>Dinamys Solutec Ltda</v>
          </cell>
          <cell r="D2661" t="str">
            <v>Dinamys</v>
          </cell>
          <cell r="E2661" t="str">
            <v>BR_CNPJ</v>
          </cell>
          <cell r="F2661" t="str">
            <v>49.995.713/0001-21</v>
          </cell>
        </row>
        <row r="2662">
          <cell r="A2662">
            <v>32905</v>
          </cell>
          <cell r="B2662" t="str">
            <v>CORPORATION</v>
          </cell>
          <cell r="C2662" t="str">
            <v>Central Borrachas E Ferramentas Ltda</v>
          </cell>
          <cell r="D2662" t="str">
            <v>Central Borrachas E Ferramentas Ltda</v>
          </cell>
          <cell r="E2662" t="str">
            <v>BR_CNPJ</v>
          </cell>
          <cell r="F2662" t="str">
            <v>02.226.278/0006-11</v>
          </cell>
        </row>
        <row r="2663">
          <cell r="A2663">
            <v>32908</v>
          </cell>
          <cell r="B2663" t="str">
            <v>CORPORATION</v>
          </cell>
          <cell r="C2663" t="str">
            <v>Matercic Materiais De Construcao Ltda</v>
          </cell>
          <cell r="D2663" t="str">
            <v>Matercic Materiais De Construcao Ltda</v>
          </cell>
          <cell r="E2663" t="str">
            <v>BR_CNPJ</v>
          </cell>
          <cell r="F2663" t="str">
            <v>82.525.171/0001-07</v>
          </cell>
        </row>
        <row r="2664">
          <cell r="A2664">
            <v>32911</v>
          </cell>
          <cell r="B2664" t="str">
            <v>CORPORATION</v>
          </cell>
          <cell r="C2664" t="str">
            <v>Flores Mendonca &amp; Souza Ltda - Epp</v>
          </cell>
          <cell r="D2664" t="str">
            <v>Ferrasul Correias E Mangueiras</v>
          </cell>
          <cell r="E2664" t="str">
            <v>BR_CNPJ</v>
          </cell>
          <cell r="F2664" t="str">
            <v>04.024.875/0001-84</v>
          </cell>
        </row>
        <row r="2665">
          <cell r="A2665">
            <v>32912</v>
          </cell>
          <cell r="B2665" t="str">
            <v>CORPORATION</v>
          </cell>
          <cell r="C2665" t="str">
            <v>Renata Mendonca Nascimento 95074643104</v>
          </cell>
          <cell r="D2665" t="str">
            <v>Ferragista Lemmind</v>
          </cell>
          <cell r="E2665" t="str">
            <v>BR_CNPJ</v>
          </cell>
          <cell r="F2665" t="str">
            <v>26.931.331/0001-39</v>
          </cell>
        </row>
        <row r="2666">
          <cell r="A2666">
            <v>32914</v>
          </cell>
          <cell r="B2666" t="str">
            <v>CORPORATION</v>
          </cell>
          <cell r="C2666" t="str">
            <v>M U N A R O Comercio De Materiais De Construcao Ltda - Me</v>
          </cell>
          <cell r="D2666" t="str">
            <v>M U N A R O Comercio De Materiais De Construcao Ltda - Me</v>
          </cell>
          <cell r="E2666" t="str">
            <v>BR_CNPJ</v>
          </cell>
          <cell r="F2666" t="str">
            <v>01.965.768/0001-62</v>
          </cell>
        </row>
        <row r="2667">
          <cell r="A2667">
            <v>32917</v>
          </cell>
          <cell r="B2667" t="str">
            <v>CORPORATION</v>
          </cell>
          <cell r="C2667" t="str">
            <v>Mak &amp; Sol Ltda</v>
          </cell>
          <cell r="D2667" t="str">
            <v>Maq &amp; Soldas Ferramentas</v>
          </cell>
          <cell r="E2667" t="str">
            <v>BR_CNPJ</v>
          </cell>
          <cell r="F2667" t="str">
            <v>10.282.220/0001-09</v>
          </cell>
        </row>
        <row r="2668">
          <cell r="A2668">
            <v>32920</v>
          </cell>
          <cell r="B2668" t="str">
            <v>CORPORATION</v>
          </cell>
          <cell r="C2668" t="str">
            <v>Rekanma Comercial Ltda</v>
          </cell>
          <cell r="D2668" t="str">
            <v>Rekanma Comercial Ltda</v>
          </cell>
          <cell r="E2668" t="str">
            <v>BR_CNPJ</v>
          </cell>
          <cell r="F2668" t="str">
            <v>13.610.217/0001-65</v>
          </cell>
        </row>
        <row r="2669">
          <cell r="A2669">
            <v>32923</v>
          </cell>
          <cell r="B2669" t="str">
            <v>CORPORATION</v>
          </cell>
          <cell r="C2669" t="str">
            <v>Inni Ferragens Ltda - Epp</v>
          </cell>
          <cell r="D2669" t="str">
            <v>Inni</v>
          </cell>
          <cell r="E2669" t="str">
            <v>BR_CNPJ</v>
          </cell>
          <cell r="F2669" t="str">
            <v>60.563.376/0001-36</v>
          </cell>
        </row>
        <row r="2670">
          <cell r="A2670">
            <v>32925</v>
          </cell>
          <cell r="B2670" t="str">
            <v>CORPORATION</v>
          </cell>
          <cell r="C2670" t="str">
            <v>Cleide Helena Miranda 71538372649</v>
          </cell>
          <cell r="D2670" t="str">
            <v>Cleide Miranda (Gemac)</v>
          </cell>
          <cell r="E2670" t="str">
            <v>BR_CNPJ</v>
          </cell>
          <cell r="F2670" t="str">
            <v>19.227.923/0001-09</v>
          </cell>
          <cell r="G2670" t="str">
            <v>GEMAC</v>
          </cell>
        </row>
        <row r="2671">
          <cell r="A2671">
            <v>32926</v>
          </cell>
          <cell r="B2671" t="str">
            <v>CORPORATION</v>
          </cell>
          <cell r="C2671" t="str">
            <v>Ferratec Comercio Ferramentas E Equipamentos Automotivos Ltda - Me</v>
          </cell>
          <cell r="D2671" t="str">
            <v>Ferracar</v>
          </cell>
          <cell r="E2671" t="str">
            <v>BR_CNPJ</v>
          </cell>
          <cell r="F2671" t="str">
            <v>08.346.625/0001-11</v>
          </cell>
        </row>
        <row r="2672">
          <cell r="A2672">
            <v>32929</v>
          </cell>
          <cell r="B2672" t="str">
            <v>CORPORATION</v>
          </cell>
          <cell r="C2672" t="str">
            <v>Grupo Maximo Comercial De Ferramentas Ltda</v>
          </cell>
          <cell r="D2672" t="str">
            <v>Grupo Maximo Comercial De Ferramentas</v>
          </cell>
          <cell r="E2672" t="str">
            <v>BR_CNPJ</v>
          </cell>
          <cell r="F2672" t="str">
            <v>09.688.034/0001-95</v>
          </cell>
        </row>
        <row r="2673">
          <cell r="A2673">
            <v>32932</v>
          </cell>
          <cell r="B2673" t="str">
            <v>CORPORATION</v>
          </cell>
          <cell r="C2673" t="str">
            <v>Ferragens Conquista - Comercial Conquista De Equipamentos Ltda - Me</v>
          </cell>
          <cell r="D2673" t="str">
            <v>Ferragens Conquista</v>
          </cell>
          <cell r="E2673" t="str">
            <v>BR_CNPJ</v>
          </cell>
          <cell r="F2673" t="str">
            <v>15.812.762/0001-60</v>
          </cell>
        </row>
        <row r="2674">
          <cell r="A2674">
            <v>32935</v>
          </cell>
          <cell r="B2674" t="str">
            <v>CORPORATION</v>
          </cell>
          <cell r="C2674" t="str">
            <v>Eletrica E Hidraulica Araguaia Ltda - Epp</v>
          </cell>
          <cell r="D2674" t="str">
            <v>Eletrica E Hidraulica Araguaia Ltda - Epp</v>
          </cell>
          <cell r="E2674" t="str">
            <v>BR_CNPJ</v>
          </cell>
          <cell r="F2674" t="str">
            <v>04.925.691/0001-95</v>
          </cell>
        </row>
        <row r="2675">
          <cell r="A2675">
            <v>32938</v>
          </cell>
          <cell r="B2675" t="str">
            <v>CORPORATION</v>
          </cell>
          <cell r="C2675" t="str">
            <v>Central Distribuidora De Materiais Eletricos, Ferramentas E Epi'S Ltda - Me</v>
          </cell>
          <cell r="D2675" t="str">
            <v>Central Eletrica Distribuidora</v>
          </cell>
          <cell r="E2675" t="str">
            <v>BR_CNPJ</v>
          </cell>
          <cell r="F2675" t="str">
            <v>12.282.605/0001-00</v>
          </cell>
        </row>
        <row r="2676">
          <cell r="A2676">
            <v>32941</v>
          </cell>
          <cell r="B2676" t="str">
            <v>CORPORATION</v>
          </cell>
          <cell r="C2676" t="str">
            <v>Casa E Vento Ltda - Me</v>
          </cell>
          <cell r="D2676" t="str">
            <v>Casa E Vento</v>
          </cell>
          <cell r="E2676" t="str">
            <v>BR_CNPJ</v>
          </cell>
          <cell r="F2676" t="str">
            <v>10.917.010/0001-40</v>
          </cell>
        </row>
        <row r="2677">
          <cell r="A2677">
            <v>32944</v>
          </cell>
          <cell r="B2677" t="str">
            <v>CORPORATION</v>
          </cell>
          <cell r="C2677" t="str">
            <v>Central Distribuidora De Materiais Eletricos, Ferramentas E Epi'S Ltda - Me</v>
          </cell>
          <cell r="D2677" t="str">
            <v>Central Eletrica Distribuidora</v>
          </cell>
          <cell r="E2677" t="str">
            <v>BR_CNPJ</v>
          </cell>
          <cell r="F2677" t="str">
            <v>00.609.407/0001-10</v>
          </cell>
        </row>
        <row r="2678">
          <cell r="A2678">
            <v>32946</v>
          </cell>
          <cell r="B2678" t="str">
            <v>CORPORATION</v>
          </cell>
          <cell r="C2678" t="str">
            <v>Capim Ferro Ltda - Me</v>
          </cell>
          <cell r="D2678" t="str">
            <v>Capim Ferro Ltda - Me</v>
          </cell>
          <cell r="E2678" t="str">
            <v>BR_CNPJ</v>
          </cell>
          <cell r="F2678" t="str">
            <v>09.210.114/0001-30</v>
          </cell>
        </row>
        <row r="2679">
          <cell r="A2679">
            <v>32947</v>
          </cell>
          <cell r="B2679" t="str">
            <v>CORPORATION</v>
          </cell>
          <cell r="C2679" t="str">
            <v>Wilson S Silva</v>
          </cell>
          <cell r="D2679" t="str">
            <v>Innova Materiais Para Construcao</v>
          </cell>
          <cell r="E2679" t="str">
            <v>BR_CNPJ</v>
          </cell>
          <cell r="F2679" t="str">
            <v>35.182.940/0001-23</v>
          </cell>
        </row>
        <row r="2680">
          <cell r="A2680">
            <v>32949</v>
          </cell>
          <cell r="B2680" t="str">
            <v>CORPORATION</v>
          </cell>
          <cell r="C2680" t="str">
            <v>Oswaldo G Bartolli Cia Ltda - Epp</v>
          </cell>
          <cell r="D2680" t="str">
            <v>Casa Viga</v>
          </cell>
          <cell r="E2680" t="str">
            <v>BR_CNPJ</v>
          </cell>
          <cell r="F2680" t="str">
            <v>76.359.900/0001-91</v>
          </cell>
        </row>
        <row r="2681">
          <cell r="A2681">
            <v>32950</v>
          </cell>
          <cell r="B2681" t="str">
            <v>CORPORATION</v>
          </cell>
          <cell r="C2681" t="str">
            <v>Shopping Das Ferramentas Equipamentos E Servicos Eireli</v>
          </cell>
          <cell r="D2681" t="str">
            <v>Shopping Das Ferramentas</v>
          </cell>
          <cell r="E2681" t="str">
            <v>BR_CNPJ</v>
          </cell>
          <cell r="F2681" t="str">
            <v>24.492.246/0001-96</v>
          </cell>
        </row>
        <row r="2682">
          <cell r="A2682">
            <v>32952</v>
          </cell>
          <cell r="B2682" t="str">
            <v>CORPORATION</v>
          </cell>
          <cell r="C2682" t="str">
            <v>G. N. V. Materiais De Construcao Ltda - Me</v>
          </cell>
          <cell r="D2682" t="str">
            <v>Antonello Materias De Construcao</v>
          </cell>
          <cell r="E2682" t="str">
            <v>BR_CNPJ</v>
          </cell>
          <cell r="F2682" t="str">
            <v>09.312.932/0001-44</v>
          </cell>
        </row>
        <row r="2683">
          <cell r="A2683">
            <v>32955</v>
          </cell>
          <cell r="B2683" t="str">
            <v>CORPORATION</v>
          </cell>
          <cell r="C2683" t="str">
            <v>P S Parafusos E Seguranca Ltda - Epp</v>
          </cell>
          <cell r="D2683" t="str">
            <v>P S Parafusos E Seguranca</v>
          </cell>
          <cell r="E2683" t="str">
            <v>BR_CNPJ</v>
          </cell>
          <cell r="F2683" t="str">
            <v>09.076.777/0001-04</v>
          </cell>
        </row>
        <row r="2684">
          <cell r="A2684">
            <v>32956</v>
          </cell>
          <cell r="B2684" t="str">
            <v>CORPORATION</v>
          </cell>
          <cell r="C2684" t="str">
            <v>Comercial Guaresqui Ltda</v>
          </cell>
          <cell r="D2684" t="str">
            <v>Hidraunorte</v>
          </cell>
          <cell r="E2684" t="str">
            <v>BR_CNPJ</v>
          </cell>
          <cell r="F2684" t="str">
            <v>30.411.315/0001-92</v>
          </cell>
        </row>
        <row r="2685">
          <cell r="A2685">
            <v>32957</v>
          </cell>
          <cell r="B2685" t="str">
            <v>CORPORATION</v>
          </cell>
          <cell r="C2685" t="str">
            <v>Maconsil Material De Construcao Simon Ltda - Epp</v>
          </cell>
          <cell r="D2685" t="str">
            <v>Maconsil</v>
          </cell>
          <cell r="E2685" t="str">
            <v>BR_CNPJ</v>
          </cell>
          <cell r="F2685" t="str">
            <v>27.535.327/0001-14</v>
          </cell>
        </row>
        <row r="2686">
          <cell r="A2686">
            <v>32959</v>
          </cell>
          <cell r="B2686" t="str">
            <v>CORPORATION</v>
          </cell>
          <cell r="C2686" t="str">
            <v>Cimentaco Materiais De Construcao Ltda - Epp</v>
          </cell>
          <cell r="D2686" t="str">
            <v>Cimentaco</v>
          </cell>
          <cell r="E2686" t="str">
            <v>BR_CNPJ</v>
          </cell>
          <cell r="F2686" t="str">
            <v>12.460.368/0001-11</v>
          </cell>
        </row>
        <row r="2687">
          <cell r="A2687">
            <v>32962</v>
          </cell>
          <cell r="B2687" t="str">
            <v>CORPORATION</v>
          </cell>
          <cell r="C2687" t="str">
            <v>Casalar Comercio De Ferragens Ltda. - Me</v>
          </cell>
          <cell r="D2687" t="str">
            <v>Casalar</v>
          </cell>
          <cell r="E2687" t="str">
            <v>BR_CNPJ</v>
          </cell>
          <cell r="F2687" t="str">
            <v>09.465.462/0001-59</v>
          </cell>
        </row>
        <row r="2688">
          <cell r="A2688">
            <v>32965</v>
          </cell>
          <cell r="B2688" t="str">
            <v>CORPORATION</v>
          </cell>
          <cell r="C2688" t="str">
            <v>Madmras Ferragens Ltda - Me</v>
          </cell>
          <cell r="D2688" t="str">
            <v>Madmras Ferragens Ltda - Me</v>
          </cell>
          <cell r="E2688" t="str">
            <v>BR_CNPJ</v>
          </cell>
          <cell r="F2688" t="str">
            <v>11.049.570/0001-92</v>
          </cell>
        </row>
        <row r="2689">
          <cell r="A2689">
            <v>32968</v>
          </cell>
          <cell r="B2689" t="str">
            <v>CORPORATION</v>
          </cell>
          <cell r="C2689" t="str">
            <v>Ematil Materiais Para Construcao Ltda - Epp</v>
          </cell>
          <cell r="D2689" t="str">
            <v>Ematil Materiais Para Construcao Ltda - Epp</v>
          </cell>
          <cell r="E2689" t="str">
            <v>BR_CNPJ</v>
          </cell>
          <cell r="F2689" t="str">
            <v>82.559.451/0001-28</v>
          </cell>
          <cell r="G2689" t="str">
            <v>CASA PLANETA</v>
          </cell>
        </row>
        <row r="2690">
          <cell r="A2690">
            <v>32971</v>
          </cell>
          <cell r="B2690" t="str">
            <v>CORPORATION</v>
          </cell>
          <cell r="C2690" t="str">
            <v>Nacoes Materiais De Construcao Ltda - Me</v>
          </cell>
          <cell r="D2690" t="str">
            <v>Nacoes Materiais De Construcao Ltda - Me</v>
          </cell>
          <cell r="E2690" t="str">
            <v>BR_CNPJ</v>
          </cell>
          <cell r="F2690" t="str">
            <v>01.484.821/0001-03</v>
          </cell>
        </row>
        <row r="2691">
          <cell r="A2691">
            <v>32973</v>
          </cell>
          <cell r="B2691" t="str">
            <v>CORPORATION</v>
          </cell>
          <cell r="C2691" t="str">
            <v>Tc Araras Aluguel De Equipamentos E Maquinas Ltda</v>
          </cell>
          <cell r="D2691" t="str">
            <v>002 Loja Araras Casa Do Construtor (Matriz)</v>
          </cell>
          <cell r="E2691" t="str">
            <v>BR_CNPJ</v>
          </cell>
          <cell r="F2691" t="str">
            <v>06.290.302/0001-28</v>
          </cell>
          <cell r="G2691" t="str">
            <v>CASA DO CONSTRUTOR</v>
          </cell>
        </row>
        <row r="2692">
          <cell r="A2692">
            <v>32978</v>
          </cell>
          <cell r="B2692" t="str">
            <v>CORPORATION</v>
          </cell>
          <cell r="C2692" t="str">
            <v>Borges E Silva Comercio De Pecas Ltda - Me</v>
          </cell>
          <cell r="D2692" t="str">
            <v>Borges E Silva Comercio De Pecas Ltda - Me</v>
          </cell>
          <cell r="E2692" t="str">
            <v>BR_CNPJ</v>
          </cell>
          <cell r="F2692" t="str">
            <v>07.514.909/0001-07</v>
          </cell>
        </row>
        <row r="2693">
          <cell r="A2693">
            <v>32980</v>
          </cell>
          <cell r="B2693" t="str">
            <v>CORPORATION</v>
          </cell>
          <cell r="C2693" t="str">
            <v>Casa Do Soldador Ltda</v>
          </cell>
          <cell r="D2693" t="str">
            <v>Casa Do Soldador</v>
          </cell>
          <cell r="E2693" t="str">
            <v>BR_CNPJ</v>
          </cell>
          <cell r="F2693" t="str">
            <v>02.344.660/0002-04</v>
          </cell>
          <cell r="G2693" t="str">
            <v>CASA DO SOLDADOR</v>
          </cell>
        </row>
        <row r="2694">
          <cell r="A2694">
            <v>32981</v>
          </cell>
          <cell r="B2694" t="str">
            <v>CORPORATION</v>
          </cell>
          <cell r="C2694" t="str">
            <v>Pafemaq Parafusos Ferramentas E Maquinas Ltda - Epp</v>
          </cell>
          <cell r="D2694" t="str">
            <v>Pafemaq Parafusos Ferramentas E Maquinas Ltda - Epp</v>
          </cell>
          <cell r="E2694" t="str">
            <v>BR_CNPJ</v>
          </cell>
          <cell r="F2694" t="str">
            <v>24.608.192/0001-81</v>
          </cell>
        </row>
        <row r="2695">
          <cell r="A2695">
            <v>32984</v>
          </cell>
          <cell r="B2695" t="str">
            <v>CORPORATION</v>
          </cell>
          <cell r="C2695" t="str">
            <v>Farmer Maquinas E Ferramentas Ltda - Me</v>
          </cell>
          <cell r="D2695" t="str">
            <v>Farmer Maquinas E Ferramentas Ltda - Me</v>
          </cell>
          <cell r="E2695" t="str">
            <v>BR_CNPJ</v>
          </cell>
          <cell r="F2695" t="str">
            <v>19.686.919/0001-09</v>
          </cell>
        </row>
        <row r="2696">
          <cell r="A2696">
            <v>32987</v>
          </cell>
          <cell r="B2696" t="str">
            <v>CORPORATION</v>
          </cell>
          <cell r="C2696" t="str">
            <v>Ferragens Helo-Foz Ltda - Me</v>
          </cell>
          <cell r="D2696" t="str">
            <v>Loja Dos Parafusos</v>
          </cell>
          <cell r="E2696" t="str">
            <v>BR_CNPJ</v>
          </cell>
          <cell r="F2696" t="str">
            <v>72.544.695/0001-83</v>
          </cell>
        </row>
        <row r="2697">
          <cell r="A2697">
            <v>32990</v>
          </cell>
          <cell r="B2697" t="str">
            <v>CORPORATION</v>
          </cell>
          <cell r="C2697" t="str">
            <v>Delvi Santos Flores - Me</v>
          </cell>
          <cell r="D2697" t="str">
            <v>Lider Parafusos E Mangueiras</v>
          </cell>
          <cell r="E2697" t="str">
            <v>BR_CNPJ</v>
          </cell>
          <cell r="F2697" t="str">
            <v>02.709.035/0001-20</v>
          </cell>
        </row>
        <row r="2698">
          <cell r="A2698">
            <v>32993</v>
          </cell>
          <cell r="B2698" t="str">
            <v>CORPORATION</v>
          </cell>
          <cell r="C2698" t="str">
            <v>Glorinha-Materiais De Construcao Ltda - Epp</v>
          </cell>
          <cell r="D2698" t="str">
            <v>Madereira Glorinha</v>
          </cell>
          <cell r="E2698" t="str">
            <v>BR_CNPJ</v>
          </cell>
          <cell r="F2698" t="str">
            <v>89.218.333/0001-03</v>
          </cell>
        </row>
        <row r="2699">
          <cell r="A2699">
            <v>32995</v>
          </cell>
          <cell r="B2699" t="str">
            <v>CORPORATION</v>
          </cell>
          <cell r="C2699" t="str">
            <v>Vmd - Maquinas E Ferramentas Ltda</v>
          </cell>
          <cell r="D2699" t="str">
            <v>Casa Do Soldador</v>
          </cell>
          <cell r="E2699" t="str">
            <v>BR_CNPJ</v>
          </cell>
          <cell r="F2699" t="str">
            <v>72.295.793/0002-05</v>
          </cell>
          <cell r="G2699" t="str">
            <v>CASA DO SOLDADOR</v>
          </cell>
        </row>
        <row r="2700">
          <cell r="A2700">
            <v>32996</v>
          </cell>
          <cell r="B2700" t="str">
            <v>CORPORATION</v>
          </cell>
          <cell r="C2700" t="str">
            <v>Ferratech Comercio De Ferramentas Maquinas E Equipamentos Eireli - Me</v>
          </cell>
          <cell r="D2700" t="str">
            <v>Ferratech Ferramenta</v>
          </cell>
          <cell r="E2700" t="str">
            <v>BR_CNPJ</v>
          </cell>
          <cell r="F2700" t="str">
            <v>05.469.799/0001-83</v>
          </cell>
        </row>
        <row r="2701">
          <cell r="A2701">
            <v>32998</v>
          </cell>
          <cell r="B2701" t="str">
            <v>CORPORATION</v>
          </cell>
          <cell r="C2701" t="str">
            <v>Serramaq Comercial De Motosserras Ltda - Epp</v>
          </cell>
          <cell r="D2701" t="str">
            <v>Serramaq Comercial De Motosserras Ltda - Epp</v>
          </cell>
          <cell r="E2701" t="str">
            <v>BR_CNPJ</v>
          </cell>
          <cell r="F2701" t="str">
            <v>93.140.267/0001-65</v>
          </cell>
        </row>
        <row r="2702">
          <cell r="A2702">
            <v>33001</v>
          </cell>
          <cell r="B2702" t="str">
            <v>CORPORATION</v>
          </cell>
          <cell r="C2702" t="str">
            <v>Praiana Materiais De Construcao Ltda - Epp</v>
          </cell>
          <cell r="D2702" t="str">
            <v>Praiana Materiais De Construcao Ltda - Epp</v>
          </cell>
          <cell r="E2702" t="str">
            <v>BR_CNPJ</v>
          </cell>
          <cell r="F2702" t="str">
            <v>72.559.586/0002-10</v>
          </cell>
        </row>
        <row r="2703">
          <cell r="A2703">
            <v>33003</v>
          </cell>
          <cell r="B2703" t="str">
            <v>CORPORATION</v>
          </cell>
          <cell r="C2703" t="str">
            <v>Emporio Varejo Comercio Eletronico Ltda</v>
          </cell>
          <cell r="D2703" t="str">
            <v>Emporio Varejo</v>
          </cell>
          <cell r="E2703" t="str">
            <v>BR_CNPJ</v>
          </cell>
          <cell r="F2703" t="str">
            <v>43.494.307/0001-07</v>
          </cell>
        </row>
        <row r="2704">
          <cell r="A2704">
            <v>33004</v>
          </cell>
          <cell r="B2704" t="str">
            <v>CORPORATION</v>
          </cell>
          <cell r="C2704" t="str">
            <v>Gontijo &amp; Pereira Ltda</v>
          </cell>
          <cell r="D2704" t="str">
            <v>Casa Da Borracha</v>
          </cell>
          <cell r="E2704" t="str">
            <v>BR_CNPJ</v>
          </cell>
          <cell r="F2704" t="str">
            <v>33.617.945/0001-06</v>
          </cell>
        </row>
        <row r="2705">
          <cell r="A2705">
            <v>33007</v>
          </cell>
          <cell r="B2705" t="str">
            <v>CORPORATION</v>
          </cell>
          <cell r="C2705" t="str">
            <v>Ketely Patricia Paz &amp; Cia. Ltda - Me</v>
          </cell>
          <cell r="D2705" t="str">
            <v>Kapaz Materiais De Construcao</v>
          </cell>
          <cell r="E2705" t="str">
            <v>BR_CNPJ</v>
          </cell>
          <cell r="F2705" t="str">
            <v>02.386.664/0001-66</v>
          </cell>
        </row>
        <row r="2706">
          <cell r="A2706">
            <v>33010</v>
          </cell>
          <cell r="B2706" t="str">
            <v>CORPORATION</v>
          </cell>
          <cell r="C2706" t="str">
            <v>Ideal Parafusos Ltda - Me</v>
          </cell>
          <cell r="D2706" t="str">
            <v>Ideal Parafusos Ltda - Me</v>
          </cell>
          <cell r="E2706" t="str">
            <v>BR_CNPJ</v>
          </cell>
          <cell r="F2706" t="str">
            <v>02.090.785/0001-66</v>
          </cell>
        </row>
        <row r="2707">
          <cell r="A2707">
            <v>33012</v>
          </cell>
          <cell r="B2707" t="str">
            <v>CORPORATION</v>
          </cell>
          <cell r="C2707" t="str">
            <v>G De Sousa Costa Mega Soldas</v>
          </cell>
          <cell r="D2707" t="str">
            <v>Mega Soldas</v>
          </cell>
          <cell r="E2707" t="str">
            <v>BR_CNPJ</v>
          </cell>
          <cell r="F2707" t="str">
            <v>42.828.450/0001-17</v>
          </cell>
        </row>
        <row r="2708">
          <cell r="A2708">
            <v>33013</v>
          </cell>
          <cell r="B2708" t="str">
            <v>CORPORATION</v>
          </cell>
          <cell r="C2708" t="str">
            <v>Jose Mauricio Da Silva - Me</v>
          </cell>
          <cell r="D2708" t="str">
            <v>Aluminox Soldas, Ferramentas E Utilidades</v>
          </cell>
          <cell r="E2708" t="str">
            <v>BR_CNPJ</v>
          </cell>
          <cell r="F2708" t="str">
            <v>02.320.110/0001-66</v>
          </cell>
        </row>
        <row r="2709">
          <cell r="A2709">
            <v>33016</v>
          </cell>
          <cell r="B2709" t="str">
            <v>CORPORATION</v>
          </cell>
          <cell r="C2709" t="str">
            <v>Realeza Materiais De Construcao Ltda</v>
          </cell>
          <cell r="D2709" t="str">
            <v>Realeza Materiais De Construcao</v>
          </cell>
          <cell r="E2709" t="str">
            <v>BR_CNPJ</v>
          </cell>
          <cell r="F2709" t="str">
            <v>04.047.818/0001-10</v>
          </cell>
        </row>
        <row r="2710">
          <cell r="A2710">
            <v>33019</v>
          </cell>
          <cell r="B2710" t="str">
            <v>CORPORATION</v>
          </cell>
          <cell r="C2710" t="str">
            <v>Jamail Maquinas E Ferramentas Ltda</v>
          </cell>
          <cell r="D2710" t="str">
            <v>Jamail Maquinas E Ferramentas Ltda</v>
          </cell>
          <cell r="E2710" t="str">
            <v>BR_CNPJ</v>
          </cell>
          <cell r="F2710" t="str">
            <v>83.638.528/0001-18</v>
          </cell>
        </row>
        <row r="2711">
          <cell r="A2711">
            <v>33024</v>
          </cell>
          <cell r="B2711" t="str">
            <v>CORPORATION</v>
          </cell>
          <cell r="C2711" t="str">
            <v>Kaza Material De Construcao Ltda - Me</v>
          </cell>
          <cell r="D2711" t="str">
            <v>Kaza Material De Construcao Ltda - Me</v>
          </cell>
          <cell r="E2711" t="str">
            <v>BR_CNPJ</v>
          </cell>
          <cell r="F2711" t="str">
            <v>07.726.792/0001-25</v>
          </cell>
        </row>
        <row r="2712">
          <cell r="A2712">
            <v>33026</v>
          </cell>
          <cell r="B2712" t="str">
            <v>CORPORATION</v>
          </cell>
          <cell r="C2712" t="str">
            <v>Rrc Materiais De Construcao Ltda - Me</v>
          </cell>
          <cell r="D2712" t="str">
            <v>Predial Materiais De Construcao</v>
          </cell>
          <cell r="E2712" t="str">
            <v>BR_CNPJ</v>
          </cell>
          <cell r="F2712" t="str">
            <v>12.124.029/0001-64</v>
          </cell>
        </row>
        <row r="2713">
          <cell r="A2713">
            <v>33029</v>
          </cell>
          <cell r="B2713" t="str">
            <v>CORPORATION</v>
          </cell>
          <cell r="C2713" t="str">
            <v>Apoio Materiais De Construcao Ltda - Epp</v>
          </cell>
          <cell r="D2713" t="str">
            <v>Apoio Construcoes</v>
          </cell>
          <cell r="E2713" t="str">
            <v>BR_CNPJ</v>
          </cell>
          <cell r="F2713" t="str">
            <v>80.734.288/0001-67</v>
          </cell>
        </row>
        <row r="2714">
          <cell r="A2714">
            <v>33032</v>
          </cell>
          <cell r="B2714" t="str">
            <v>CORPORATION</v>
          </cell>
          <cell r="C2714" t="str">
            <v>Comercio De Ferragens Menestrina Ltda - Me</v>
          </cell>
          <cell r="D2714" t="str">
            <v>Comercial Menestrina</v>
          </cell>
          <cell r="E2714" t="str">
            <v>BR_CNPJ</v>
          </cell>
          <cell r="F2714" t="str">
            <v>82.713.355/0001-92</v>
          </cell>
        </row>
        <row r="2715">
          <cell r="A2715">
            <v>33035</v>
          </cell>
          <cell r="B2715" t="str">
            <v>CORPORATION</v>
          </cell>
          <cell r="C2715" t="str">
            <v>Jzago Materiais De Construcao Ltda.</v>
          </cell>
          <cell r="D2715" t="str">
            <v>Jzago Materiais De Construcao</v>
          </cell>
          <cell r="E2715" t="str">
            <v>BR_CNPJ</v>
          </cell>
          <cell r="F2715" t="str">
            <v>08.093.667/0001-98</v>
          </cell>
        </row>
        <row r="2716">
          <cell r="A2716">
            <v>33038</v>
          </cell>
          <cell r="B2716" t="str">
            <v>CORPORATION</v>
          </cell>
          <cell r="C2716" t="str">
            <v>Luiz Gustavo Da Cruz Silva - Me</v>
          </cell>
          <cell r="D2716" t="str">
            <v>Luiz Kar Ferramentas Automotivas</v>
          </cell>
          <cell r="E2716" t="str">
            <v>BR_CNPJ</v>
          </cell>
          <cell r="F2716" t="str">
            <v>11.463.968/0001-70</v>
          </cell>
        </row>
        <row r="2717">
          <cell r="A2717">
            <v>33041</v>
          </cell>
          <cell r="B2717" t="str">
            <v>CORPORATION</v>
          </cell>
          <cell r="C2717" t="str">
            <v>Vargas Comercio De Parafusos E Material De Construcao Ltda - Me</v>
          </cell>
          <cell r="D2717" t="str">
            <v>Fendamix</v>
          </cell>
          <cell r="E2717" t="str">
            <v>BR_CNPJ</v>
          </cell>
          <cell r="F2717" t="str">
            <v>12.219.993/0001-76</v>
          </cell>
        </row>
        <row r="2718">
          <cell r="A2718">
            <v>33044</v>
          </cell>
          <cell r="B2718" t="str">
            <v>CORPORATION</v>
          </cell>
          <cell r="C2718" t="str">
            <v>Casa Patricia Materiais De Construcao Ltda - Epp</v>
          </cell>
          <cell r="D2718" t="str">
            <v>Casa Patricia Materiais De Construcao Ltda - Epp</v>
          </cell>
          <cell r="E2718" t="str">
            <v>BR_CNPJ</v>
          </cell>
          <cell r="F2718" t="str">
            <v>22.015.192/0001-42</v>
          </cell>
        </row>
        <row r="2719">
          <cell r="A2719">
            <v>33046</v>
          </cell>
          <cell r="B2719" t="str">
            <v>CORPORATION</v>
          </cell>
          <cell r="C2719" t="str">
            <v>Comercial K2 - Ferro &amp; Aco Ltda</v>
          </cell>
          <cell r="D2719" t="str">
            <v>Comercial K2</v>
          </cell>
          <cell r="E2719" t="str">
            <v>BR_CNPJ</v>
          </cell>
          <cell r="F2719" t="str">
            <v>06.050.770/0001-25</v>
          </cell>
        </row>
        <row r="2720">
          <cell r="A2720">
            <v>33047</v>
          </cell>
          <cell r="B2720" t="str">
            <v>CORPORATION</v>
          </cell>
          <cell r="C2720" t="str">
            <v>Gf Comercio De Ferragens Ltda - Me</v>
          </cell>
          <cell r="D2720" t="str">
            <v>Gf Ferragens</v>
          </cell>
          <cell r="E2720" t="str">
            <v>BR_CNPJ</v>
          </cell>
          <cell r="F2720" t="str">
            <v>14.269.940/0001-95</v>
          </cell>
        </row>
        <row r="2721">
          <cell r="A2721">
            <v>33049</v>
          </cell>
          <cell r="B2721" t="str">
            <v>CORPORATION</v>
          </cell>
          <cell r="C2721" t="str">
            <v>Casio Materiais Para Construcao Civil Ltda - Epp</v>
          </cell>
          <cell r="D2721" t="str">
            <v>Casio Materiais Para Construcao Civil Ltda - Epp</v>
          </cell>
          <cell r="E2721" t="str">
            <v>BR_CNPJ</v>
          </cell>
          <cell r="F2721" t="str">
            <v>79.203.881/0001-06</v>
          </cell>
        </row>
        <row r="2722">
          <cell r="A2722">
            <v>33052</v>
          </cell>
          <cell r="B2722" t="str">
            <v>CORPORATION</v>
          </cell>
          <cell r="C2722" t="str">
            <v>Ronaldo De Mendonca Naves &amp; Cia. Ltda - Me</v>
          </cell>
          <cell r="D2722" t="str">
            <v>Oxi - Caldas</v>
          </cell>
          <cell r="E2722" t="str">
            <v>BR_CNPJ</v>
          </cell>
          <cell r="F2722" t="str">
            <v>04.173.550/0001-63</v>
          </cell>
        </row>
        <row r="2723">
          <cell r="A2723">
            <v>33055</v>
          </cell>
          <cell r="B2723" t="str">
            <v>CORPORATION</v>
          </cell>
          <cell r="C2723" t="str">
            <v>Dual Material De Construcao Ltda</v>
          </cell>
          <cell r="D2723" t="str">
            <v>Dual Material De Construcao Ltda</v>
          </cell>
          <cell r="E2723" t="str">
            <v>BR_CNPJ</v>
          </cell>
          <cell r="F2723" t="str">
            <v>31.282.122/0001-41</v>
          </cell>
        </row>
        <row r="2724">
          <cell r="A2724">
            <v>33058</v>
          </cell>
          <cell r="B2724" t="str">
            <v>CORPORATION</v>
          </cell>
          <cell r="C2724" t="str">
            <v>Vl Maquinas E Equipamentos Ltda - Me</v>
          </cell>
          <cell r="D2724" t="str">
            <v>Agrolio Maquinas</v>
          </cell>
          <cell r="E2724" t="str">
            <v>BR_CNPJ</v>
          </cell>
          <cell r="F2724" t="str">
            <v>13.621.276/0001-39</v>
          </cell>
        </row>
        <row r="2725">
          <cell r="A2725">
            <v>33061</v>
          </cell>
          <cell r="B2725" t="str">
            <v>CORPORATION</v>
          </cell>
          <cell r="C2725" t="str">
            <v>K.M.C Krol Montagens E Construcoes Eireli - Epp</v>
          </cell>
          <cell r="D2725" t="str">
            <v>K M C - Krol Montagens</v>
          </cell>
          <cell r="E2725" t="str">
            <v>BR_CNPJ</v>
          </cell>
          <cell r="F2725" t="str">
            <v>04.808.850/0001-71</v>
          </cell>
        </row>
        <row r="2726">
          <cell r="A2726">
            <v>33064</v>
          </cell>
          <cell r="B2726" t="str">
            <v>CORPORATION</v>
          </cell>
          <cell r="C2726" t="str">
            <v>Concremam Materiais Para Construcao Ltda</v>
          </cell>
          <cell r="D2726" t="str">
            <v>Concremam Materiais Para Construcao Ltda</v>
          </cell>
          <cell r="E2726" t="str">
            <v>BR_CNPJ</v>
          </cell>
          <cell r="F2726" t="str">
            <v>79.762.514/0001-34</v>
          </cell>
        </row>
        <row r="2727">
          <cell r="A2727">
            <v>33065</v>
          </cell>
          <cell r="B2727" t="str">
            <v>CORPORATION</v>
          </cell>
          <cell r="C2727" t="str">
            <v>Rubia Pinheiro Ferreira</v>
          </cell>
          <cell r="D2727" t="str">
            <v>Fort Parts Parafusos E Ferramentas</v>
          </cell>
          <cell r="E2727" t="str">
            <v>BR_CNPJ</v>
          </cell>
          <cell r="F2727" t="str">
            <v>21.710.134/0002-57</v>
          </cell>
        </row>
        <row r="2728">
          <cell r="A2728">
            <v>33067</v>
          </cell>
          <cell r="B2728" t="str">
            <v>CORPORATION</v>
          </cell>
          <cell r="C2728" t="str">
            <v>Juliatto Materiais De Construcao Ltda - Me</v>
          </cell>
          <cell r="D2728" t="str">
            <v>Juliatto Materiais De Construcao Ltda - Me</v>
          </cell>
          <cell r="E2728" t="str">
            <v>BR_CNPJ</v>
          </cell>
          <cell r="F2728" t="str">
            <v>76.105.246/0001-90</v>
          </cell>
        </row>
        <row r="2729">
          <cell r="A2729">
            <v>33070</v>
          </cell>
          <cell r="B2729" t="str">
            <v>CORPORATION</v>
          </cell>
          <cell r="C2729" t="str">
            <v>Comercio De Ferramentas Mc Ltda - Me</v>
          </cell>
          <cell r="D2729" t="str">
            <v>Comercio De Ferramentas Mc Ltda - Me</v>
          </cell>
          <cell r="E2729" t="str">
            <v>BR_CNPJ</v>
          </cell>
          <cell r="F2729" t="str">
            <v>16.602.127/0001-10</v>
          </cell>
        </row>
        <row r="2730">
          <cell r="A2730">
            <v>33073</v>
          </cell>
          <cell r="B2730" t="str">
            <v>CORPORATION</v>
          </cell>
          <cell r="C2730" t="str">
            <v>Ferrashopping Ferramentas Ltda</v>
          </cell>
          <cell r="D2730" t="str">
            <v>Ferrashopping Ferramentas Ltda</v>
          </cell>
          <cell r="E2730" t="str">
            <v>BR_CNPJ</v>
          </cell>
          <cell r="F2730" t="str">
            <v>04.956.246/0001-92</v>
          </cell>
        </row>
        <row r="2731">
          <cell r="A2731">
            <v>33076</v>
          </cell>
          <cell r="B2731" t="str">
            <v>CORPORATION</v>
          </cell>
          <cell r="C2731" t="str">
            <v>Multi Uso Ferragens Ltda - Me</v>
          </cell>
          <cell r="D2731" t="str">
            <v>Multi Uso Ferragens Ltda - Me</v>
          </cell>
          <cell r="E2731" t="str">
            <v>BR_CNPJ</v>
          </cell>
          <cell r="F2731" t="str">
            <v>07.113.862/0001-70</v>
          </cell>
        </row>
        <row r="2732">
          <cell r="A2732">
            <v>33079</v>
          </cell>
          <cell r="B2732" t="str">
            <v>CORPORATION</v>
          </cell>
          <cell r="C2732" t="str">
            <v>Poli Materiais De Construcao Ltda - Epp</v>
          </cell>
          <cell r="D2732" t="str">
            <v>Poli</v>
          </cell>
          <cell r="E2732" t="str">
            <v>BR_CNPJ</v>
          </cell>
          <cell r="F2732" t="str">
            <v>36.312.239/0001-44</v>
          </cell>
        </row>
        <row r="2733">
          <cell r="A2733">
            <v>33082</v>
          </cell>
          <cell r="B2733" t="str">
            <v>CORPORATION</v>
          </cell>
          <cell r="C2733" t="str">
            <v>Mwa Materiais De Construcao Ltda - Me</v>
          </cell>
          <cell r="D2733" t="str">
            <v>Mwa Materiais De Construcao</v>
          </cell>
          <cell r="E2733" t="str">
            <v>BR_CNPJ</v>
          </cell>
          <cell r="F2733" t="str">
            <v>03.529.877/0001-62</v>
          </cell>
        </row>
        <row r="2734">
          <cell r="A2734">
            <v>33083</v>
          </cell>
          <cell r="B2734" t="str">
            <v>CORPORATION</v>
          </cell>
          <cell r="C2734" t="str">
            <v>Imbau Materiais De Construcao Ltda</v>
          </cell>
          <cell r="D2734" t="str">
            <v>Comercial Mansur</v>
          </cell>
          <cell r="E2734" t="str">
            <v>BR_CNPJ</v>
          </cell>
          <cell r="F2734" t="str">
            <v>12.444.503/0001-35</v>
          </cell>
        </row>
        <row r="2735">
          <cell r="A2735">
            <v>33085</v>
          </cell>
          <cell r="B2735" t="str">
            <v>CORPORATION</v>
          </cell>
          <cell r="C2735" t="str">
            <v>Tigrao Materiais De Construcao Ltda - Me</v>
          </cell>
          <cell r="D2735" t="str">
            <v>Tigrao Materiais De Construcao Ltda - Me</v>
          </cell>
          <cell r="E2735" t="str">
            <v>BR_CNPJ</v>
          </cell>
          <cell r="F2735" t="str">
            <v>93.342.335/0001-79</v>
          </cell>
        </row>
        <row r="2736">
          <cell r="A2736">
            <v>33088</v>
          </cell>
          <cell r="B2736" t="str">
            <v>CORPORATION</v>
          </cell>
          <cell r="C2736" t="str">
            <v>Casa Da Borracha Carmelitana Ltda - Epp</v>
          </cell>
          <cell r="D2736" t="str">
            <v>Casa Da Borracha Carmelitana Ltda - Epp</v>
          </cell>
          <cell r="E2736" t="str">
            <v>BR_CNPJ</v>
          </cell>
          <cell r="F2736" t="str">
            <v>22.031.355/0001-80</v>
          </cell>
        </row>
        <row r="2737">
          <cell r="A2737">
            <v>33091</v>
          </cell>
          <cell r="B2737" t="str">
            <v>CORPORATION</v>
          </cell>
          <cell r="C2737" t="str">
            <v>Casa Dos Parafusos Ltda</v>
          </cell>
          <cell r="D2737" t="str">
            <v>Casa Dos Parafusos Ltda</v>
          </cell>
          <cell r="E2737" t="str">
            <v>BR_CNPJ</v>
          </cell>
          <cell r="F2737" t="str">
            <v>16.914.715/0001-90</v>
          </cell>
        </row>
        <row r="2738">
          <cell r="A2738">
            <v>33093</v>
          </cell>
          <cell r="B2738" t="str">
            <v>CORPORATION</v>
          </cell>
          <cell r="C2738" t="str">
            <v>Bortolato Material Para Construcao Ltda</v>
          </cell>
          <cell r="D2738" t="str">
            <v>Bortolato Material Para Construcao Ltda</v>
          </cell>
          <cell r="E2738" t="str">
            <v>BR_CNPJ</v>
          </cell>
          <cell r="F2738" t="str">
            <v>79.227.534/0002-96</v>
          </cell>
        </row>
        <row r="2739">
          <cell r="A2739">
            <v>33096</v>
          </cell>
          <cell r="B2739" t="str">
            <v>CORPORATION</v>
          </cell>
          <cell r="C2739" t="str">
            <v>Spinali Materias De Construcao Ltda - Epp</v>
          </cell>
          <cell r="D2739" t="str">
            <v>Pulga E Gigo Materiais De Construcao</v>
          </cell>
          <cell r="E2739" t="str">
            <v>BR_CNPJ</v>
          </cell>
          <cell r="F2739" t="str">
            <v>02.130.637/0001-28</v>
          </cell>
        </row>
        <row r="2740">
          <cell r="A2740">
            <v>33099</v>
          </cell>
          <cell r="B2740" t="str">
            <v>CORPORATION</v>
          </cell>
          <cell r="C2740" t="str">
            <v>Materiais De Construcao Ortigueira Ltda - Epp</v>
          </cell>
          <cell r="D2740" t="str">
            <v>Matecol</v>
          </cell>
          <cell r="E2740" t="str">
            <v>BR_CNPJ</v>
          </cell>
          <cell r="F2740" t="str">
            <v>77.030.757/0001-52</v>
          </cell>
        </row>
        <row r="2741">
          <cell r="A2741">
            <v>33102</v>
          </cell>
          <cell r="B2741" t="str">
            <v>CORPORATION</v>
          </cell>
          <cell r="C2741" t="str">
            <v>Bornancin Materiais De Construcao Ltda - Epp</v>
          </cell>
          <cell r="D2741" t="str">
            <v>Bornancin Materiais De Construcao Ltda - Epp</v>
          </cell>
          <cell r="E2741" t="str">
            <v>BR_CNPJ</v>
          </cell>
          <cell r="F2741" t="str">
            <v>05.909.705/0001-40</v>
          </cell>
        </row>
        <row r="2742">
          <cell r="A2742">
            <v>33105</v>
          </cell>
          <cell r="B2742" t="str">
            <v>CORPORATION</v>
          </cell>
          <cell r="C2742" t="str">
            <v>Macedo Comercio De Maquinas E Equipamentos Ltda</v>
          </cell>
          <cell r="D2742" t="str">
            <v>Macedo Parafusos E Ferramentas</v>
          </cell>
          <cell r="E2742" t="str">
            <v>BR_CNPJ</v>
          </cell>
          <cell r="F2742" t="str">
            <v>08.711.971/0001-51</v>
          </cell>
          <cell r="G2742" t="str">
            <v>MACEDO</v>
          </cell>
        </row>
        <row r="2743">
          <cell r="A2743">
            <v>33112</v>
          </cell>
          <cell r="B2743" t="str">
            <v>CORPORATION</v>
          </cell>
          <cell r="C2743" t="str">
            <v>Mg Flex Comercial Ltda - Epp</v>
          </cell>
          <cell r="D2743" t="str">
            <v>Mg Flex Comercial Ltda - Epp</v>
          </cell>
          <cell r="E2743" t="str">
            <v>BR_CNPJ</v>
          </cell>
          <cell r="F2743" t="str">
            <v>10.202.798/0001-08</v>
          </cell>
        </row>
        <row r="2744">
          <cell r="A2744">
            <v>33115</v>
          </cell>
          <cell r="B2744" t="str">
            <v>CORPORATION</v>
          </cell>
          <cell r="C2744" t="str">
            <v>S L De O Santos - Me</v>
          </cell>
          <cell r="D2744" t="str">
            <v>Master Ferramentas</v>
          </cell>
          <cell r="E2744" t="str">
            <v>BR_CNPJ</v>
          </cell>
          <cell r="F2744" t="str">
            <v>09.576.400/0001-14</v>
          </cell>
        </row>
        <row r="2745">
          <cell r="A2745">
            <v>33118</v>
          </cell>
          <cell r="B2745" t="str">
            <v>CORPORATION</v>
          </cell>
          <cell r="C2745" t="str">
            <v>Adelson &amp; Silva Ltda - Me</v>
          </cell>
          <cell r="D2745" t="str">
            <v>Adelson &amp; Silva Ltda - Me</v>
          </cell>
          <cell r="E2745" t="str">
            <v>BR_CNPJ</v>
          </cell>
          <cell r="F2745" t="str">
            <v>12.807.186/0001-74</v>
          </cell>
        </row>
        <row r="2746">
          <cell r="A2746">
            <v>33121</v>
          </cell>
          <cell r="B2746" t="str">
            <v>CORPORATION</v>
          </cell>
          <cell r="C2746" t="str">
            <v>Brasil Maquinas E Ferramentas Ltda - Me</v>
          </cell>
          <cell r="D2746" t="str">
            <v>Brasil Maquinas E Ferramentas Ltda - Me</v>
          </cell>
          <cell r="E2746" t="str">
            <v>BR_CNPJ</v>
          </cell>
          <cell r="F2746" t="str">
            <v>09.632.309/0001-79</v>
          </cell>
        </row>
        <row r="2747">
          <cell r="A2747">
            <v>33123</v>
          </cell>
          <cell r="B2747" t="str">
            <v>CORPORATION</v>
          </cell>
          <cell r="C2747" t="str">
            <v>Ferqmag Ferramentas Ltda - Epp</v>
          </cell>
          <cell r="D2747" t="str">
            <v>Ferqmag Ferramentas Ltda - Epp</v>
          </cell>
          <cell r="E2747" t="str">
            <v>BR_CNPJ</v>
          </cell>
          <cell r="F2747" t="str">
            <v>05.834.370/0001-48</v>
          </cell>
        </row>
        <row r="2748">
          <cell r="A2748">
            <v>33126</v>
          </cell>
          <cell r="B2748" t="str">
            <v>CORPORATION</v>
          </cell>
          <cell r="C2748" t="str">
            <v>Carbosolda Comercial De Ferramentas E Eletricos Ltda.</v>
          </cell>
          <cell r="D2748" t="str">
            <v>Carbosolda Comercial De Ferramentas E Eletricos Ltda.</v>
          </cell>
          <cell r="E2748" t="str">
            <v>BR_CNPJ</v>
          </cell>
          <cell r="F2748" t="str">
            <v>07.744.618/0001-05</v>
          </cell>
        </row>
        <row r="2749">
          <cell r="A2749">
            <v>33129</v>
          </cell>
          <cell r="B2749" t="str">
            <v>CORPORATION</v>
          </cell>
          <cell r="C2749" t="str">
            <v>Freire &amp; Cia Ltda</v>
          </cell>
          <cell r="D2749" t="str">
            <v>Nacional Borracha</v>
          </cell>
          <cell r="E2749" t="str">
            <v>BR_CNPJ</v>
          </cell>
          <cell r="F2749" t="str">
            <v>05.082.145/0001-00</v>
          </cell>
        </row>
        <row r="2750">
          <cell r="A2750">
            <v>33132</v>
          </cell>
          <cell r="B2750" t="str">
            <v>CORPORATION</v>
          </cell>
          <cell r="C2750" t="str">
            <v>Rv Comercio E Representacoes Ltda</v>
          </cell>
          <cell r="D2750" t="str">
            <v>Rv Comercio E Representacoes Ltda</v>
          </cell>
          <cell r="E2750" t="str">
            <v>BR_CNPJ</v>
          </cell>
          <cell r="F2750" t="str">
            <v>63.446.405/0001-78</v>
          </cell>
        </row>
        <row r="2751">
          <cell r="A2751">
            <v>33136</v>
          </cell>
          <cell r="B2751" t="str">
            <v>CORPORATION</v>
          </cell>
          <cell r="C2751" t="str">
            <v>Alfa Equipamentos Para Postos De Servicos Ltda - Me</v>
          </cell>
          <cell r="D2751" t="str">
            <v>Ekilub</v>
          </cell>
          <cell r="E2751" t="str">
            <v>BR_CNPJ</v>
          </cell>
          <cell r="F2751" t="str">
            <v>07.326.839/0002-44</v>
          </cell>
        </row>
        <row r="2752">
          <cell r="A2752">
            <v>33139</v>
          </cell>
          <cell r="B2752" t="str">
            <v>CORPORATION</v>
          </cell>
          <cell r="C2752" t="str">
            <v>Multi Fix Comercio De Fixadores E Acessorios Para Serralheria Ltda</v>
          </cell>
          <cell r="D2752" t="str">
            <v>Multi Fix</v>
          </cell>
          <cell r="E2752" t="str">
            <v>BR_CNPJ</v>
          </cell>
          <cell r="F2752" t="str">
            <v>29.725.859/0001-40</v>
          </cell>
        </row>
        <row r="2753">
          <cell r="A2753">
            <v>33140</v>
          </cell>
          <cell r="B2753" t="str">
            <v>CORPORATION</v>
          </cell>
          <cell r="C2753" t="str">
            <v>Comercial Leite Dias Ltda - Epp</v>
          </cell>
          <cell r="D2753" t="str">
            <v>Comercial Leite Dias</v>
          </cell>
          <cell r="E2753" t="str">
            <v>BR_CNPJ</v>
          </cell>
          <cell r="F2753" t="str">
            <v>24.591.968/0001-06</v>
          </cell>
        </row>
        <row r="2754">
          <cell r="A2754">
            <v>33142</v>
          </cell>
          <cell r="B2754" t="str">
            <v>CORPORATION</v>
          </cell>
          <cell r="C2754" t="str">
            <v>M Do S S De Souza - Me</v>
          </cell>
          <cell r="D2754" t="str">
            <v>Rodante</v>
          </cell>
          <cell r="E2754" t="str">
            <v>BR_CNPJ</v>
          </cell>
          <cell r="F2754" t="str">
            <v>06.936.196/0001-07</v>
          </cell>
        </row>
        <row r="2755">
          <cell r="A2755">
            <v>33143</v>
          </cell>
          <cell r="B2755" t="str">
            <v>CORPORATION</v>
          </cell>
          <cell r="C2755" t="str">
            <v>Max Brasil Importacao Exportacao Eireli</v>
          </cell>
          <cell r="D2755" t="str">
            <v>Max Brasil Importacao Exportacao</v>
          </cell>
          <cell r="E2755" t="str">
            <v>BR_CNPJ</v>
          </cell>
          <cell r="F2755" t="str">
            <v>36.190.459/0002-23</v>
          </cell>
          <cell r="G2755" t="str">
            <v>QUALIDADE TOOLS</v>
          </cell>
        </row>
        <row r="2756">
          <cell r="A2756">
            <v>33145</v>
          </cell>
          <cell r="B2756" t="str">
            <v>CORPORATION</v>
          </cell>
          <cell r="C2756" t="str">
            <v>Huller Motosserras Ltda - Me</v>
          </cell>
          <cell r="D2756" t="str">
            <v>Huller Motosserras</v>
          </cell>
          <cell r="E2756" t="str">
            <v>BR_CNPJ</v>
          </cell>
          <cell r="F2756" t="str">
            <v>08.236.045/0001-71</v>
          </cell>
        </row>
        <row r="2757">
          <cell r="A2757">
            <v>33148</v>
          </cell>
          <cell r="B2757" t="str">
            <v>CORPORATION</v>
          </cell>
          <cell r="C2757" t="str">
            <v>Rlh Pneus Ltda</v>
          </cell>
          <cell r="D2757" t="str">
            <v>Casa Do Borracheiro</v>
          </cell>
          <cell r="E2757" t="str">
            <v>BR_CNPJ</v>
          </cell>
          <cell r="F2757" t="str">
            <v>40.892.101/0002-10</v>
          </cell>
        </row>
        <row r="2758">
          <cell r="A2758">
            <v>33150</v>
          </cell>
          <cell r="B2758" t="str">
            <v>CORPORATION</v>
          </cell>
          <cell r="C2758" t="str">
            <v>Comercio De Materiais De Construcao Antares Ltda - Me</v>
          </cell>
          <cell r="D2758" t="str">
            <v>Comercio De Materiais De Construcao Antares Ltda - Me</v>
          </cell>
          <cell r="E2758" t="str">
            <v>BR_CNPJ</v>
          </cell>
          <cell r="F2758" t="str">
            <v>72.368.947/0001-60</v>
          </cell>
        </row>
        <row r="2759">
          <cell r="A2759">
            <v>33151</v>
          </cell>
          <cell r="B2759" t="str">
            <v>CORPORATION</v>
          </cell>
          <cell r="C2759" t="str">
            <v>Schroeder Distribuidora De Pecas Agricolas E Industriais Ltda</v>
          </cell>
          <cell r="D2759" t="str">
            <v>Schroeder Distribuidora De Pecas Agricolas E Industriais</v>
          </cell>
          <cell r="E2759" t="str">
            <v>BR_CNPJ</v>
          </cell>
          <cell r="F2759" t="str">
            <v>49.162.876/0001-23</v>
          </cell>
        </row>
        <row r="2760">
          <cell r="A2760">
            <v>33153</v>
          </cell>
          <cell r="B2760" t="str">
            <v>CORPORATION</v>
          </cell>
          <cell r="C2760" t="str">
            <v>L. H. Donega Rodrigues - Me</v>
          </cell>
          <cell r="D2760" t="str">
            <v>Domake</v>
          </cell>
          <cell r="E2760" t="str">
            <v>BR_CNPJ</v>
          </cell>
          <cell r="F2760" t="str">
            <v>07.860.367/0001-24</v>
          </cell>
        </row>
        <row r="2761">
          <cell r="A2761">
            <v>33154</v>
          </cell>
          <cell r="B2761" t="str">
            <v>CORPORATION</v>
          </cell>
          <cell r="C2761" t="str">
            <v>Nlb Motores E Bombas Ltda</v>
          </cell>
          <cell r="D2761" t="str">
            <v>Nlb Motores E Bombas</v>
          </cell>
          <cell r="E2761" t="str">
            <v>BR_CNPJ</v>
          </cell>
          <cell r="F2761" t="str">
            <v>28.570.581/0001-16</v>
          </cell>
          <cell r="G2761" t="str">
            <v>MOTORBASS</v>
          </cell>
        </row>
        <row r="2762">
          <cell r="A2762">
            <v>33156</v>
          </cell>
          <cell r="B2762" t="str">
            <v>CORPORATION</v>
          </cell>
          <cell r="C2762" t="str">
            <v>Casa Do Parafuso Vasconcelos Ltda - Epp</v>
          </cell>
          <cell r="D2762" t="str">
            <v>Casa Do Parafuso Vasconcelos Ltda - Epp</v>
          </cell>
          <cell r="E2762" t="str">
            <v>BR_CNPJ</v>
          </cell>
          <cell r="F2762" t="str">
            <v>86.994.175/0001-87</v>
          </cell>
        </row>
        <row r="2763">
          <cell r="A2763">
            <v>33158</v>
          </cell>
          <cell r="B2763" t="str">
            <v>CORPORATION</v>
          </cell>
          <cell r="C2763" t="str">
            <v>Fercai Comercio De Ferramentas E Equipamentos Ltda - Me</v>
          </cell>
          <cell r="D2763" t="str">
            <v>Fercai Comercio De Ferramentas E Equipamentos Ltda - Me</v>
          </cell>
          <cell r="E2763" t="str">
            <v>BR_CNPJ</v>
          </cell>
          <cell r="F2763" t="str">
            <v>02.550.560/0001-45</v>
          </cell>
        </row>
        <row r="2764">
          <cell r="A2764">
            <v>33160</v>
          </cell>
          <cell r="B2764" t="str">
            <v>CORPORATION</v>
          </cell>
          <cell r="C2764" t="str">
            <v>Heebe Mats De Construcao Ltda</v>
          </cell>
          <cell r="D2764" t="str">
            <v>Heebe Mats De Construcao Ltda</v>
          </cell>
          <cell r="E2764" t="str">
            <v>BR_CNPJ</v>
          </cell>
          <cell r="F2764" t="str">
            <v>78.220.001/0001-39</v>
          </cell>
        </row>
        <row r="2765">
          <cell r="A2765">
            <v>33163</v>
          </cell>
          <cell r="B2765" t="str">
            <v>CORPORATION</v>
          </cell>
          <cell r="C2765" t="str">
            <v>Jafi Ferramentas Ltda - Me</v>
          </cell>
          <cell r="D2765" t="str">
            <v>Jafi Ferramentas Ltda - Me</v>
          </cell>
          <cell r="E2765" t="str">
            <v>BR_CNPJ</v>
          </cell>
          <cell r="F2765" t="str">
            <v>15.760.562/0001-00</v>
          </cell>
        </row>
        <row r="2766">
          <cell r="A2766">
            <v>33166</v>
          </cell>
          <cell r="B2766" t="str">
            <v>CORPORATION</v>
          </cell>
          <cell r="C2766" t="str">
            <v>Fepar Parafusos E Ferramentas Ltda - Epp</v>
          </cell>
          <cell r="D2766" t="str">
            <v>Fepar Parafusos E Ferramentas Ltda - Epp</v>
          </cell>
          <cell r="E2766" t="str">
            <v>BR_CNPJ</v>
          </cell>
          <cell r="F2766" t="str">
            <v>26.850.339/0001-70</v>
          </cell>
        </row>
        <row r="2767">
          <cell r="A2767">
            <v>33168</v>
          </cell>
          <cell r="B2767" t="str">
            <v>CORPORATION</v>
          </cell>
          <cell r="C2767" t="str">
            <v>Shop Commerce Comercio Varejista De Eletrodomestico Ltda</v>
          </cell>
          <cell r="D2767" t="str">
            <v>Shop Commerce</v>
          </cell>
          <cell r="E2767" t="str">
            <v>BR_CNPJ</v>
          </cell>
          <cell r="F2767" t="str">
            <v>39.753.270/0001-09</v>
          </cell>
          <cell r="G2767" t="str">
            <v>MGM FERRAMENTAS</v>
          </cell>
        </row>
        <row r="2768">
          <cell r="A2768">
            <v>33169</v>
          </cell>
          <cell r="B2768" t="str">
            <v>CORPORATION</v>
          </cell>
          <cell r="C2768" t="str">
            <v>Materiais De Construcao Espindola Ltda - Epp</v>
          </cell>
          <cell r="D2768" t="str">
            <v>Materiais De Construcao Espindola Ltda - Epp</v>
          </cell>
          <cell r="E2768" t="str">
            <v>BR_CNPJ</v>
          </cell>
          <cell r="F2768" t="str">
            <v>83.491.191/0001-69</v>
          </cell>
        </row>
        <row r="2769">
          <cell r="A2769">
            <v>33171</v>
          </cell>
          <cell r="B2769" t="str">
            <v>CORPORATION</v>
          </cell>
          <cell r="C2769" t="str">
            <v>Aruana Comercial De Equipamentos Mecanicos Ltda - Me</v>
          </cell>
          <cell r="D2769" t="str">
            <v>Aruana Comercial De Equipamentos Mecanicos Ltda - Me</v>
          </cell>
          <cell r="E2769" t="str">
            <v>BR_CNPJ</v>
          </cell>
          <cell r="F2769" t="str">
            <v>34.997.908/0001-33</v>
          </cell>
        </row>
        <row r="2770">
          <cell r="A2770">
            <v>33174</v>
          </cell>
          <cell r="B2770" t="str">
            <v>CORPORATION</v>
          </cell>
          <cell r="C2770" t="str">
            <v>D G B Comercial Ltda . - Epp</v>
          </cell>
          <cell r="D2770" t="str">
            <v>D G B Comercial Ltda . - Epp</v>
          </cell>
          <cell r="E2770" t="str">
            <v>BR_CNPJ</v>
          </cell>
          <cell r="F2770" t="str">
            <v>72.207.509/0001-10</v>
          </cell>
        </row>
        <row r="2771">
          <cell r="A2771">
            <v>33176</v>
          </cell>
          <cell r="B2771" t="str">
            <v>CORPORATION</v>
          </cell>
          <cell r="C2771" t="str">
            <v>Fagundes Comercio De Parafusos Ltda</v>
          </cell>
          <cell r="D2771" t="str">
            <v>Casa Dos Parafusos</v>
          </cell>
          <cell r="E2771" t="str">
            <v>BR_CNPJ</v>
          </cell>
          <cell r="F2771" t="str">
            <v>04.535.631/0001-66</v>
          </cell>
        </row>
        <row r="2772">
          <cell r="A2772">
            <v>33177</v>
          </cell>
          <cell r="B2772" t="str">
            <v>CORPORATION</v>
          </cell>
          <cell r="C2772" t="str">
            <v>Aradas Materiais De Construcao Ltda - Me</v>
          </cell>
          <cell r="D2772" t="str">
            <v>Aradas Materiais De Construcao Ltda - Me</v>
          </cell>
          <cell r="E2772" t="str">
            <v>BR_CNPJ</v>
          </cell>
          <cell r="F2772" t="str">
            <v>84.818.376/0001-06</v>
          </cell>
        </row>
        <row r="2773">
          <cell r="A2773">
            <v>33180</v>
          </cell>
          <cell r="B2773" t="str">
            <v>CORPORATION</v>
          </cell>
          <cell r="C2773" t="str">
            <v>A Vantajosa Materiais De Construcao Ltda - Epp</v>
          </cell>
          <cell r="D2773" t="str">
            <v>A Vantajosa Materiais De Construcao Ltda - Epp</v>
          </cell>
          <cell r="E2773" t="str">
            <v>BR_CNPJ</v>
          </cell>
          <cell r="F2773" t="str">
            <v>76.472.323/0001-40</v>
          </cell>
        </row>
        <row r="2774">
          <cell r="A2774">
            <v>33183</v>
          </cell>
          <cell r="B2774" t="str">
            <v>CORPORATION</v>
          </cell>
          <cell r="C2774" t="str">
            <v>D P Barbosa Maquinas E Ferramentas Ltda</v>
          </cell>
          <cell r="D2774" t="str">
            <v>D P Barbosa Maquinas E Ferramentas Ltda</v>
          </cell>
          <cell r="E2774" t="str">
            <v>BR_CNPJ</v>
          </cell>
          <cell r="F2774" t="str">
            <v>08.732.993/0001-06</v>
          </cell>
        </row>
        <row r="2775">
          <cell r="A2775">
            <v>33186</v>
          </cell>
          <cell r="B2775" t="str">
            <v>CORPORATION</v>
          </cell>
          <cell r="C2775" t="str">
            <v>Jose Ernane Feijao - Me</v>
          </cell>
          <cell r="D2775" t="str">
            <v>Jose Ernane Feijao - Me</v>
          </cell>
          <cell r="E2775" t="str">
            <v>BR_CNPJ</v>
          </cell>
          <cell r="F2775" t="str">
            <v>05.832.838/0001-65</v>
          </cell>
        </row>
        <row r="2776">
          <cell r="A2776">
            <v>33189</v>
          </cell>
          <cell r="B2776" t="str">
            <v>CORPORATION</v>
          </cell>
          <cell r="C2776" t="str">
            <v>Emporium Da Construcao Ltda - Me</v>
          </cell>
          <cell r="D2776" t="str">
            <v>Emporium Da Construcao Ltda - Me</v>
          </cell>
          <cell r="E2776" t="str">
            <v>BR_CNPJ</v>
          </cell>
          <cell r="F2776" t="str">
            <v>14.147.340/0001-54</v>
          </cell>
        </row>
        <row r="2777">
          <cell r="A2777">
            <v>33192</v>
          </cell>
          <cell r="B2777" t="str">
            <v>CORPORATION</v>
          </cell>
          <cell r="C2777" t="str">
            <v>M. C. Cavalcante Pacifico - Me</v>
          </cell>
          <cell r="D2777" t="str">
            <v>Mc Cavalcante Pacifico - Me</v>
          </cell>
          <cell r="E2777" t="str">
            <v>BR_CNPJ</v>
          </cell>
          <cell r="F2777" t="str">
            <v>08.164.385/0001-34</v>
          </cell>
          <cell r="G2777" t="str">
            <v>MC CAVALCANTE</v>
          </cell>
        </row>
        <row r="2778">
          <cell r="A2778">
            <v>33194</v>
          </cell>
          <cell r="B2778" t="str">
            <v>CORPORATION</v>
          </cell>
          <cell r="C2778" t="str">
            <v>Ferro E Aco Ade Comercial De Ferragens Ltda</v>
          </cell>
          <cell r="D2778" t="str">
            <v>Ferro E Aco Ade Comercial De Ferragens Ltda</v>
          </cell>
          <cell r="E2778" t="str">
            <v>BR_CNPJ</v>
          </cell>
          <cell r="F2778" t="str">
            <v>41.553.773/0001-82</v>
          </cell>
          <cell r="G2778" t="str">
            <v>FERROMIL</v>
          </cell>
        </row>
        <row r="2779">
          <cell r="A2779">
            <v>33199</v>
          </cell>
          <cell r="B2779" t="str">
            <v>CORPORATION</v>
          </cell>
          <cell r="C2779" t="str">
            <v>Proferramentas - Comercio De Ferramentas E Equipamentos Ltda - Me</v>
          </cell>
          <cell r="D2779" t="str">
            <v>Proferramentas</v>
          </cell>
          <cell r="E2779" t="str">
            <v>BR_CNPJ</v>
          </cell>
          <cell r="F2779" t="str">
            <v>03.841.602/0001-60</v>
          </cell>
        </row>
        <row r="2780">
          <cell r="A2780">
            <v>33202</v>
          </cell>
          <cell r="B2780" t="str">
            <v>CORPORATION</v>
          </cell>
          <cell r="C2780" t="str">
            <v>Comercial Guaruja Ltda - Epp</v>
          </cell>
          <cell r="D2780" t="str">
            <v>Disagua</v>
          </cell>
          <cell r="E2780" t="str">
            <v>BR_CNPJ</v>
          </cell>
          <cell r="F2780" t="str">
            <v>10.612.219/0001-03</v>
          </cell>
          <cell r="G2780" t="str">
            <v>DISAGUA</v>
          </cell>
        </row>
        <row r="2781">
          <cell r="A2781">
            <v>33205</v>
          </cell>
          <cell r="B2781" t="str">
            <v>CORPORATION</v>
          </cell>
          <cell r="C2781" t="str">
            <v>Guaruja Comercio De Ferragens Ltda - Epp</v>
          </cell>
          <cell r="D2781" t="str">
            <v>Guaruja Comercio De Ferragens Ltda - Epp</v>
          </cell>
          <cell r="E2781" t="str">
            <v>BR_CNPJ</v>
          </cell>
          <cell r="F2781" t="str">
            <v>08.139.789/0003-30</v>
          </cell>
        </row>
        <row r="2782">
          <cell r="A2782">
            <v>33209</v>
          </cell>
          <cell r="B2782" t="str">
            <v>CORPORATION</v>
          </cell>
          <cell r="C2782" t="str">
            <v>J D Comercio E Importacao Ltda</v>
          </cell>
          <cell r="D2782" t="str">
            <v>Rei Da Borracha</v>
          </cell>
          <cell r="E2782" t="str">
            <v>BR_CNPJ</v>
          </cell>
          <cell r="F2782" t="str">
            <v>05.705.694/0001-86</v>
          </cell>
        </row>
        <row r="2783">
          <cell r="A2783">
            <v>33211</v>
          </cell>
          <cell r="B2783" t="str">
            <v>CORPORATION</v>
          </cell>
          <cell r="C2783" t="str">
            <v>Pemaza S/A</v>
          </cell>
          <cell r="D2783" t="str">
            <v>Pemaza Auto Pecas</v>
          </cell>
          <cell r="E2783" t="str">
            <v>BR_CNPJ</v>
          </cell>
          <cell r="F2783" t="str">
            <v>05.215.132/0001-54</v>
          </cell>
        </row>
        <row r="2784">
          <cell r="A2784">
            <v>33217</v>
          </cell>
          <cell r="B2784" t="str">
            <v>CORPORATION</v>
          </cell>
          <cell r="C2784" t="str">
            <v>Parafer Parafusos E Ferramentas Ltda - Epp</v>
          </cell>
          <cell r="D2784" t="str">
            <v>Parafer Parafusos E Ferramentas Ltda - Epp</v>
          </cell>
          <cell r="E2784" t="str">
            <v>BR_CNPJ</v>
          </cell>
          <cell r="F2784" t="str">
            <v>05.019.613/0001-94</v>
          </cell>
        </row>
        <row r="2785">
          <cell r="A2785">
            <v>33219</v>
          </cell>
          <cell r="B2785" t="str">
            <v>CORPORATION</v>
          </cell>
          <cell r="C2785" t="str">
            <v>Sos Mangueiras Comercio Atacadista Ltda</v>
          </cell>
          <cell r="D2785" t="str">
            <v>Sos Mangueiras</v>
          </cell>
          <cell r="E2785" t="str">
            <v>BR_CNPJ</v>
          </cell>
          <cell r="F2785" t="str">
            <v>04.198.082/0001-81</v>
          </cell>
        </row>
        <row r="2786">
          <cell r="A2786">
            <v>33220</v>
          </cell>
          <cell r="B2786" t="str">
            <v>CORPORATION</v>
          </cell>
          <cell r="C2786" t="str">
            <v>Metrofer Importadora De Ferramentas E Instrumentos De Medicao Ltda - Me</v>
          </cell>
          <cell r="D2786" t="str">
            <v>Metrofer Importadora De Ferramentas E Instrumentos De Medicao Ltda - Me</v>
          </cell>
          <cell r="E2786" t="str">
            <v>BR_CNPJ</v>
          </cell>
          <cell r="F2786" t="str">
            <v>04.242.418/0001-66</v>
          </cell>
        </row>
        <row r="2787">
          <cell r="A2787">
            <v>33222</v>
          </cell>
          <cell r="B2787" t="str">
            <v>CORPORATION</v>
          </cell>
          <cell r="C2787" t="str">
            <v>Neide Monteiro Rizzo Ltda</v>
          </cell>
          <cell r="D2787" t="str">
            <v>Camp-Gaservice</v>
          </cell>
          <cell r="E2787" t="str">
            <v>BR_CNPJ</v>
          </cell>
          <cell r="F2787" t="str">
            <v>50.535.176/0001-16</v>
          </cell>
          <cell r="G2787" t="str">
            <v>CAMP-GASERVICE</v>
          </cell>
        </row>
        <row r="2788">
          <cell r="A2788">
            <v>33223</v>
          </cell>
          <cell r="B2788" t="str">
            <v>CORPORATION</v>
          </cell>
          <cell r="C2788" t="str">
            <v>Fernorte Ferragens Do Norte Ltda - Epp</v>
          </cell>
          <cell r="D2788" t="str">
            <v>Fernorte Ferragens Do Norte Ltda - Epp</v>
          </cell>
          <cell r="E2788" t="str">
            <v>BR_CNPJ</v>
          </cell>
          <cell r="F2788" t="str">
            <v>34.571.851/0001-06</v>
          </cell>
        </row>
        <row r="2789">
          <cell r="A2789">
            <v>33225</v>
          </cell>
          <cell r="B2789" t="str">
            <v>CORPORATION</v>
          </cell>
          <cell r="C2789" t="str">
            <v>A Da Rocha Hozana &amp; Cia Ltda</v>
          </cell>
          <cell r="D2789" t="str">
            <v>A Da Rocha Hozana &amp; Cia Ltda</v>
          </cell>
          <cell r="E2789" t="str">
            <v>BR_CNPJ</v>
          </cell>
          <cell r="F2789" t="str">
            <v>02.200.737/0001-83</v>
          </cell>
        </row>
        <row r="2790">
          <cell r="A2790">
            <v>33226</v>
          </cell>
          <cell r="B2790" t="str">
            <v>CORPORATION</v>
          </cell>
          <cell r="C2790" t="str">
            <v>Iper Construtora Ltda</v>
          </cell>
          <cell r="D2790" t="str">
            <v>Iper Construtora</v>
          </cell>
          <cell r="E2790" t="str">
            <v>BR_CNPJ</v>
          </cell>
          <cell r="F2790" t="str">
            <v>07.464.032/0001-97</v>
          </cell>
        </row>
        <row r="2791">
          <cell r="A2791">
            <v>33228</v>
          </cell>
          <cell r="B2791" t="str">
            <v>CORPORATION</v>
          </cell>
          <cell r="C2791" t="str">
            <v>Tisatto Comercio De Ferramentas Ltda - Me</v>
          </cell>
          <cell r="D2791" t="str">
            <v>Tisatto Comercio De Ferramentas Ltda - Me</v>
          </cell>
          <cell r="E2791" t="str">
            <v>BR_CNPJ</v>
          </cell>
          <cell r="F2791" t="str">
            <v>37.125.838/0001-11</v>
          </cell>
        </row>
        <row r="2792">
          <cell r="A2792">
            <v>33229</v>
          </cell>
          <cell r="B2792" t="str">
            <v>CORPORATION</v>
          </cell>
          <cell r="C2792" t="str">
            <v>Almix Comercio De Suprimentos Eireli</v>
          </cell>
          <cell r="D2792" t="str">
            <v>Almix Comercio De Suprimentos</v>
          </cell>
          <cell r="E2792" t="str">
            <v>BR_CNPJ</v>
          </cell>
          <cell r="F2792" t="str">
            <v>11.594.621/0001-67</v>
          </cell>
        </row>
        <row r="2793">
          <cell r="A2793">
            <v>33231</v>
          </cell>
          <cell r="B2793" t="str">
            <v>CORPORATION</v>
          </cell>
          <cell r="C2793" t="str">
            <v>Ss Comercial De Parafusos Ltda - Me</v>
          </cell>
          <cell r="D2793" t="str">
            <v>Ss Comercial De Parafusos Ltda - Me</v>
          </cell>
          <cell r="E2793" t="str">
            <v>BR_CNPJ</v>
          </cell>
          <cell r="F2793" t="str">
            <v>06.339.199/0001-63</v>
          </cell>
        </row>
        <row r="2794">
          <cell r="A2794">
            <v>33234</v>
          </cell>
          <cell r="B2794" t="str">
            <v>CORPORATION</v>
          </cell>
          <cell r="C2794" t="str">
            <v>Fixacao Comercio De Parafusos Ltda - Me</v>
          </cell>
          <cell r="D2794" t="str">
            <v>So Parafusos</v>
          </cell>
          <cell r="E2794" t="str">
            <v>BR_CNPJ</v>
          </cell>
          <cell r="F2794" t="str">
            <v>38.033.254/0001-89</v>
          </cell>
        </row>
        <row r="2795">
          <cell r="A2795">
            <v>33237</v>
          </cell>
          <cell r="B2795" t="str">
            <v>CORPORATION</v>
          </cell>
          <cell r="C2795" t="str">
            <v>Comercial Taguasul De Parafusos Eireli</v>
          </cell>
          <cell r="D2795" t="str">
            <v>Taguasul Parafusos</v>
          </cell>
          <cell r="E2795" t="str">
            <v>BR_CNPJ</v>
          </cell>
          <cell r="F2795" t="str">
            <v>04.654.538/0001-70</v>
          </cell>
        </row>
        <row r="2796">
          <cell r="A2796">
            <v>33240</v>
          </cell>
          <cell r="B2796" t="str">
            <v>CORPORATION</v>
          </cell>
          <cell r="C2796" t="str">
            <v>Phosk Parts Componentes Automotivos Ltda - Me</v>
          </cell>
          <cell r="D2796" t="str">
            <v>Phosk Parts Componentes Automotivos Ltda - Me</v>
          </cell>
          <cell r="E2796" t="str">
            <v>BR_CNPJ</v>
          </cell>
          <cell r="F2796" t="str">
            <v>00.307.052/0001-05</v>
          </cell>
        </row>
        <row r="2797">
          <cell r="A2797">
            <v>33243</v>
          </cell>
          <cell r="B2797" t="str">
            <v>CORPORATION</v>
          </cell>
          <cell r="C2797" t="str">
            <v>Phosk Parts Componentes Automotivos Ltda - Me</v>
          </cell>
          <cell r="D2797" t="str">
            <v>Phosk Parts Componentes Automotivos Ltda - Me</v>
          </cell>
          <cell r="E2797" t="str">
            <v>BR_CNPJ</v>
          </cell>
          <cell r="F2797" t="str">
            <v>69.666.105/0001-80</v>
          </cell>
        </row>
        <row r="2798">
          <cell r="A2798">
            <v>33246</v>
          </cell>
          <cell r="B2798" t="str">
            <v>CORPORATION</v>
          </cell>
          <cell r="C2798" t="str">
            <v>Maratoan Maquinas E Ferragens Ltda - Me</v>
          </cell>
          <cell r="D2798" t="str">
            <v>Mafrense Maquinas</v>
          </cell>
          <cell r="E2798" t="str">
            <v>BR_CNPJ</v>
          </cell>
          <cell r="F2798" t="str">
            <v>06.944.459/0001-20</v>
          </cell>
        </row>
        <row r="2799">
          <cell r="A2799">
            <v>33247</v>
          </cell>
          <cell r="B2799" t="str">
            <v>CORPORATION</v>
          </cell>
          <cell r="C2799" t="str">
            <v>Ello Comercio E Locadora De Maquinas Ltda</v>
          </cell>
          <cell r="D2799" t="str">
            <v>Ello Maquinas E Locacoes</v>
          </cell>
          <cell r="E2799" t="str">
            <v>BR_CNPJ</v>
          </cell>
          <cell r="F2799" t="str">
            <v>28.422.181/0001-63</v>
          </cell>
        </row>
        <row r="2800">
          <cell r="A2800">
            <v>33249</v>
          </cell>
          <cell r="B2800" t="str">
            <v>CORPORATION</v>
          </cell>
          <cell r="C2800" t="str">
            <v>Ferragem Brasil Novo Ltda - Me</v>
          </cell>
          <cell r="D2800" t="str">
            <v>Ferragem Brasil Novo Ltda - Me</v>
          </cell>
          <cell r="E2800" t="str">
            <v>BR_CNPJ</v>
          </cell>
          <cell r="F2800" t="str">
            <v>93.392.041/0001-51</v>
          </cell>
        </row>
        <row r="2801">
          <cell r="A2801">
            <v>33252</v>
          </cell>
          <cell r="B2801" t="str">
            <v>CORPORATION</v>
          </cell>
          <cell r="C2801" t="str">
            <v>Ferragem Thony Ltda</v>
          </cell>
          <cell r="D2801" t="str">
            <v>Ferragem Thony Ltda</v>
          </cell>
          <cell r="E2801" t="str">
            <v>BR_CNPJ</v>
          </cell>
          <cell r="F2801" t="str">
            <v>87.093.290/0001-43</v>
          </cell>
        </row>
        <row r="2802">
          <cell r="A2802">
            <v>33254</v>
          </cell>
          <cell r="B2802" t="str">
            <v>CORPORATION</v>
          </cell>
          <cell r="C2802" t="str">
            <v>Reis Comercio Atacadista E Varejista De Diversos Artigos E Suprimentos Ltda</v>
          </cell>
          <cell r="D2802" t="str">
            <v>Reis Atacadista</v>
          </cell>
          <cell r="E2802" t="str">
            <v>BR_CNPJ</v>
          </cell>
          <cell r="F2802" t="str">
            <v>29.332.265/0001-79</v>
          </cell>
        </row>
        <row r="2803">
          <cell r="A2803">
            <v>33255</v>
          </cell>
          <cell r="B2803" t="str">
            <v>CORPORATION</v>
          </cell>
          <cell r="C2803" t="str">
            <v>Beto Ferramentas, Parafusos E Servicos Ltda - Me</v>
          </cell>
          <cell r="D2803" t="str">
            <v>Beto Ferramentas, Parafusos E Servicos Ltda - Me</v>
          </cell>
          <cell r="E2803" t="str">
            <v>BR_CNPJ</v>
          </cell>
          <cell r="F2803" t="str">
            <v>05.585.165/0001-96</v>
          </cell>
        </row>
        <row r="2804">
          <cell r="A2804">
            <v>33257</v>
          </cell>
          <cell r="B2804" t="str">
            <v>CORPORATION</v>
          </cell>
          <cell r="C2804" t="str">
            <v>L P Ferragens Automotivas Comercio, Servico E Locacao De Equipamentos Ltda</v>
          </cell>
          <cell r="D2804" t="str">
            <v>L P Ferragens Automotivas E Servicos</v>
          </cell>
          <cell r="E2804" t="str">
            <v>BR_CNPJ</v>
          </cell>
          <cell r="F2804" t="str">
            <v>24.712.639/0001-68</v>
          </cell>
        </row>
        <row r="2805">
          <cell r="A2805">
            <v>33258</v>
          </cell>
          <cell r="B2805" t="str">
            <v>CORPORATION</v>
          </cell>
          <cell r="C2805" t="str">
            <v>Lojao Do Papai Artigos Para O Lar Ltda - Me</v>
          </cell>
          <cell r="D2805" t="str">
            <v>Lojao Do Papai Artigos Para O Lar Ltda - Me</v>
          </cell>
          <cell r="E2805" t="str">
            <v>BR_CNPJ</v>
          </cell>
          <cell r="F2805" t="str">
            <v>10.477.960/0001-09</v>
          </cell>
        </row>
        <row r="2806">
          <cell r="A2806">
            <v>33260</v>
          </cell>
          <cell r="B2806" t="str">
            <v>CORPORATION</v>
          </cell>
          <cell r="C2806" t="str">
            <v>Fort Way Materiais Para Construcao - Epp</v>
          </cell>
          <cell r="D2806" t="str">
            <v>Fort Way Materiais Para Construcao - Epp</v>
          </cell>
          <cell r="E2806" t="str">
            <v>BR_CNPJ</v>
          </cell>
          <cell r="F2806" t="str">
            <v>04.709.533/0001-06</v>
          </cell>
        </row>
        <row r="2807">
          <cell r="A2807">
            <v>33263</v>
          </cell>
          <cell r="B2807" t="str">
            <v>CORPORATION</v>
          </cell>
          <cell r="C2807" t="str">
            <v>Ferrocenter Ltda - Epp</v>
          </cell>
          <cell r="D2807" t="str">
            <v>Ferrocenter</v>
          </cell>
          <cell r="E2807" t="str">
            <v>BR_CNPJ</v>
          </cell>
          <cell r="F2807" t="str">
            <v>00.668.004/0001-42</v>
          </cell>
        </row>
        <row r="2808">
          <cell r="A2808">
            <v>33266</v>
          </cell>
          <cell r="B2808" t="str">
            <v>CORPORATION</v>
          </cell>
          <cell r="C2808" t="str">
            <v>Teodol - Comercio E Importacao De Equipamentos De Precisao Ltda - Me</v>
          </cell>
          <cell r="D2808" t="str">
            <v>Teodol - Equipamentos De Precisao</v>
          </cell>
          <cell r="E2808" t="str">
            <v>BR_CNPJ</v>
          </cell>
          <cell r="F2808" t="str">
            <v>09.373.589/0001-48</v>
          </cell>
        </row>
        <row r="2809">
          <cell r="A2809">
            <v>33269</v>
          </cell>
          <cell r="B2809" t="str">
            <v>CORPORATION</v>
          </cell>
          <cell r="C2809" t="str">
            <v>Deposito Construir Ltda - Me</v>
          </cell>
          <cell r="D2809" t="str">
            <v>Deposito Construir Ltda - Me</v>
          </cell>
          <cell r="E2809" t="str">
            <v>BR_CNPJ</v>
          </cell>
          <cell r="F2809" t="str">
            <v>17.375.382/0001-30</v>
          </cell>
        </row>
        <row r="2810">
          <cell r="A2810">
            <v>33273</v>
          </cell>
          <cell r="B2810" t="str">
            <v>CORPORATION</v>
          </cell>
          <cell r="C2810" t="str">
            <v>Materiais De Construcao Lageadense Ltda - Me</v>
          </cell>
          <cell r="D2810" t="str">
            <v>Materiais De Construcao Lageadense Ltda - Me</v>
          </cell>
          <cell r="E2810" t="str">
            <v>BR_CNPJ</v>
          </cell>
          <cell r="F2810" t="str">
            <v>07.467.307/0001-46</v>
          </cell>
        </row>
        <row r="2811">
          <cell r="A2811">
            <v>33276</v>
          </cell>
          <cell r="B2811" t="str">
            <v>CORPORATION</v>
          </cell>
          <cell r="C2811" t="str">
            <v>Rinemaco Materiais De Construcao Ltda - Epp</v>
          </cell>
          <cell r="D2811" t="str">
            <v>Rinemaco Materiais De Construcoes</v>
          </cell>
          <cell r="E2811" t="str">
            <v>BR_CNPJ</v>
          </cell>
          <cell r="F2811" t="str">
            <v>85.329.084/0001-64</v>
          </cell>
        </row>
        <row r="2812">
          <cell r="A2812">
            <v>33278</v>
          </cell>
          <cell r="B2812" t="str">
            <v>CORPORATION</v>
          </cell>
          <cell r="C2812" t="str">
            <v>2000 Comercio De Ferragens Ltda - Epp</v>
          </cell>
          <cell r="D2812" t="str">
            <v>Ferragens 2000</v>
          </cell>
          <cell r="E2812" t="str">
            <v>BR_CNPJ</v>
          </cell>
          <cell r="F2812" t="str">
            <v>07.418.535/0001-26</v>
          </cell>
        </row>
        <row r="2813">
          <cell r="A2813">
            <v>33281</v>
          </cell>
          <cell r="B2813" t="str">
            <v>CORPORATION</v>
          </cell>
          <cell r="C2813" t="str">
            <v>Terra Util -Comercio De Maquinas, Ferramentas E Utilidades Ltda</v>
          </cell>
          <cell r="D2813" t="str">
            <v>Bc Ferramentaria</v>
          </cell>
          <cell r="E2813" t="str">
            <v>BR_CNPJ</v>
          </cell>
          <cell r="F2813" t="str">
            <v>07.144.507/0002-49</v>
          </cell>
        </row>
        <row r="2814">
          <cell r="A2814">
            <v>33284</v>
          </cell>
          <cell r="B2814" t="str">
            <v>CORPORATION</v>
          </cell>
          <cell r="C2814" t="str">
            <v>Berga Materiais De Construcao Ltda - Epp</v>
          </cell>
          <cell r="D2814" t="str">
            <v>Berga Materiais De Construcao Ltda - Epp</v>
          </cell>
          <cell r="E2814" t="str">
            <v>BR_CNPJ</v>
          </cell>
          <cell r="F2814" t="str">
            <v>80.086.085/0001-01</v>
          </cell>
        </row>
        <row r="2815">
          <cell r="A2815">
            <v>33287</v>
          </cell>
          <cell r="B2815" t="str">
            <v>CORPORATION</v>
          </cell>
          <cell r="C2815" t="str">
            <v>Acadroli Materiais De Construcao Ltda. - Me</v>
          </cell>
          <cell r="D2815" t="str">
            <v>Acadroli Materiais De Construcao Ltda. - Me</v>
          </cell>
          <cell r="E2815" t="str">
            <v>BR_CNPJ</v>
          </cell>
          <cell r="F2815" t="str">
            <v>91.945.576/0001-87</v>
          </cell>
        </row>
        <row r="2816">
          <cell r="A2816">
            <v>33290</v>
          </cell>
          <cell r="B2816" t="str">
            <v>CORPORATION</v>
          </cell>
          <cell r="C2816" t="str">
            <v>J Placido Materiais Para Construcao Ltda</v>
          </cell>
          <cell r="D2816" t="str">
            <v>J Placido Materiais Para Construcao Ltda</v>
          </cell>
          <cell r="E2816" t="str">
            <v>BR_CNPJ</v>
          </cell>
          <cell r="F2816" t="str">
            <v>06.127.986/0001-41</v>
          </cell>
        </row>
        <row r="2817">
          <cell r="A2817">
            <v>33293</v>
          </cell>
          <cell r="B2817" t="str">
            <v>CORPORATION</v>
          </cell>
          <cell r="C2817" t="str">
            <v>Torneadora Ceilandia Ltda - Epp</v>
          </cell>
          <cell r="D2817" t="str">
            <v>Torneadora Ceilandia Ltda - Epp</v>
          </cell>
          <cell r="E2817" t="str">
            <v>BR_CNPJ</v>
          </cell>
          <cell r="F2817" t="str">
            <v>00.549.279/0001-67</v>
          </cell>
        </row>
        <row r="2818">
          <cell r="A2818">
            <v>33294</v>
          </cell>
          <cell r="B2818" t="str">
            <v>CORPORATION</v>
          </cell>
          <cell r="C2818" t="str">
            <v>A. Da Silva Lima Comercio De Equipamentos Em Geral</v>
          </cell>
          <cell r="D2818" t="str">
            <v>Positivo Materiais Eletricos</v>
          </cell>
          <cell r="E2818" t="str">
            <v>BR_CNPJ</v>
          </cell>
          <cell r="F2818" t="str">
            <v>20.050.544/0001-75</v>
          </cell>
        </row>
        <row r="2819">
          <cell r="A2819">
            <v>33296</v>
          </cell>
          <cell r="B2819" t="str">
            <v>CORPORATION</v>
          </cell>
          <cell r="C2819" t="str">
            <v>Lopes, Rocha &amp; Cia. Ltda</v>
          </cell>
          <cell r="D2819" t="str">
            <v>Comercial Lopes, O Shopping Da Sua Construcao</v>
          </cell>
          <cell r="E2819" t="str">
            <v>BR_CNPJ</v>
          </cell>
          <cell r="F2819" t="str">
            <v>12.499.984/0001-86</v>
          </cell>
        </row>
        <row r="2820">
          <cell r="A2820">
            <v>33298</v>
          </cell>
          <cell r="B2820" t="str">
            <v>CORPORATION</v>
          </cell>
          <cell r="C2820" t="str">
            <v>Comercial Paraiba Ltda - Epp</v>
          </cell>
          <cell r="D2820" t="str">
            <v>Comercial Paraiba Ltda - Epp</v>
          </cell>
          <cell r="E2820" t="str">
            <v>BR_CNPJ</v>
          </cell>
          <cell r="F2820" t="str">
            <v>03.991.100/0001-15</v>
          </cell>
        </row>
        <row r="2821">
          <cell r="A2821">
            <v>33305</v>
          </cell>
          <cell r="B2821" t="str">
            <v>CORPORATION</v>
          </cell>
          <cell r="C2821" t="str">
            <v>Ultra Componentes Automotivo Ltda</v>
          </cell>
          <cell r="D2821" t="str">
            <v>Ultra Componentes Automotivo Ltda</v>
          </cell>
          <cell r="E2821" t="str">
            <v>BR_CNPJ</v>
          </cell>
          <cell r="F2821" t="str">
            <v>16.096.475/0001-63</v>
          </cell>
        </row>
        <row r="2822">
          <cell r="A2822">
            <v>33308</v>
          </cell>
          <cell r="B2822" t="str">
            <v>CORPORATION</v>
          </cell>
          <cell r="C2822" t="str">
            <v>Oiticica Comercio De Ferro Ltda</v>
          </cell>
          <cell r="D2822" t="str">
            <v>Oiticica Comercio De Ferro</v>
          </cell>
          <cell r="E2822" t="str">
            <v>BR_CNPJ</v>
          </cell>
          <cell r="F2822" t="str">
            <v>40.395.162/0001-90</v>
          </cell>
        </row>
        <row r="2823">
          <cell r="A2823">
            <v>33311</v>
          </cell>
          <cell r="B2823" t="str">
            <v>CORPORATION</v>
          </cell>
          <cell r="C2823" t="str">
            <v>Soldinox Caldeiraria Ltda</v>
          </cell>
          <cell r="D2823" t="str">
            <v>Soldinox Caldeiraria Ltda</v>
          </cell>
          <cell r="E2823" t="str">
            <v>BR_CNPJ</v>
          </cell>
          <cell r="F2823" t="str">
            <v>10.483.497/0001-08</v>
          </cell>
        </row>
        <row r="2824">
          <cell r="A2824">
            <v>33314</v>
          </cell>
          <cell r="B2824" t="str">
            <v>CORPORATION</v>
          </cell>
          <cell r="C2824" t="str">
            <v>Imperio Das Ferramentas Ltda</v>
          </cell>
          <cell r="D2824" t="str">
            <v>Imperio Das Ferramentas</v>
          </cell>
          <cell r="E2824" t="str">
            <v>BR_CNPJ</v>
          </cell>
          <cell r="F2824" t="str">
            <v>23.166.733/0001-04</v>
          </cell>
        </row>
        <row r="2825">
          <cell r="A2825">
            <v>33323</v>
          </cell>
          <cell r="B2825" t="str">
            <v>CORPORATION</v>
          </cell>
          <cell r="C2825" t="str">
            <v>Materiais De Construcao Biasuz Ltda - Epp</v>
          </cell>
          <cell r="D2825" t="str">
            <v>Materiais De Construcao Biasuz Ltda - Epp</v>
          </cell>
          <cell r="E2825" t="str">
            <v>BR_CNPJ</v>
          </cell>
          <cell r="F2825" t="str">
            <v>05.944.374/0001-89</v>
          </cell>
        </row>
        <row r="2826">
          <cell r="A2826">
            <v>33325</v>
          </cell>
          <cell r="B2826" t="str">
            <v>CORPORATION</v>
          </cell>
          <cell r="C2826" t="str">
            <v>Cnp Da Silva Locacao</v>
          </cell>
          <cell r="D2826" t="str">
            <v>Jlc Locacao E Manutencao De Equipamentos</v>
          </cell>
          <cell r="E2826" t="str">
            <v>BR_CNPJ</v>
          </cell>
          <cell r="F2826" t="str">
            <v>26.068.469/0001-56</v>
          </cell>
        </row>
        <row r="2827">
          <cell r="A2827">
            <v>33331</v>
          </cell>
          <cell r="B2827" t="str">
            <v>CORPORATION</v>
          </cell>
          <cell r="C2827" t="str">
            <v>Material De Construcao Nota 10 Ltda - Me</v>
          </cell>
          <cell r="D2827" t="str">
            <v>Material De Construcao Nota 10</v>
          </cell>
          <cell r="E2827" t="str">
            <v>BR_CNPJ</v>
          </cell>
          <cell r="F2827" t="str">
            <v>12.352.069/0001-63</v>
          </cell>
        </row>
        <row r="2828">
          <cell r="A2828">
            <v>33337</v>
          </cell>
          <cell r="B2828" t="str">
            <v>CORPORATION</v>
          </cell>
          <cell r="C2828" t="str">
            <v>Waine Maquinas E Ferramentas Ltda - Epp</v>
          </cell>
          <cell r="D2828" t="str">
            <v>Waine Maquinas</v>
          </cell>
          <cell r="E2828" t="str">
            <v>BR_CNPJ</v>
          </cell>
          <cell r="F2828" t="str">
            <v>10.528.575/0001-35</v>
          </cell>
        </row>
        <row r="2829">
          <cell r="A2829">
            <v>33340</v>
          </cell>
          <cell r="B2829" t="str">
            <v>CORPORATION</v>
          </cell>
          <cell r="C2829" t="str">
            <v>Rocar Materiais De Construcao Ltda - Epp</v>
          </cell>
          <cell r="D2829" t="str">
            <v>Rocar Materiais De Construcao Ltda - Epp</v>
          </cell>
          <cell r="E2829" t="str">
            <v>BR_CNPJ</v>
          </cell>
          <cell r="F2829" t="str">
            <v>92.751.247/0001-68</v>
          </cell>
        </row>
        <row r="2830">
          <cell r="A2830">
            <v>33341</v>
          </cell>
          <cell r="B2830" t="str">
            <v>CORPORATION</v>
          </cell>
          <cell r="C2830" t="str">
            <v>Primax Distribuidora Ltda</v>
          </cell>
          <cell r="D2830" t="str">
            <v>Primax</v>
          </cell>
          <cell r="E2830" t="str">
            <v>BR_CNPJ</v>
          </cell>
          <cell r="F2830" t="str">
            <v>18.534.798/0001-17</v>
          </cell>
        </row>
        <row r="2831">
          <cell r="A2831">
            <v>33343</v>
          </cell>
          <cell r="B2831" t="str">
            <v>CORPORATION</v>
          </cell>
          <cell r="C2831" t="str">
            <v>Lw Materiais De Construcao Ltda - Me</v>
          </cell>
          <cell r="D2831" t="str">
            <v>Casa Do Construtor</v>
          </cell>
          <cell r="E2831" t="str">
            <v>BR_CNPJ</v>
          </cell>
          <cell r="F2831" t="str">
            <v>08.298.290/0001-03</v>
          </cell>
        </row>
        <row r="2832">
          <cell r="A2832">
            <v>33346</v>
          </cell>
          <cell r="B2832" t="str">
            <v>CORPORATION</v>
          </cell>
          <cell r="C2832" t="str">
            <v>Eletricos Soldas E Ferragens Ltda - Me</v>
          </cell>
          <cell r="D2832" t="str">
            <v>Eletricos Soldas E Ferragens Ltda - Me</v>
          </cell>
          <cell r="E2832" t="str">
            <v>BR_CNPJ</v>
          </cell>
          <cell r="F2832" t="str">
            <v>00.331.711/0001-49</v>
          </cell>
        </row>
        <row r="2833">
          <cell r="A2833">
            <v>33348</v>
          </cell>
          <cell r="B2833" t="str">
            <v>CORPORATION</v>
          </cell>
          <cell r="C2833" t="str">
            <v>Tecidos E Armarinhos Miguel Bartolomeu Sa</v>
          </cell>
          <cell r="D2833" t="str">
            <v>Tambasa</v>
          </cell>
          <cell r="E2833" t="str">
            <v>BR_CNPJ</v>
          </cell>
          <cell r="F2833" t="str">
            <v>17.359.233/0001-88</v>
          </cell>
        </row>
        <row r="2834">
          <cell r="A2834">
            <v>33351</v>
          </cell>
          <cell r="B2834" t="str">
            <v>CORPORATION</v>
          </cell>
          <cell r="C2834" t="str">
            <v>Oliveira &amp; Brito Ltda</v>
          </cell>
          <cell r="D2834" t="str">
            <v>Comam Comercio De Maquinas E Motores Ltda</v>
          </cell>
          <cell r="E2834" t="str">
            <v>BR_CNPJ</v>
          </cell>
          <cell r="F2834" t="str">
            <v>22.894.232/0001-73</v>
          </cell>
        </row>
        <row r="2835">
          <cell r="A2835">
            <v>33355</v>
          </cell>
          <cell r="B2835" t="str">
            <v>CORPORATION</v>
          </cell>
          <cell r="C2835" t="str">
            <v>Center Kennedy Comercio Ltda</v>
          </cell>
          <cell r="D2835" t="str">
            <v>Center Kennedy Comercio Ltda</v>
          </cell>
          <cell r="E2835" t="str">
            <v>BR_CNPJ</v>
          </cell>
          <cell r="F2835" t="str">
            <v>10.228.674/0001-00</v>
          </cell>
        </row>
        <row r="2836">
          <cell r="A2836">
            <v>33357</v>
          </cell>
          <cell r="B2836" t="str">
            <v>CORPORATION</v>
          </cell>
          <cell r="C2836" t="str">
            <v>J . P. Materiais De Construcao Ltda - Epp</v>
          </cell>
          <cell r="D2836" t="str">
            <v>Chama Casa &amp; Construcao</v>
          </cell>
          <cell r="E2836" t="str">
            <v>BR_CNPJ</v>
          </cell>
          <cell r="F2836" t="str">
            <v>05.137.209/0001-15</v>
          </cell>
        </row>
        <row r="2837">
          <cell r="A2837">
            <v>33358</v>
          </cell>
          <cell r="B2837" t="str">
            <v>CORPORATION</v>
          </cell>
          <cell r="C2837" t="str">
            <v>Guaratintas Comercio De Tintas Ltda</v>
          </cell>
          <cell r="D2837" t="str">
            <v>Guarasolda Tintas</v>
          </cell>
          <cell r="E2837" t="str">
            <v>BR_CNPJ</v>
          </cell>
          <cell r="F2837" t="str">
            <v>14.802.123/0002-31</v>
          </cell>
        </row>
        <row r="2838">
          <cell r="A2838">
            <v>33360</v>
          </cell>
          <cell r="B2838" t="str">
            <v>CORPORATION</v>
          </cell>
          <cell r="C2838" t="str">
            <v>Domestilar Ltda</v>
          </cell>
          <cell r="D2838" t="str">
            <v>Domestilar Ltda</v>
          </cell>
          <cell r="E2838" t="str">
            <v>BR_CNPJ</v>
          </cell>
          <cell r="F2838" t="str">
            <v>00.310.506/0001-05</v>
          </cell>
        </row>
        <row r="2839">
          <cell r="A2839">
            <v>33363</v>
          </cell>
          <cell r="B2839" t="str">
            <v>CORPORATION</v>
          </cell>
          <cell r="C2839" t="str">
            <v>Monte &amp; Cia Ltda</v>
          </cell>
          <cell r="D2839" t="str">
            <v>Monte Casa &amp; Construcao</v>
          </cell>
          <cell r="E2839" t="str">
            <v>BR_CNPJ</v>
          </cell>
          <cell r="F2839" t="str">
            <v>04.661.385/0003-50</v>
          </cell>
        </row>
        <row r="2840">
          <cell r="A2840">
            <v>33366</v>
          </cell>
          <cell r="B2840" t="str">
            <v>CORPORATION</v>
          </cell>
          <cell r="C2840" t="str">
            <v>Tropical Materiais De Construcao Ltda</v>
          </cell>
          <cell r="D2840" t="str">
            <v>Tropical Materiais De Construcao Ltda</v>
          </cell>
          <cell r="E2840" t="str">
            <v>BR_CNPJ</v>
          </cell>
          <cell r="F2840" t="str">
            <v>23.069.651/0002-14</v>
          </cell>
        </row>
        <row r="2841">
          <cell r="A2841">
            <v>33369</v>
          </cell>
          <cell r="B2841" t="str">
            <v>CORPORATION</v>
          </cell>
          <cell r="C2841" t="str">
            <v>J.P. Fornecedora Ltda</v>
          </cell>
          <cell r="D2841" t="str">
            <v>J.P. Fornecedora Ltda</v>
          </cell>
          <cell r="E2841" t="str">
            <v>BR_CNPJ</v>
          </cell>
          <cell r="F2841" t="str">
            <v>14.214.688/0001-17</v>
          </cell>
        </row>
        <row r="2842">
          <cell r="A2842">
            <v>33372</v>
          </cell>
          <cell r="B2842" t="str">
            <v>CORPORATION</v>
          </cell>
          <cell r="C2842" t="str">
            <v>Asm Distribuidora De Maquinas Equipamentos E Ferramentas Ltda - Me</v>
          </cell>
          <cell r="D2842" t="str">
            <v>Asm Distribuidora De Maquinas Equipamentos E Ferramentas Ltda - Me</v>
          </cell>
          <cell r="E2842" t="str">
            <v>BR_CNPJ</v>
          </cell>
          <cell r="F2842" t="str">
            <v>08.374.703/0001-91</v>
          </cell>
        </row>
        <row r="2843">
          <cell r="A2843">
            <v>33374</v>
          </cell>
          <cell r="B2843" t="str">
            <v>CORPORATION</v>
          </cell>
          <cell r="C2843" t="str">
            <v>Revise Comercio Ltda</v>
          </cell>
          <cell r="D2843" t="str">
            <v>Revise</v>
          </cell>
          <cell r="E2843" t="str">
            <v>BR_CNPJ</v>
          </cell>
          <cell r="F2843" t="str">
            <v>18.260.707/0001-00</v>
          </cell>
        </row>
        <row r="2844">
          <cell r="A2844">
            <v>33377</v>
          </cell>
          <cell r="B2844" t="str">
            <v>CORPORATION</v>
          </cell>
          <cell r="C2844" t="str">
            <v>Amazon Aco Industria E Comercio Ltda.</v>
          </cell>
          <cell r="D2844" t="str">
            <v>Amazon Aco Industria E Comercio Ltda.</v>
          </cell>
          <cell r="E2844" t="str">
            <v>BR_CNPJ</v>
          </cell>
          <cell r="F2844" t="str">
            <v>05.477.207/0001-75</v>
          </cell>
        </row>
        <row r="2845">
          <cell r="A2845">
            <v>33380</v>
          </cell>
          <cell r="B2845" t="str">
            <v>CORPORATION</v>
          </cell>
          <cell r="C2845" t="str">
            <v>Arimar Dantas Santiago - Epp</v>
          </cell>
          <cell r="D2845" t="str">
            <v>Gary-Materiais De Construcoes</v>
          </cell>
          <cell r="E2845" t="str">
            <v>BR_CNPJ</v>
          </cell>
          <cell r="F2845" t="str">
            <v>22.990.964/0001-67</v>
          </cell>
        </row>
        <row r="2846">
          <cell r="A2846">
            <v>33383</v>
          </cell>
          <cell r="B2846" t="str">
            <v>CORPORATION</v>
          </cell>
          <cell r="C2846" t="str">
            <v>Centro Do Aluminio Ltda</v>
          </cell>
          <cell r="D2846" t="str">
            <v>Centro Do Aluminio Ltda</v>
          </cell>
          <cell r="E2846" t="str">
            <v>BR_CNPJ</v>
          </cell>
          <cell r="F2846" t="str">
            <v>01.466.897/0002-97</v>
          </cell>
        </row>
        <row r="2847">
          <cell r="A2847">
            <v>33384</v>
          </cell>
          <cell r="B2847" t="str">
            <v>CORPORATION</v>
          </cell>
          <cell r="C2847" t="str">
            <v>Sd Rodrigues Comercio E Representacao De Pecas E Ferramentas Ltda</v>
          </cell>
          <cell r="D2847" t="str">
            <v>Rei Das Ferramentas</v>
          </cell>
          <cell r="E2847" t="str">
            <v>BR_CNPJ</v>
          </cell>
          <cell r="F2847" t="str">
            <v>21.974.679/0001-90</v>
          </cell>
        </row>
        <row r="2848">
          <cell r="A2848">
            <v>33385</v>
          </cell>
          <cell r="B2848" t="str">
            <v>CORPORATION</v>
          </cell>
          <cell r="C2848" t="str">
            <v>Fjb Oficina Mecanica E Pecas Para Maquinas E Tratores Ltda</v>
          </cell>
          <cell r="D2848" t="str">
            <v>Fjb Oficina Mecanica E Pecas Para Maquinas E Tratores</v>
          </cell>
          <cell r="E2848" t="str">
            <v>BR_CNPJ</v>
          </cell>
          <cell r="F2848" t="str">
            <v>12.286.631/0001-06</v>
          </cell>
        </row>
        <row r="2849">
          <cell r="A2849">
            <v>33386</v>
          </cell>
          <cell r="B2849" t="str">
            <v>CORPORATION</v>
          </cell>
          <cell r="C2849" t="str">
            <v>Maqfuso Atacadao De Parafusos E Ferramentas Ltda - Epp</v>
          </cell>
          <cell r="D2849" t="str">
            <v>Maqfuso Atacadao De Parafusos E Ferramentas Ltda - Epp</v>
          </cell>
          <cell r="E2849" t="str">
            <v>BR_CNPJ</v>
          </cell>
          <cell r="F2849" t="str">
            <v>84.489.509/0001-30</v>
          </cell>
        </row>
        <row r="2850">
          <cell r="A2850">
            <v>33387</v>
          </cell>
          <cell r="B2850" t="str">
            <v>CORPORATION</v>
          </cell>
          <cell r="C2850" t="str">
            <v>Aline Donizete Rosa</v>
          </cell>
          <cell r="D2850" t="str">
            <v>Paralucro</v>
          </cell>
          <cell r="E2850" t="str">
            <v>BR_CNPJ</v>
          </cell>
          <cell r="F2850" t="str">
            <v>14.876.722/0001-19</v>
          </cell>
        </row>
        <row r="2851">
          <cell r="A2851">
            <v>33388</v>
          </cell>
          <cell r="B2851" t="str">
            <v>CORPORATION</v>
          </cell>
          <cell r="C2851" t="str">
            <v>Marcolar Materiais De Construcao Ltda</v>
          </cell>
          <cell r="D2851" t="str">
            <v>Marcolar Materiais De Construcao Ltda</v>
          </cell>
          <cell r="E2851" t="str">
            <v>BR_CNPJ</v>
          </cell>
          <cell r="F2851" t="str">
            <v>07.379.488/0001-59</v>
          </cell>
        </row>
        <row r="2852">
          <cell r="A2852">
            <v>33390</v>
          </cell>
          <cell r="B2852" t="str">
            <v>CORPORATION</v>
          </cell>
          <cell r="C2852" t="str">
            <v>Hc Comercio E Servicos Eireli - Me</v>
          </cell>
          <cell r="D2852" t="str">
            <v>Hc Comercio E Servicos</v>
          </cell>
          <cell r="E2852" t="str">
            <v>BR_CNPJ</v>
          </cell>
          <cell r="F2852" t="str">
            <v>12.202.878/0001-99</v>
          </cell>
        </row>
        <row r="2853">
          <cell r="A2853">
            <v>33394</v>
          </cell>
          <cell r="B2853" t="str">
            <v>CORPORATION</v>
          </cell>
          <cell r="C2853" t="str">
            <v>Maqfer Distribuidora De Maquinas E Ferramentas Ltda - Me</v>
          </cell>
          <cell r="D2853" t="str">
            <v>Maqfer Distribuidora De Maquinas E Ferramentas</v>
          </cell>
          <cell r="E2853" t="str">
            <v>BR_CNPJ</v>
          </cell>
          <cell r="F2853" t="str">
            <v>04.762.584/0001-93</v>
          </cell>
        </row>
        <row r="2854">
          <cell r="A2854">
            <v>33395</v>
          </cell>
          <cell r="B2854" t="str">
            <v>CORPORATION</v>
          </cell>
          <cell r="C2854" t="str">
            <v>Beltreq Pecas E Manutencao De Maquinas E Tratores Ltda</v>
          </cell>
          <cell r="D2854" t="str">
            <v>Beltreq Pecas E Manutencao De Maquinas E Tratores Ltda</v>
          </cell>
          <cell r="E2854" t="str">
            <v>BR_CNPJ</v>
          </cell>
          <cell r="F2854" t="str">
            <v>43.205.323/0001-24</v>
          </cell>
        </row>
        <row r="2855">
          <cell r="A2855">
            <v>33398</v>
          </cell>
          <cell r="B2855" t="str">
            <v>CORPORATION</v>
          </cell>
          <cell r="C2855" t="str">
            <v>Ferragens Alexandrino Ltda - Me</v>
          </cell>
          <cell r="D2855" t="str">
            <v>Ferragens Jupiter</v>
          </cell>
          <cell r="E2855" t="str">
            <v>BR_CNPJ</v>
          </cell>
          <cell r="F2855" t="str">
            <v>73.853.970/0001-03</v>
          </cell>
        </row>
        <row r="2856">
          <cell r="A2856">
            <v>33401</v>
          </cell>
          <cell r="B2856" t="str">
            <v>CORPORATION</v>
          </cell>
          <cell r="C2856" t="str">
            <v>Fenix Maquinas E Motores Ltda - Epp</v>
          </cell>
          <cell r="D2856" t="str">
            <v>Kaiser Sao Leopoldo</v>
          </cell>
          <cell r="E2856" t="str">
            <v>BR_CNPJ</v>
          </cell>
          <cell r="F2856" t="str">
            <v>94.571.114/0001-35</v>
          </cell>
        </row>
        <row r="2857">
          <cell r="A2857">
            <v>33403</v>
          </cell>
          <cell r="B2857" t="str">
            <v>CORPORATION</v>
          </cell>
          <cell r="C2857" t="str">
            <v>Ferragem Feldmann Ltda - Epp</v>
          </cell>
          <cell r="D2857" t="str">
            <v>Ferragem Feldmann Ltda - Epp</v>
          </cell>
          <cell r="E2857" t="str">
            <v>BR_CNPJ</v>
          </cell>
          <cell r="F2857" t="str">
            <v>96.735.188/0001-95</v>
          </cell>
        </row>
        <row r="2858">
          <cell r="A2858">
            <v>33404</v>
          </cell>
          <cell r="B2858" t="str">
            <v>CORPORATION</v>
          </cell>
          <cell r="C2858" t="str">
            <v>M &amp; M Ferragens Ltda</v>
          </cell>
          <cell r="D2858" t="str">
            <v>M &amp; M Ferragens</v>
          </cell>
          <cell r="E2858" t="str">
            <v>BR_CNPJ</v>
          </cell>
          <cell r="F2858" t="str">
            <v>08.387.562/0001-41</v>
          </cell>
        </row>
        <row r="2859">
          <cell r="A2859">
            <v>33405</v>
          </cell>
          <cell r="B2859" t="str">
            <v>CORPORATION</v>
          </cell>
          <cell r="C2859" t="str">
            <v>Havi Ferramentas Equipamentos E Acessorios Ltda</v>
          </cell>
          <cell r="D2859" t="str">
            <v>Havi Ferramentas Equipamentos E Acessorios Ltda</v>
          </cell>
          <cell r="E2859" t="str">
            <v>BR_CNPJ</v>
          </cell>
          <cell r="F2859" t="str">
            <v>31.252.110/0001-74</v>
          </cell>
        </row>
        <row r="2860">
          <cell r="A2860">
            <v>33406</v>
          </cell>
          <cell r="B2860" t="str">
            <v>CORPORATION</v>
          </cell>
          <cell r="C2860" t="str">
            <v>Opcao Parafusos E Ferramentas Ltda - Epp</v>
          </cell>
          <cell r="D2860" t="str">
            <v>Opcao</v>
          </cell>
          <cell r="E2860" t="str">
            <v>BR_CNPJ</v>
          </cell>
          <cell r="F2860" t="str">
            <v>00.373.798/0001-17</v>
          </cell>
        </row>
        <row r="2861">
          <cell r="A2861">
            <v>33408</v>
          </cell>
          <cell r="B2861" t="str">
            <v>CORPORATION</v>
          </cell>
          <cell r="C2861" t="str">
            <v>Boa Vista Comercio De Maquinas Ltda - Epp</v>
          </cell>
          <cell r="D2861" t="str">
            <v>Ze Das Maquinas</v>
          </cell>
          <cell r="E2861" t="str">
            <v>BR_CNPJ</v>
          </cell>
          <cell r="F2861" t="str">
            <v>15.148.474/0001-52</v>
          </cell>
        </row>
        <row r="2862">
          <cell r="A2862">
            <v>33409</v>
          </cell>
          <cell r="B2862" t="str">
            <v>CORPORATION</v>
          </cell>
          <cell r="C2862" t="str">
            <v>Frimazo Industria E Comercio De Carnes S.A.</v>
          </cell>
          <cell r="D2862" t="str">
            <v>Frimazo Industria E Comercio De Carnes S.A.</v>
          </cell>
          <cell r="E2862" t="str">
            <v>BR_CNPJ</v>
          </cell>
          <cell r="F2862" t="str">
            <v>15.644.525/0001-37</v>
          </cell>
        </row>
        <row r="2863">
          <cell r="A2863">
            <v>33411</v>
          </cell>
          <cell r="B2863" t="str">
            <v>CORPORATION</v>
          </cell>
          <cell r="C2863" t="str">
            <v>Materiais De Construcao Sao Miguel Ltda - Me</v>
          </cell>
          <cell r="D2863" t="str">
            <v>Max Materiais De Construcao</v>
          </cell>
          <cell r="E2863" t="str">
            <v>BR_CNPJ</v>
          </cell>
          <cell r="F2863" t="str">
            <v>05.341.220/0001-00</v>
          </cell>
        </row>
        <row r="2864">
          <cell r="A2864">
            <v>33413</v>
          </cell>
          <cell r="B2864" t="str">
            <v>CORPORATION</v>
          </cell>
          <cell r="C2864" t="str">
            <v>Ferragens Majoni Ltda - Me</v>
          </cell>
          <cell r="D2864" t="str">
            <v>Ferragens Majoni Ltda - Me</v>
          </cell>
          <cell r="E2864" t="str">
            <v>BR_CNPJ</v>
          </cell>
          <cell r="F2864" t="str">
            <v>92.072.628/0001-10</v>
          </cell>
        </row>
        <row r="2865">
          <cell r="A2865">
            <v>33414</v>
          </cell>
          <cell r="B2865" t="str">
            <v>CORPORATION</v>
          </cell>
          <cell r="C2865" t="str">
            <v>Incorel Comercio Ltda</v>
          </cell>
          <cell r="D2865" t="str">
            <v>Incorel</v>
          </cell>
          <cell r="E2865" t="str">
            <v>BR_CNPJ</v>
          </cell>
          <cell r="F2865" t="str">
            <v>12.343.604/0001-10</v>
          </cell>
        </row>
        <row r="2866">
          <cell r="A2866">
            <v>33419</v>
          </cell>
          <cell r="B2866" t="str">
            <v>CORPORATION</v>
          </cell>
          <cell r="C2866" t="str">
            <v>Mateus Comercio De Material De Construcao Ltda - Me</v>
          </cell>
          <cell r="D2866" t="str">
            <v>Mateus Comercio De Material De Construcao Ltda - Me</v>
          </cell>
          <cell r="E2866" t="str">
            <v>BR_CNPJ</v>
          </cell>
          <cell r="F2866" t="str">
            <v>85.372.514/0001-20</v>
          </cell>
        </row>
        <row r="2867">
          <cell r="A2867">
            <v>33422</v>
          </cell>
          <cell r="B2867" t="str">
            <v>CORPORATION</v>
          </cell>
          <cell r="C2867" t="str">
            <v>Zoz Comercio De Materiais De Construcao Ltda - Me</v>
          </cell>
          <cell r="D2867" t="str">
            <v>Zoz Comercio De Materiais De Construcao Ltda - Me</v>
          </cell>
          <cell r="E2867" t="str">
            <v>BR_CNPJ</v>
          </cell>
          <cell r="F2867" t="str">
            <v>12.234.873/0001-48</v>
          </cell>
        </row>
        <row r="2868">
          <cell r="A2868">
            <v>33425</v>
          </cell>
          <cell r="B2868" t="str">
            <v>CORPORATION</v>
          </cell>
          <cell r="C2868" t="str">
            <v>N S Comercio De Parafusos Ltda - Me</v>
          </cell>
          <cell r="D2868" t="str">
            <v>N S Comercio De Parafusos Ltda - Me</v>
          </cell>
          <cell r="E2868" t="str">
            <v>BR_CNPJ</v>
          </cell>
          <cell r="F2868" t="str">
            <v>07.287.992/0001-29</v>
          </cell>
        </row>
        <row r="2869">
          <cell r="A2869">
            <v>33427</v>
          </cell>
          <cell r="B2869" t="str">
            <v>CORPORATION</v>
          </cell>
          <cell r="C2869" t="str">
            <v>Oeste Parafusos Comercio De Parafusos Ltda</v>
          </cell>
          <cell r="D2869" t="str">
            <v>Oeste Parafusos</v>
          </cell>
          <cell r="E2869" t="str">
            <v>BR_CNPJ</v>
          </cell>
          <cell r="F2869" t="str">
            <v>00.183.143/0001-86</v>
          </cell>
        </row>
        <row r="2870">
          <cell r="A2870">
            <v>33428</v>
          </cell>
          <cell r="B2870" t="str">
            <v>CORPORATION</v>
          </cell>
          <cell r="C2870" t="str">
            <v>S. C. D. Rizzato - Materiais De Construcao - Me</v>
          </cell>
          <cell r="D2870" t="str">
            <v>Materiais De Construcao Rizzato</v>
          </cell>
          <cell r="E2870" t="str">
            <v>BR_CNPJ</v>
          </cell>
          <cell r="F2870" t="str">
            <v>10.334.041/0001-78</v>
          </cell>
        </row>
        <row r="2871">
          <cell r="A2871">
            <v>33430</v>
          </cell>
          <cell r="B2871" t="str">
            <v>CORPORATION</v>
          </cell>
          <cell r="C2871" t="str">
            <v>Casa Facil Motores E Ferramentas Ltda - Me</v>
          </cell>
          <cell r="D2871" t="str">
            <v>Casa Facil Motores</v>
          </cell>
          <cell r="E2871" t="str">
            <v>BR_CNPJ</v>
          </cell>
          <cell r="F2871" t="str">
            <v>12.340.168/0001-25</v>
          </cell>
        </row>
        <row r="2872">
          <cell r="A2872">
            <v>33432</v>
          </cell>
          <cell r="B2872" t="str">
            <v>CORPORATION</v>
          </cell>
          <cell r="C2872" t="str">
            <v>Ltflex Ltda</v>
          </cell>
          <cell r="D2872" t="str">
            <v>Hidrauflex (Comasp)</v>
          </cell>
          <cell r="E2872" t="str">
            <v>BR_CNPJ</v>
          </cell>
          <cell r="F2872" t="str">
            <v>10.559.336/0001-42</v>
          </cell>
          <cell r="G2872" t="str">
            <v>COMASP</v>
          </cell>
        </row>
        <row r="2873">
          <cell r="A2873">
            <v>33433</v>
          </cell>
          <cell r="B2873" t="str">
            <v>CORPORATION</v>
          </cell>
          <cell r="C2873" t="str">
            <v>Construmaq Sete Lagoas Ltda - Epp</v>
          </cell>
          <cell r="D2873" t="str">
            <v>Construmaq</v>
          </cell>
          <cell r="E2873" t="str">
            <v>BR_CNPJ</v>
          </cell>
          <cell r="F2873" t="str">
            <v>04.868.874/0001-16</v>
          </cell>
        </row>
        <row r="2874">
          <cell r="A2874">
            <v>33437</v>
          </cell>
          <cell r="B2874" t="str">
            <v>CORPORATION</v>
          </cell>
          <cell r="C2874" t="str">
            <v>Brimaco Materiais De Construcao Ltda - Me</v>
          </cell>
          <cell r="D2874" t="str">
            <v>Brimaco Materiais De Construcao Ltda - Me</v>
          </cell>
          <cell r="E2874" t="str">
            <v>BR_CNPJ</v>
          </cell>
          <cell r="F2874" t="str">
            <v>93.417.939/0001-37</v>
          </cell>
        </row>
        <row r="2875">
          <cell r="A2875">
            <v>33439</v>
          </cell>
          <cell r="B2875" t="str">
            <v>CORPORATION</v>
          </cell>
          <cell r="C2875" t="str">
            <v>Valesan Materiais Para Construcao Ltda</v>
          </cell>
          <cell r="D2875" t="str">
            <v>Valesan Materiais Para Construcao Ltda</v>
          </cell>
          <cell r="E2875" t="str">
            <v>BR_CNPJ</v>
          </cell>
          <cell r="F2875" t="str">
            <v>80.940.679/0001-38</v>
          </cell>
        </row>
        <row r="2876">
          <cell r="A2876">
            <v>33441</v>
          </cell>
          <cell r="B2876" t="str">
            <v>CORPORATION</v>
          </cell>
          <cell r="C2876" t="str">
            <v>Fermaquinas Comercio De Maquinas E Ferramentas Ltda</v>
          </cell>
          <cell r="D2876" t="str">
            <v>Fermaquinas</v>
          </cell>
          <cell r="E2876" t="str">
            <v>BR_CNPJ</v>
          </cell>
          <cell r="F2876" t="str">
            <v>19.290.945/0005-47</v>
          </cell>
        </row>
        <row r="2877">
          <cell r="A2877">
            <v>33446</v>
          </cell>
          <cell r="B2877" t="str">
            <v>CORPORATION</v>
          </cell>
          <cell r="C2877" t="str">
            <v>Olivo Ferragens Ltda - Me</v>
          </cell>
          <cell r="D2877" t="str">
            <v>Olivo Ferragens Ltda - Me</v>
          </cell>
          <cell r="E2877" t="str">
            <v>BR_CNPJ</v>
          </cell>
          <cell r="F2877" t="str">
            <v>01.893.675/0001-70</v>
          </cell>
        </row>
        <row r="2878">
          <cell r="A2878">
            <v>33447</v>
          </cell>
          <cell r="B2878" t="str">
            <v>CORPORATION</v>
          </cell>
          <cell r="C2878" t="str">
            <v>L M Comercio E Industria De Produtos De Utilidades Domesticas Ltda</v>
          </cell>
          <cell r="D2878" t="str">
            <v>L M Cardoso</v>
          </cell>
          <cell r="E2878" t="str">
            <v>BR_CNPJ</v>
          </cell>
          <cell r="F2878" t="str">
            <v>73.460.008/0001-04</v>
          </cell>
        </row>
        <row r="2879">
          <cell r="A2879">
            <v>33448</v>
          </cell>
          <cell r="B2879" t="str">
            <v>CORPORATION</v>
          </cell>
          <cell r="C2879" t="str">
            <v>F H Comassetto Materiais De Construcao Ltda</v>
          </cell>
          <cell r="D2879" t="str">
            <v>Fhcomassetto Materiais De Construcao</v>
          </cell>
          <cell r="E2879" t="str">
            <v>BR_CNPJ</v>
          </cell>
          <cell r="F2879" t="str">
            <v>91.295.691/0001-53</v>
          </cell>
        </row>
        <row r="2880">
          <cell r="A2880">
            <v>33449</v>
          </cell>
          <cell r="B2880" t="str">
            <v>CORPORATION</v>
          </cell>
          <cell r="C2880" t="str">
            <v>Aco Minas Comercio De Ferragens Eireli</v>
          </cell>
          <cell r="D2880" t="str">
            <v>Aco Minas</v>
          </cell>
          <cell r="E2880" t="str">
            <v>BR_CNPJ</v>
          </cell>
          <cell r="F2880" t="str">
            <v>21.892.615/0001-40</v>
          </cell>
        </row>
        <row r="2881">
          <cell r="A2881">
            <v>33451</v>
          </cell>
          <cell r="B2881" t="str">
            <v>CORPORATION</v>
          </cell>
          <cell r="C2881" t="str">
            <v>Ferragem Irmaos Oliveira Ltda - Me</v>
          </cell>
          <cell r="D2881" t="str">
            <v>Ferragem Irmaos Oliveira Ltda - Me</v>
          </cell>
          <cell r="E2881" t="str">
            <v>BR_CNPJ</v>
          </cell>
          <cell r="F2881" t="str">
            <v>97.749.295/0001-35</v>
          </cell>
        </row>
        <row r="2882">
          <cell r="A2882">
            <v>33453</v>
          </cell>
          <cell r="B2882" t="str">
            <v>CORPORATION</v>
          </cell>
          <cell r="C2882" t="str">
            <v>Giba Materiais De Construcao Ltda - Me</v>
          </cell>
          <cell r="D2882" t="str">
            <v>Chiele Materiais De Construcao Ltda</v>
          </cell>
          <cell r="E2882" t="str">
            <v>BR_CNPJ</v>
          </cell>
          <cell r="F2882" t="str">
            <v>03.863.744/0001-28</v>
          </cell>
        </row>
        <row r="2883">
          <cell r="A2883">
            <v>33455</v>
          </cell>
          <cell r="B2883" t="str">
            <v>CORPORATION</v>
          </cell>
          <cell r="C2883" t="str">
            <v>Ac Multi Maquinas &amp; Ferramentas Ltda</v>
          </cell>
          <cell r="D2883" t="str">
            <v>Ac Multi Casa &amp; Campo</v>
          </cell>
          <cell r="E2883" t="str">
            <v>BR_CNPJ</v>
          </cell>
          <cell r="F2883" t="str">
            <v>43.510.533/0001-26</v>
          </cell>
          <cell r="G2883" t="str">
            <v>AC MULTI MAQUINAS</v>
          </cell>
        </row>
        <row r="2884">
          <cell r="A2884">
            <v>33456</v>
          </cell>
          <cell r="B2884" t="str">
            <v>CORPORATION</v>
          </cell>
          <cell r="C2884" t="str">
            <v>J E S Materiais De Construcao Ltda - Me</v>
          </cell>
          <cell r="D2884" t="str">
            <v>J E S Materiais De Construcao Ltda - Me</v>
          </cell>
          <cell r="E2884" t="str">
            <v>BR_CNPJ</v>
          </cell>
          <cell r="F2884" t="str">
            <v>02.906.787/0001-80</v>
          </cell>
        </row>
        <row r="2885">
          <cell r="A2885">
            <v>33461</v>
          </cell>
          <cell r="B2885" t="str">
            <v>CORPORATION</v>
          </cell>
          <cell r="C2885" t="str">
            <v>H. C. Marochi Maquinas E Ferramentas</v>
          </cell>
          <cell r="D2885" t="str">
            <v>Maqfort</v>
          </cell>
          <cell r="E2885" t="str">
            <v>BR_CNPJ</v>
          </cell>
          <cell r="F2885" t="str">
            <v>09.634.173/0001-36</v>
          </cell>
        </row>
        <row r="2886">
          <cell r="A2886">
            <v>33464</v>
          </cell>
          <cell r="B2886" t="str">
            <v>CORPORATION</v>
          </cell>
          <cell r="C2886" t="str">
            <v>Zanatta &amp; Zanatta Comercio De Ferragens Ltda - Me</v>
          </cell>
          <cell r="D2886" t="str">
            <v>Zanatta &amp; Zanatta Comercio De Ferragens Ltda - Me</v>
          </cell>
          <cell r="E2886" t="str">
            <v>BR_CNPJ</v>
          </cell>
          <cell r="F2886" t="str">
            <v>02.563.909/0001-83</v>
          </cell>
        </row>
        <row r="2887">
          <cell r="A2887">
            <v>33467</v>
          </cell>
          <cell r="B2887" t="str">
            <v>CORPORATION</v>
          </cell>
          <cell r="C2887" t="str">
            <v>Km Maquinas Ltda - Me</v>
          </cell>
          <cell r="D2887" t="str">
            <v>K M Maquinas</v>
          </cell>
          <cell r="E2887" t="str">
            <v>BR_CNPJ</v>
          </cell>
          <cell r="F2887" t="str">
            <v>10.892.627/0001-58</v>
          </cell>
        </row>
        <row r="2888">
          <cell r="A2888">
            <v>33470</v>
          </cell>
          <cell r="B2888" t="str">
            <v>CORPORATION</v>
          </cell>
          <cell r="C2888" t="str">
            <v>Bemar - Comercio De Ferramentas E Parafusos Ltda - Epp</v>
          </cell>
          <cell r="D2888" t="str">
            <v>Bemar</v>
          </cell>
          <cell r="E2888" t="str">
            <v>BR_CNPJ</v>
          </cell>
          <cell r="F2888" t="str">
            <v>58.330.853/0001-71</v>
          </cell>
        </row>
        <row r="2889">
          <cell r="A2889">
            <v>33473</v>
          </cell>
          <cell r="B2889" t="str">
            <v>CORPORATION</v>
          </cell>
          <cell r="C2889" t="str">
            <v>Zepo Materiais Para Construcao Ltda - Epp</v>
          </cell>
          <cell r="D2889" t="str">
            <v>Zepo</v>
          </cell>
          <cell r="E2889" t="str">
            <v>BR_CNPJ</v>
          </cell>
          <cell r="F2889" t="str">
            <v>89.851.786/0001-64</v>
          </cell>
        </row>
        <row r="2890">
          <cell r="A2890">
            <v>33476</v>
          </cell>
          <cell r="B2890" t="str">
            <v>CORPORATION</v>
          </cell>
          <cell r="C2890" t="str">
            <v>Ferragem Grassmann E Oliveira Ltda - Me</v>
          </cell>
          <cell r="D2890" t="str">
            <v>Ferragem E Instaladora Central</v>
          </cell>
          <cell r="E2890" t="str">
            <v>BR_CNPJ</v>
          </cell>
          <cell r="F2890" t="str">
            <v>00.732.136/0001-96</v>
          </cell>
        </row>
        <row r="2891">
          <cell r="A2891">
            <v>33479</v>
          </cell>
          <cell r="B2891" t="str">
            <v>CORPORATION</v>
          </cell>
          <cell r="C2891" t="str">
            <v>Ferragens Fensterseifer Ltda - Epp</v>
          </cell>
          <cell r="D2891" t="str">
            <v>Ferragens Fensterseifer Ltda - Epp</v>
          </cell>
          <cell r="E2891" t="str">
            <v>BR_CNPJ</v>
          </cell>
          <cell r="F2891" t="str">
            <v>98.110.323/0001-32</v>
          </cell>
        </row>
        <row r="2892">
          <cell r="A2892">
            <v>33482</v>
          </cell>
          <cell r="B2892" t="str">
            <v>CORPORATION</v>
          </cell>
          <cell r="C2892" t="str">
            <v>Santana Ferramentas E Maquinas Ltda</v>
          </cell>
          <cell r="D2892" t="str">
            <v>Santana Ferramentas E Maquinas</v>
          </cell>
          <cell r="E2892" t="str">
            <v>BR_CNPJ</v>
          </cell>
          <cell r="F2892" t="str">
            <v>21.669.759/0001-31</v>
          </cell>
        </row>
        <row r="2893">
          <cell r="A2893">
            <v>33483</v>
          </cell>
          <cell r="B2893" t="str">
            <v>CORPORATION</v>
          </cell>
          <cell r="C2893" t="str">
            <v>Agripampa - Pecas, Implementos Agricolas E Produtos Agropecuarios Ltda</v>
          </cell>
          <cell r="D2893" t="str">
            <v>Agripampa</v>
          </cell>
          <cell r="E2893" t="str">
            <v>BR_CNPJ</v>
          </cell>
          <cell r="F2893" t="str">
            <v>21.243.808/0001-70</v>
          </cell>
        </row>
        <row r="2894">
          <cell r="A2894">
            <v>33485</v>
          </cell>
          <cell r="B2894" t="str">
            <v>CORPORATION</v>
          </cell>
          <cell r="C2894" t="str">
            <v>Comercio Quintino Maquinas &amp; Ferramentas Ltda</v>
          </cell>
          <cell r="D2894" t="str">
            <v>Quintino Maquinas E Ferramentas</v>
          </cell>
          <cell r="E2894" t="str">
            <v>BR_CNPJ</v>
          </cell>
          <cell r="F2894" t="str">
            <v>25.945.031/0001-46</v>
          </cell>
          <cell r="G2894" t="str">
            <v>QUINTINO</v>
          </cell>
        </row>
        <row r="2895">
          <cell r="A2895">
            <v>33486</v>
          </cell>
          <cell r="B2895" t="str">
            <v>CORPORATION</v>
          </cell>
          <cell r="C2895" t="str">
            <v>Matel Comercio Agro E Industria Ltda</v>
          </cell>
          <cell r="D2895" t="str">
            <v>Matel Solucoes Agro E Industria</v>
          </cell>
          <cell r="E2895" t="str">
            <v>BR_CNPJ</v>
          </cell>
          <cell r="F2895" t="str">
            <v>30.487.259/0001-70</v>
          </cell>
        </row>
        <row r="2896">
          <cell r="A2896">
            <v>33489</v>
          </cell>
          <cell r="B2896" t="str">
            <v>CORPORATION</v>
          </cell>
          <cell r="C2896" t="str">
            <v>Invicta Maquinas E Ferramentas Ltda</v>
          </cell>
          <cell r="D2896" t="str">
            <v>Invicta</v>
          </cell>
          <cell r="E2896" t="str">
            <v>BR_CNPJ</v>
          </cell>
          <cell r="F2896" t="str">
            <v>17.374.945/0001-76</v>
          </cell>
        </row>
        <row r="2897">
          <cell r="A2897">
            <v>33490</v>
          </cell>
          <cell r="B2897" t="str">
            <v>CORPORATION</v>
          </cell>
          <cell r="C2897" t="str">
            <v>H.G Ferramentas Ltda - Me</v>
          </cell>
          <cell r="D2897" t="str">
            <v>H.G Ferramentas Ltda - Me</v>
          </cell>
          <cell r="E2897" t="str">
            <v>BR_CNPJ</v>
          </cell>
          <cell r="F2897" t="str">
            <v>01.709.651/0001-18</v>
          </cell>
        </row>
        <row r="2898">
          <cell r="A2898">
            <v>33492</v>
          </cell>
          <cell r="B2898" t="str">
            <v>CORPORATION</v>
          </cell>
          <cell r="C2898" t="str">
            <v>Pilar Materiais De Construcao Ltda</v>
          </cell>
          <cell r="D2898" t="str">
            <v>Pilar Materiais De Construcao Ltda</v>
          </cell>
          <cell r="E2898" t="str">
            <v>BR_CNPJ</v>
          </cell>
          <cell r="F2898" t="str">
            <v>78.621.315/0001-43</v>
          </cell>
        </row>
        <row r="2899">
          <cell r="A2899">
            <v>33495</v>
          </cell>
          <cell r="B2899" t="str">
            <v>CORPORATION</v>
          </cell>
          <cell r="C2899" t="str">
            <v>Fervargeao Ltda - Epp</v>
          </cell>
          <cell r="D2899" t="str">
            <v>Fervargeao</v>
          </cell>
          <cell r="E2899" t="str">
            <v>BR_CNPJ</v>
          </cell>
          <cell r="F2899" t="str">
            <v>82.985.037/0001-80</v>
          </cell>
        </row>
        <row r="2900">
          <cell r="A2900">
            <v>33496</v>
          </cell>
          <cell r="B2900" t="str">
            <v>CORPORATION</v>
          </cell>
          <cell r="C2900" t="str">
            <v>Ferafer Comercio Ferramentas Ltda</v>
          </cell>
          <cell r="D2900" t="str">
            <v>Ferafer</v>
          </cell>
          <cell r="E2900" t="str">
            <v>BR_CNPJ</v>
          </cell>
          <cell r="F2900" t="str">
            <v>47.693.233/0001-80</v>
          </cell>
          <cell r="G2900" t="str">
            <v>FERA FERRAMENTAS</v>
          </cell>
        </row>
        <row r="2901">
          <cell r="A2901">
            <v>33498</v>
          </cell>
          <cell r="B2901" t="str">
            <v>CORPORATION</v>
          </cell>
          <cell r="C2901" t="str">
            <v>Paresul Materiais De Construcao Ltda - Me</v>
          </cell>
          <cell r="D2901" t="str">
            <v>Paresul Materiais De Construcao Ltda</v>
          </cell>
          <cell r="E2901" t="str">
            <v>BR_CNPJ</v>
          </cell>
          <cell r="F2901" t="str">
            <v>03.080.731/0001-82</v>
          </cell>
        </row>
        <row r="2902">
          <cell r="A2902">
            <v>33501</v>
          </cell>
          <cell r="B2902" t="str">
            <v>CORPORATION</v>
          </cell>
          <cell r="C2902" t="str">
            <v>Adivisa Materiais Para Construcoes E Ferragens Ltda - Epp</v>
          </cell>
          <cell r="D2902" t="str">
            <v>Divisa Materiais Para Construcoes</v>
          </cell>
          <cell r="E2902" t="str">
            <v>BR_CNPJ</v>
          </cell>
          <cell r="F2902" t="str">
            <v>08.469.432/0001-58</v>
          </cell>
        </row>
        <row r="2903">
          <cell r="A2903">
            <v>33504</v>
          </cell>
          <cell r="B2903" t="str">
            <v>CORPORATION</v>
          </cell>
          <cell r="C2903" t="str">
            <v>Comercial Carlesso Ltda - Me</v>
          </cell>
          <cell r="D2903" t="str">
            <v>Comercial Carlesso Ltda - Me</v>
          </cell>
          <cell r="E2903" t="str">
            <v>BR_CNPJ</v>
          </cell>
          <cell r="F2903" t="str">
            <v>90.521.279/0001-41</v>
          </cell>
        </row>
        <row r="2904">
          <cell r="A2904">
            <v>33507</v>
          </cell>
          <cell r="B2904" t="str">
            <v>CORPORATION</v>
          </cell>
          <cell r="C2904" t="str">
            <v>Jaeger Ferragens Ltda - Me</v>
          </cell>
          <cell r="D2904" t="str">
            <v>Madereira Jaeger</v>
          </cell>
          <cell r="E2904" t="str">
            <v>BR_CNPJ</v>
          </cell>
          <cell r="F2904" t="str">
            <v>88.008.941/0001-12</v>
          </cell>
        </row>
        <row r="2905">
          <cell r="A2905">
            <v>33510</v>
          </cell>
          <cell r="B2905" t="str">
            <v>CORPORATION</v>
          </cell>
          <cell r="C2905" t="str">
            <v>Pp Garcia Materiais De Construcao Ltda - Me</v>
          </cell>
          <cell r="D2905" t="str">
            <v>Pp Garcia Materiais De Construcao</v>
          </cell>
          <cell r="E2905" t="str">
            <v>BR_CNPJ</v>
          </cell>
          <cell r="F2905" t="str">
            <v>01.906.831/0001-90</v>
          </cell>
        </row>
        <row r="2906">
          <cell r="A2906">
            <v>33513</v>
          </cell>
          <cell r="B2906" t="str">
            <v>CORPORATION</v>
          </cell>
          <cell r="C2906" t="str">
            <v>N. R. Maquinas Ltda - Me</v>
          </cell>
          <cell r="D2906" t="str">
            <v>N. R. Maquinas Ltda - Me</v>
          </cell>
          <cell r="E2906" t="str">
            <v>BR_CNPJ</v>
          </cell>
          <cell r="F2906" t="str">
            <v>86.421.039/0001-06</v>
          </cell>
        </row>
        <row r="2907">
          <cell r="A2907">
            <v>33516</v>
          </cell>
          <cell r="B2907" t="str">
            <v>CORPORATION</v>
          </cell>
          <cell r="C2907" t="str">
            <v>Nl Tintas E Ferragens S/A</v>
          </cell>
          <cell r="D2907" t="str">
            <v>Nl Tintas E Ferragens</v>
          </cell>
          <cell r="E2907" t="str">
            <v>BR_CNPJ</v>
          </cell>
          <cell r="F2907" t="str">
            <v>14.072.798/0001-91</v>
          </cell>
          <cell r="G2907" t="str">
            <v xml:space="preserve">Nl Tintas </v>
          </cell>
        </row>
        <row r="2908">
          <cell r="A2908">
            <v>33519</v>
          </cell>
          <cell r="B2908" t="str">
            <v>CORPORATION</v>
          </cell>
          <cell r="C2908" t="str">
            <v>Fergaspar Comercio Ltda - Epp</v>
          </cell>
          <cell r="D2908" t="str">
            <v>Ferragem Agripu</v>
          </cell>
          <cell r="E2908" t="str">
            <v>BR_CNPJ</v>
          </cell>
          <cell r="F2908" t="str">
            <v>01.209.231/0001-72</v>
          </cell>
        </row>
        <row r="2909">
          <cell r="A2909">
            <v>33522</v>
          </cell>
          <cell r="B2909" t="str">
            <v>CORPORATION</v>
          </cell>
          <cell r="C2909" t="str">
            <v>Ferragem Xanxere Ltda - Epp</v>
          </cell>
          <cell r="D2909" t="str">
            <v>Ferragem Xanxere</v>
          </cell>
          <cell r="E2909" t="str">
            <v>BR_CNPJ</v>
          </cell>
          <cell r="F2909" t="str">
            <v>05.377.159/0001-43</v>
          </cell>
        </row>
        <row r="2910">
          <cell r="A2910">
            <v>33526</v>
          </cell>
          <cell r="B2910" t="str">
            <v>CORPORATION</v>
          </cell>
          <cell r="C2910" t="str">
            <v>Andres Comercio E Manutencao De Ferramentas Ltda - Epp</v>
          </cell>
          <cell r="D2910" t="str">
            <v>Brosul</v>
          </cell>
          <cell r="E2910" t="str">
            <v>BR_CNPJ</v>
          </cell>
          <cell r="F2910" t="str">
            <v>07.463.500/0001-09</v>
          </cell>
        </row>
        <row r="2911">
          <cell r="A2911">
            <v>33527</v>
          </cell>
          <cell r="B2911" t="str">
            <v>CORPORATION</v>
          </cell>
          <cell r="C2911" t="str">
            <v>Parana Parafusos E Ferragens Ltda</v>
          </cell>
          <cell r="D2911" t="str">
            <v>Pioneira Dos Parfusos</v>
          </cell>
          <cell r="E2911" t="str">
            <v>BR_CNPJ</v>
          </cell>
          <cell r="F2911" t="str">
            <v>02.762.590/0001-15</v>
          </cell>
          <cell r="G2911" t="str">
            <v>PIONEIRA DOS PARAFUSOS</v>
          </cell>
        </row>
        <row r="2912">
          <cell r="A2912">
            <v>33529</v>
          </cell>
          <cell r="B2912" t="str">
            <v>CORPORATION</v>
          </cell>
          <cell r="C2912" t="str">
            <v>Alliance Ferramental Do Brasil Ltda - Me</v>
          </cell>
          <cell r="D2912" t="str">
            <v>Alliance Do Brasil Ferramentas</v>
          </cell>
          <cell r="E2912" t="str">
            <v>BR_CNPJ</v>
          </cell>
          <cell r="F2912" t="str">
            <v>09.310.010/0001-06</v>
          </cell>
        </row>
        <row r="2913">
          <cell r="A2913">
            <v>33530</v>
          </cell>
          <cell r="B2913" t="str">
            <v>CORPORATION</v>
          </cell>
          <cell r="C2913" t="str">
            <v>J C Scalabete Ferros</v>
          </cell>
          <cell r="D2913" t="str">
            <v>J C Scalabete Ferros</v>
          </cell>
          <cell r="E2913" t="str">
            <v>BR_CNPJ</v>
          </cell>
          <cell r="F2913" t="str">
            <v>69.345.916/0001-80</v>
          </cell>
        </row>
        <row r="2914">
          <cell r="A2914">
            <v>33531</v>
          </cell>
          <cell r="B2914" t="str">
            <v>CORPORATION</v>
          </cell>
          <cell r="C2914" t="str">
            <v>Rede Geral De Fixadores E Ferragens Ltda</v>
          </cell>
          <cell r="D2914" t="str">
            <v>Pioneira Dos Parafusos</v>
          </cell>
          <cell r="E2914" t="str">
            <v>BR_CNPJ</v>
          </cell>
          <cell r="F2914" t="str">
            <v>05.371.928/0001-04</v>
          </cell>
          <cell r="G2914" t="str">
            <v>PIONEIRA DOS PARAFUSOS</v>
          </cell>
        </row>
        <row r="2915">
          <cell r="A2915">
            <v>33532</v>
          </cell>
          <cell r="B2915" t="str">
            <v>CORPORATION</v>
          </cell>
          <cell r="C2915" t="str">
            <v>Ayca Comercial De Ferramentas E Pecas Ltda - Epp</v>
          </cell>
          <cell r="D2915" t="str">
            <v>Ayca Comercial De Ferramentas E Pecas Ltda - Epp</v>
          </cell>
          <cell r="E2915" t="str">
            <v>BR_CNPJ</v>
          </cell>
          <cell r="F2915" t="str">
            <v>93.772.002/0001-80</v>
          </cell>
        </row>
        <row r="2916">
          <cell r="A2916">
            <v>33533</v>
          </cell>
          <cell r="B2916" t="str">
            <v>CORPORATION</v>
          </cell>
          <cell r="C2916" t="str">
            <v>Felipe Caio Correa Gomes 01554981697</v>
          </cell>
          <cell r="D2916" t="str">
            <v>Felipe Caio Correa Gomes 01554981697 (Gemac)</v>
          </cell>
          <cell r="E2916" t="str">
            <v>BR_CNPJ</v>
          </cell>
          <cell r="F2916" t="str">
            <v>27.069.645/0001-37</v>
          </cell>
          <cell r="G2916" t="str">
            <v>GEMAC</v>
          </cell>
        </row>
        <row r="2917">
          <cell r="A2917">
            <v>33535</v>
          </cell>
          <cell r="B2917" t="str">
            <v>CORPORATION</v>
          </cell>
          <cell r="C2917" t="str">
            <v>Britto &amp; Bartzen Comercio De Ferramentas Ltda - Me</v>
          </cell>
          <cell r="D2917" t="str">
            <v>Globaltech</v>
          </cell>
          <cell r="E2917" t="str">
            <v>BR_CNPJ</v>
          </cell>
          <cell r="F2917" t="str">
            <v>09.639.439/0001-33</v>
          </cell>
        </row>
        <row r="2918">
          <cell r="A2918">
            <v>33538</v>
          </cell>
          <cell r="B2918" t="str">
            <v>CORPORATION</v>
          </cell>
          <cell r="C2918" t="str">
            <v>Cecilia Pagnoncelli Rodrigues Pereira - Me</v>
          </cell>
          <cell r="D2918" t="str">
            <v>Cecilia Pagnoncelli Rodrigues Pereira - Me</v>
          </cell>
          <cell r="E2918" t="str">
            <v>BR_CNPJ</v>
          </cell>
          <cell r="F2918" t="str">
            <v>03.251.080/0001-46</v>
          </cell>
        </row>
        <row r="2919">
          <cell r="A2919">
            <v>33541</v>
          </cell>
          <cell r="B2919" t="str">
            <v>CORPORATION</v>
          </cell>
          <cell r="C2919" t="str">
            <v>Caren Lisiane Nogueira Schepa - Me</v>
          </cell>
          <cell r="D2919" t="str">
            <v>Twc Ferramentas Profissionais</v>
          </cell>
          <cell r="E2919" t="str">
            <v>BR_CNPJ</v>
          </cell>
          <cell r="F2919" t="str">
            <v>08.188.243/0001-07</v>
          </cell>
        </row>
        <row r="2920">
          <cell r="A2920">
            <v>33543</v>
          </cell>
          <cell r="B2920" t="str">
            <v>CORPORATION</v>
          </cell>
          <cell r="C2920" t="str">
            <v>Ferramentas Caxias Ltda - Epp</v>
          </cell>
          <cell r="D2920" t="str">
            <v>Ferramentas Caxias Ltda - Epp</v>
          </cell>
          <cell r="E2920" t="str">
            <v>BR_CNPJ</v>
          </cell>
          <cell r="F2920" t="str">
            <v>92.331.115/0001-87</v>
          </cell>
        </row>
        <row r="2921">
          <cell r="A2921">
            <v>33544</v>
          </cell>
          <cell r="B2921" t="str">
            <v>CORPORATION</v>
          </cell>
          <cell r="C2921" t="str">
            <v>Central Epi Comercio Varejista De Equipamentos De Seguranca Ltda</v>
          </cell>
          <cell r="D2921" t="str">
            <v>Central Epis E Set Seguranca Do Trabalho</v>
          </cell>
          <cell r="E2921" t="str">
            <v>BR_CNPJ</v>
          </cell>
          <cell r="F2921" t="str">
            <v>16.691.819/0002-63</v>
          </cell>
        </row>
        <row r="2922">
          <cell r="A2922">
            <v>33546</v>
          </cell>
          <cell r="B2922" t="str">
            <v>CORPORATION</v>
          </cell>
          <cell r="C2922" t="str">
            <v>Ferramentas E Maquinas Ef Ltda - Me</v>
          </cell>
          <cell r="D2922" t="str">
            <v>Ferramentas E Maquinas Ef Ltda - Me</v>
          </cell>
          <cell r="E2922" t="str">
            <v>BR_CNPJ</v>
          </cell>
          <cell r="F2922" t="str">
            <v>90.071.622/0001-01</v>
          </cell>
        </row>
        <row r="2923">
          <cell r="A2923">
            <v>33547</v>
          </cell>
          <cell r="B2923" t="str">
            <v>CORPORATION</v>
          </cell>
          <cell r="C2923" t="str">
            <v>Ivan Gramiceli Junior</v>
          </cell>
          <cell r="D2923" t="str">
            <v>Ig Parts Distribuidora</v>
          </cell>
          <cell r="E2923" t="str">
            <v>BR_CNPJ</v>
          </cell>
          <cell r="F2923" t="str">
            <v>08.378.603/0001-33</v>
          </cell>
        </row>
        <row r="2924">
          <cell r="A2924">
            <v>33548</v>
          </cell>
          <cell r="B2924" t="str">
            <v>CORPORATION</v>
          </cell>
          <cell r="C2924" t="str">
            <v>Casa Guerreiro Materiais De Construcao Ltda</v>
          </cell>
          <cell r="D2924" t="str">
            <v>Casa Guerreiro Materiais De Construcao</v>
          </cell>
          <cell r="E2924" t="str">
            <v>BR_CNPJ</v>
          </cell>
          <cell r="F2924" t="str">
            <v>81.206.567/0001-10</v>
          </cell>
        </row>
        <row r="2925">
          <cell r="A2925">
            <v>33549</v>
          </cell>
          <cell r="B2925" t="str">
            <v>CORPORATION</v>
          </cell>
          <cell r="C2925" t="str">
            <v>Ferramentas Roza Ltda - Me</v>
          </cell>
          <cell r="D2925" t="str">
            <v>Ferramentas Roza Ltda - Me</v>
          </cell>
          <cell r="E2925" t="str">
            <v>BR_CNPJ</v>
          </cell>
          <cell r="F2925" t="str">
            <v>92.762.145/0001-48</v>
          </cell>
        </row>
        <row r="2926">
          <cell r="A2926">
            <v>33550</v>
          </cell>
          <cell r="B2926" t="str">
            <v>CORPORATION</v>
          </cell>
          <cell r="C2926" t="str">
            <v>Lucas Camargo Ferreira 47476339878</v>
          </cell>
          <cell r="D2926" t="str">
            <v>Casa Da Luva (Limeira Store)</v>
          </cell>
          <cell r="E2926" t="str">
            <v>BR_CNPJ</v>
          </cell>
          <cell r="F2926" t="str">
            <v>42.971.231/0001-92</v>
          </cell>
          <cell r="G2926" t="str">
            <v>CASA DA LUVA</v>
          </cell>
        </row>
        <row r="2927">
          <cell r="A2927">
            <v>33551</v>
          </cell>
          <cell r="B2927" t="str">
            <v>CORPORATION</v>
          </cell>
          <cell r="C2927" t="str">
            <v>Fusofix Comercial Ltda - Epp</v>
          </cell>
          <cell r="D2927" t="str">
            <v>Fusofix Comercial Ltda - Epp</v>
          </cell>
          <cell r="E2927" t="str">
            <v>BR_CNPJ</v>
          </cell>
          <cell r="F2927" t="str">
            <v>00.367.224/0001-36</v>
          </cell>
        </row>
        <row r="2928">
          <cell r="A2928">
            <v>33554</v>
          </cell>
          <cell r="B2928" t="str">
            <v>CORPORATION</v>
          </cell>
          <cell r="C2928" t="str">
            <v>M. Monteiro Ferramentas - Me</v>
          </cell>
          <cell r="D2928" t="str">
            <v>M. M. Tools Comercio De Ferragens E Ferramentas</v>
          </cell>
          <cell r="E2928" t="str">
            <v>BR_CNPJ</v>
          </cell>
          <cell r="F2928" t="str">
            <v>11.515.774/0001-71</v>
          </cell>
        </row>
        <row r="2929">
          <cell r="A2929">
            <v>33557</v>
          </cell>
          <cell r="B2929" t="str">
            <v>CORPORATION</v>
          </cell>
          <cell r="C2929" t="str">
            <v>Rio Grande Ferramentas Comercio E Importacao Ltda - Epp</v>
          </cell>
          <cell r="D2929" t="str">
            <v>Rg Ferramentas</v>
          </cell>
          <cell r="E2929" t="str">
            <v>BR_CNPJ</v>
          </cell>
          <cell r="F2929" t="str">
            <v>10.891.490/0001-17</v>
          </cell>
        </row>
        <row r="2930">
          <cell r="A2930">
            <v>33560</v>
          </cell>
          <cell r="B2930" t="str">
            <v>CORPORATION</v>
          </cell>
          <cell r="C2930" t="str">
            <v>Solfermaq Ferramentas Ltda - Epp</v>
          </cell>
          <cell r="D2930" t="str">
            <v>Solfermaq Ferramentas Ltda - Epp</v>
          </cell>
          <cell r="E2930" t="str">
            <v>BR_CNPJ</v>
          </cell>
          <cell r="F2930" t="str">
            <v>94.010.089/0001-10</v>
          </cell>
        </row>
        <row r="2931">
          <cell r="A2931">
            <v>33563</v>
          </cell>
          <cell r="B2931" t="str">
            <v>CORPORATION</v>
          </cell>
          <cell r="C2931" t="str">
            <v>Turbo Tools Comercio De Ferramentas Ltda - Me</v>
          </cell>
          <cell r="D2931" t="str">
            <v>Turbo Tools Comercio De Ferramentas Ltda - Me</v>
          </cell>
          <cell r="E2931" t="str">
            <v>BR_CNPJ</v>
          </cell>
          <cell r="F2931" t="str">
            <v>10.701.117/0001-56</v>
          </cell>
        </row>
        <row r="2932">
          <cell r="A2932">
            <v>33566</v>
          </cell>
          <cell r="B2932" t="str">
            <v>CORPORATION</v>
          </cell>
          <cell r="C2932" t="str">
            <v>Valacir Ana Fassini - Me</v>
          </cell>
          <cell r="D2932" t="str">
            <v>Valacir Ana Fassini - Me</v>
          </cell>
          <cell r="E2932" t="str">
            <v>BR_CNPJ</v>
          </cell>
          <cell r="F2932" t="str">
            <v>94.039.203/0001-35</v>
          </cell>
        </row>
        <row r="2933">
          <cell r="A2933">
            <v>33569</v>
          </cell>
          <cell r="B2933" t="str">
            <v>CORPORATION</v>
          </cell>
          <cell r="C2933" t="str">
            <v>Borfer Ferragens E Ferramentas Ltda</v>
          </cell>
          <cell r="D2933" t="str">
            <v>Borfer</v>
          </cell>
          <cell r="E2933" t="str">
            <v>BR_CNPJ</v>
          </cell>
          <cell r="F2933" t="str">
            <v>03.114.171/0001-30</v>
          </cell>
        </row>
        <row r="2934">
          <cell r="A2934">
            <v>33571</v>
          </cell>
          <cell r="B2934" t="str">
            <v>CORPORATION</v>
          </cell>
          <cell r="C2934" t="str">
            <v>Marcos Pinheiro De Carvalho</v>
          </cell>
          <cell r="D2934" t="str">
            <v>Serralheria Barrinha</v>
          </cell>
          <cell r="E2934" t="str">
            <v>BR_CNPJ</v>
          </cell>
          <cell r="F2934" t="str">
            <v>05.740.994/0001-04</v>
          </cell>
        </row>
        <row r="2935">
          <cell r="A2935">
            <v>33573</v>
          </cell>
          <cell r="B2935" t="str">
            <v>CORPORATION</v>
          </cell>
          <cell r="C2935" t="str">
            <v>Big Ferramentas Ltda</v>
          </cell>
          <cell r="D2935" t="str">
            <v>Big Ferramentas</v>
          </cell>
          <cell r="E2935" t="str">
            <v>BR_CNPJ</v>
          </cell>
          <cell r="F2935" t="str">
            <v>03.691.567/0001-40</v>
          </cell>
        </row>
        <row r="2936">
          <cell r="A2936">
            <v>33574</v>
          </cell>
          <cell r="B2936" t="str">
            <v>CORPORATION</v>
          </cell>
          <cell r="C2936" t="str">
            <v>Prometal Ata Comercio De Maquinas E Ferramentas Eireli</v>
          </cell>
          <cell r="D2936" t="str">
            <v>Prometal Ata Comercio De Maquinas E Ferramentas Eireli</v>
          </cell>
          <cell r="E2936" t="str">
            <v>BR_CNPJ</v>
          </cell>
          <cell r="F2936" t="str">
            <v>35.797.542/0001-11</v>
          </cell>
        </row>
        <row r="2937">
          <cell r="A2937">
            <v>33576</v>
          </cell>
          <cell r="B2937" t="str">
            <v>CORPORATION</v>
          </cell>
          <cell r="C2937" t="str">
            <v>Brad Comercio De Ferramentas Ltda - Me</v>
          </cell>
          <cell r="D2937" t="str">
            <v>Brad Tools</v>
          </cell>
          <cell r="E2937" t="str">
            <v>BR_CNPJ</v>
          </cell>
          <cell r="F2937" t="str">
            <v>20.183.664/0001-40</v>
          </cell>
        </row>
        <row r="2938">
          <cell r="A2938">
            <v>33578</v>
          </cell>
          <cell r="B2938" t="str">
            <v>CORPORATION</v>
          </cell>
          <cell r="C2938" t="str">
            <v>S S Soldas E Abrasivos Ltda</v>
          </cell>
          <cell r="D2938" t="str">
            <v>S S Soldas E Abrasivos</v>
          </cell>
          <cell r="E2938" t="str">
            <v>BR_CNPJ</v>
          </cell>
          <cell r="F2938" t="str">
            <v>51.502.455/0001-46</v>
          </cell>
        </row>
        <row r="2939">
          <cell r="A2939">
            <v>33579</v>
          </cell>
          <cell r="B2939" t="str">
            <v>CORPORATION</v>
          </cell>
          <cell r="C2939" t="str">
            <v>A. M. Presente- Ferramentas - Me</v>
          </cell>
          <cell r="D2939" t="str">
            <v>A. M. Presente- Ferramentas - Me</v>
          </cell>
          <cell r="E2939" t="str">
            <v>BR_CNPJ</v>
          </cell>
          <cell r="F2939" t="str">
            <v>03.805.429/0001-44</v>
          </cell>
        </row>
        <row r="2940">
          <cell r="A2940">
            <v>33582</v>
          </cell>
          <cell r="B2940" t="str">
            <v>CORPORATION</v>
          </cell>
          <cell r="C2940" t="str">
            <v>Adalberto Carpes Junior 00577738909</v>
          </cell>
          <cell r="D2940" t="str">
            <v>Adalberto Carpes Junior 00577738909</v>
          </cell>
          <cell r="E2940" t="str">
            <v>BR_CNPJ</v>
          </cell>
          <cell r="F2940" t="str">
            <v>11.758.700/0001-66</v>
          </cell>
        </row>
        <row r="2941">
          <cell r="A2941">
            <v>33584</v>
          </cell>
          <cell r="B2941" t="str">
            <v>CORPORATION</v>
          </cell>
          <cell r="C2941" t="str">
            <v>Delado &amp; Silva Comercio De Materiais Eletricos Ltda</v>
          </cell>
          <cell r="D2941" t="str">
            <v>Delado &amp; Silva Comercio De Materiais Eletricos</v>
          </cell>
          <cell r="E2941" t="str">
            <v>BR_CNPJ</v>
          </cell>
          <cell r="F2941" t="str">
            <v>40.942.346/0001-23</v>
          </cell>
        </row>
        <row r="2942">
          <cell r="A2942">
            <v>33585</v>
          </cell>
          <cell r="B2942" t="str">
            <v>CORPORATION</v>
          </cell>
          <cell r="C2942" t="str">
            <v>Comercio De Parafusos E Ferragens Bertoldi Ltda</v>
          </cell>
          <cell r="D2942" t="str">
            <v>Casa Dos Parafusos</v>
          </cell>
          <cell r="E2942" t="str">
            <v>BR_CNPJ</v>
          </cell>
          <cell r="F2942" t="str">
            <v>83.633.438/0001-34</v>
          </cell>
        </row>
        <row r="2943">
          <cell r="A2943">
            <v>33587</v>
          </cell>
          <cell r="B2943" t="str">
            <v>CORPORATION</v>
          </cell>
          <cell r="C2943" t="str">
            <v>Comercial Doracon Ltda</v>
          </cell>
          <cell r="D2943" t="str">
            <v>Comercial Doracon</v>
          </cell>
          <cell r="E2943" t="str">
            <v>BR_CNPJ</v>
          </cell>
          <cell r="F2943" t="str">
            <v>04.239.536/0001-15</v>
          </cell>
        </row>
        <row r="2944">
          <cell r="A2944">
            <v>33589</v>
          </cell>
          <cell r="B2944" t="str">
            <v>CORPORATION</v>
          </cell>
          <cell r="C2944" t="str">
            <v>Ferck Comercial De Ferramentas E Pecas Ltda - Me</v>
          </cell>
          <cell r="D2944" t="str">
            <v>Ferck Comercial De Ferramentas E Pecas Ltda - Me</v>
          </cell>
          <cell r="E2944" t="str">
            <v>BR_CNPJ</v>
          </cell>
          <cell r="F2944" t="str">
            <v>85.216.133/0001-52</v>
          </cell>
        </row>
        <row r="2945">
          <cell r="A2945">
            <v>33590</v>
          </cell>
          <cell r="B2945" t="str">
            <v>CORPORATION</v>
          </cell>
          <cell r="C2945" t="str">
            <v>Joisa Distribuidora De Parafusos E Ferramentas Ltda</v>
          </cell>
          <cell r="D2945" t="str">
            <v>Joisa Distribuidora De Parafusos E Ferramentas</v>
          </cell>
          <cell r="E2945" t="str">
            <v>BR_CNPJ</v>
          </cell>
          <cell r="F2945" t="str">
            <v>48.619.134/0001-11</v>
          </cell>
        </row>
        <row r="2946">
          <cell r="A2946">
            <v>33591</v>
          </cell>
          <cell r="B2946" t="str">
            <v>CORPORATION</v>
          </cell>
          <cell r="C2946" t="str">
            <v>Inae Teixeira Da Rosa - Me</v>
          </cell>
          <cell r="D2946" t="str">
            <v>M.D.I. Maquinas E Equipamentos</v>
          </cell>
          <cell r="E2946" t="str">
            <v>BR_CNPJ</v>
          </cell>
          <cell r="F2946" t="str">
            <v>10.346.902/0001-38</v>
          </cell>
        </row>
        <row r="2947">
          <cell r="A2947">
            <v>33593</v>
          </cell>
          <cell r="B2947" t="str">
            <v>CORPORATION</v>
          </cell>
          <cell r="C2947" t="str">
            <v>Nk Ferragens Ltda</v>
          </cell>
          <cell r="D2947" t="str">
            <v>Fermaq</v>
          </cell>
          <cell r="E2947" t="str">
            <v>BR_CNPJ</v>
          </cell>
          <cell r="F2947" t="str">
            <v>03.219.654/0001-07</v>
          </cell>
          <cell r="G2947" t="str">
            <v>FERMAQ</v>
          </cell>
        </row>
        <row r="2948">
          <cell r="A2948">
            <v>33595</v>
          </cell>
          <cell r="B2948" t="str">
            <v>CORPORATION</v>
          </cell>
          <cell r="C2948" t="str">
            <v>Furiaflex Mangueiras E Conexoes Ltda.</v>
          </cell>
          <cell r="D2948" t="str">
            <v>Furiaflex</v>
          </cell>
          <cell r="E2948" t="str">
            <v>BR_CNPJ</v>
          </cell>
          <cell r="F2948" t="str">
            <v>14.674.735/0001-05</v>
          </cell>
        </row>
        <row r="2949">
          <cell r="A2949">
            <v>33597</v>
          </cell>
          <cell r="B2949" t="str">
            <v>CORPORATION</v>
          </cell>
          <cell r="C2949" t="str">
            <v>Troiana Equipamentos Ltda</v>
          </cell>
          <cell r="D2949" t="str">
            <v>Troiana Equipamentos Ltda</v>
          </cell>
          <cell r="E2949" t="str">
            <v>BR_CNPJ</v>
          </cell>
          <cell r="F2949" t="str">
            <v>14.177.036/0001-50</v>
          </cell>
        </row>
        <row r="2950">
          <cell r="A2950">
            <v>33599</v>
          </cell>
          <cell r="B2950" t="str">
            <v>CORPORATION</v>
          </cell>
          <cell r="C2950" t="str">
            <v>Tortelli Ferragens Ltda - Me</v>
          </cell>
          <cell r="D2950" t="str">
            <v>Tortelli Ferragens Ltda - Me</v>
          </cell>
          <cell r="E2950" t="str">
            <v>BR_CNPJ</v>
          </cell>
          <cell r="F2950" t="str">
            <v>81.794.703/0001-30</v>
          </cell>
        </row>
        <row r="2951">
          <cell r="A2951">
            <v>33600</v>
          </cell>
          <cell r="B2951" t="str">
            <v>CORPORATION</v>
          </cell>
          <cell r="C2951" t="str">
            <v>Dna Tintas Comercial Ltda Me</v>
          </cell>
          <cell r="D2951" t="str">
            <v>Dna Tintas</v>
          </cell>
          <cell r="E2951" t="str">
            <v>BR_CNPJ</v>
          </cell>
          <cell r="F2951" t="str">
            <v>14.897.395/0001-81</v>
          </cell>
        </row>
        <row r="2952">
          <cell r="A2952">
            <v>33602</v>
          </cell>
          <cell r="B2952" t="str">
            <v>CORPORATION</v>
          </cell>
          <cell r="C2952" t="str">
            <v>A. C. Santana - Ferramentas - Me</v>
          </cell>
          <cell r="D2952" t="str">
            <v>Celso Ferramentas</v>
          </cell>
          <cell r="E2952" t="str">
            <v>BR_CNPJ</v>
          </cell>
          <cell r="F2952" t="str">
            <v>03.990.325/0001-57</v>
          </cell>
        </row>
        <row r="2953">
          <cell r="A2953">
            <v>33604</v>
          </cell>
          <cell r="B2953" t="str">
            <v>CORPORATION</v>
          </cell>
          <cell r="C2953" t="str">
            <v>Valfer Parafusos E Ferramentas Ltda</v>
          </cell>
          <cell r="D2953" t="str">
            <v>Valfer Parafusos E Ferramentas</v>
          </cell>
          <cell r="E2953" t="str">
            <v>BR_CNPJ</v>
          </cell>
          <cell r="F2953" t="str">
            <v>33.951.854/0001-02</v>
          </cell>
        </row>
        <row r="2954">
          <cell r="A2954">
            <v>33605</v>
          </cell>
          <cell r="B2954" t="str">
            <v>CORPORATION</v>
          </cell>
          <cell r="C2954" t="str">
            <v>Cesar Marcon &amp; Cia Ltda - Me</v>
          </cell>
          <cell r="D2954" t="str">
            <v>Master Maquinas E Ferramentas</v>
          </cell>
          <cell r="E2954" t="str">
            <v>BR_CNPJ</v>
          </cell>
          <cell r="F2954" t="str">
            <v>82.677.048/0001-01</v>
          </cell>
        </row>
        <row r="2955">
          <cell r="A2955">
            <v>33607</v>
          </cell>
          <cell r="B2955" t="str">
            <v>CORPORATION</v>
          </cell>
          <cell r="C2955" t="str">
            <v>Luytex Materiais De Construcao Ltda</v>
          </cell>
          <cell r="D2955" t="str">
            <v>Luytex</v>
          </cell>
          <cell r="E2955" t="str">
            <v>BR_CNPJ</v>
          </cell>
          <cell r="F2955" t="str">
            <v>45.180.435/0001-01</v>
          </cell>
        </row>
        <row r="2956">
          <cell r="A2956">
            <v>33608</v>
          </cell>
          <cell r="B2956" t="str">
            <v>CORPORATION</v>
          </cell>
          <cell r="C2956" t="str">
            <v>Zerao Maquinas Ltda - Epp</v>
          </cell>
          <cell r="D2956" t="str">
            <v>Zerao Maquinas Ltda - Epp</v>
          </cell>
          <cell r="E2956" t="str">
            <v>BR_CNPJ</v>
          </cell>
          <cell r="F2956" t="str">
            <v>07.315.717/0001-71</v>
          </cell>
        </row>
        <row r="2957">
          <cell r="A2957">
            <v>33610</v>
          </cell>
          <cell r="B2957" t="str">
            <v>CORPORATION</v>
          </cell>
          <cell r="C2957" t="str">
            <v>Agata Ferramentas E Maquinas Ltda - Me</v>
          </cell>
          <cell r="D2957" t="str">
            <v>Agata Comercio De Ferramentas</v>
          </cell>
          <cell r="E2957" t="str">
            <v>BR_CNPJ</v>
          </cell>
          <cell r="F2957" t="str">
            <v>03.520.471/0001-19</v>
          </cell>
        </row>
        <row r="2958">
          <cell r="A2958">
            <v>33613</v>
          </cell>
          <cell r="B2958" t="str">
            <v>CORPORATION</v>
          </cell>
          <cell r="C2958" t="str">
            <v>Marta Amelia De Oliveira - Me</v>
          </cell>
          <cell r="D2958" t="str">
            <v>Marta Amelia De Oliveira - Me</v>
          </cell>
          <cell r="E2958" t="str">
            <v>BR_CNPJ</v>
          </cell>
          <cell r="F2958" t="str">
            <v>07.713.629/0001-28</v>
          </cell>
        </row>
        <row r="2959">
          <cell r="A2959">
            <v>33615</v>
          </cell>
          <cell r="B2959" t="str">
            <v>CORPORATION</v>
          </cell>
          <cell r="C2959" t="str">
            <v>Karolayne Pereira Vaz Da Silva 05085317130</v>
          </cell>
          <cell r="D2959" t="str">
            <v>Ferragista Maranata</v>
          </cell>
          <cell r="E2959" t="str">
            <v>BR_CNPJ</v>
          </cell>
          <cell r="F2959" t="str">
            <v>42.691.921/0001-98</v>
          </cell>
          <cell r="G2959" t="str">
            <v>FERRAGISTA MARANATA</v>
          </cell>
        </row>
        <row r="2960">
          <cell r="A2960">
            <v>33619</v>
          </cell>
          <cell r="B2960" t="str">
            <v>CORPORATION</v>
          </cell>
          <cell r="C2960" t="str">
            <v>Axioma Comercio E Representacoes Ltda - Me</v>
          </cell>
          <cell r="D2960" t="str">
            <v>Axioma Representacoes</v>
          </cell>
          <cell r="E2960" t="str">
            <v>BR_CNPJ</v>
          </cell>
          <cell r="F2960" t="str">
            <v>01.627.604/0001-25</v>
          </cell>
        </row>
        <row r="2961">
          <cell r="A2961">
            <v>33620</v>
          </cell>
          <cell r="B2961" t="str">
            <v>CORPORATION</v>
          </cell>
          <cell r="C2961" t="str">
            <v>Vidracaria Vidro Arte Ltda</v>
          </cell>
          <cell r="D2961" t="str">
            <v>Vidracaria Vidroarte</v>
          </cell>
          <cell r="E2961" t="str">
            <v>BR_CNPJ</v>
          </cell>
          <cell r="F2961" t="str">
            <v>14.797.588/0001-60</v>
          </cell>
        </row>
        <row r="2962">
          <cell r="A2962">
            <v>33623</v>
          </cell>
          <cell r="B2962" t="str">
            <v>CORPORATION</v>
          </cell>
          <cell r="C2962" t="str">
            <v>Bp Maquinas E Ferramentas Eireli - Epp</v>
          </cell>
          <cell r="D2962" t="str">
            <v>Bp Parafusos, Maquinas E Ferramentas</v>
          </cell>
          <cell r="E2962" t="str">
            <v>BR_CNPJ</v>
          </cell>
          <cell r="F2962" t="str">
            <v>09.206.754/0001-77</v>
          </cell>
        </row>
        <row r="2963">
          <cell r="A2963">
            <v>33624</v>
          </cell>
          <cell r="B2963" t="str">
            <v>CORPORATION</v>
          </cell>
          <cell r="C2963" t="str">
            <v>Clk24 Comercio Eletronico Ltda</v>
          </cell>
          <cell r="D2963" t="str">
            <v>Clk24 Comercio Eletronico Ltda</v>
          </cell>
          <cell r="E2963" t="str">
            <v>BR_CNPJ</v>
          </cell>
          <cell r="F2963" t="str">
            <v>34.730.372/0001-95</v>
          </cell>
        </row>
        <row r="2964">
          <cell r="A2964">
            <v>33625</v>
          </cell>
          <cell r="B2964" t="str">
            <v>CORPORATION</v>
          </cell>
          <cell r="C2964" t="str">
            <v>Rede Multicomercial Americana Ltda</v>
          </cell>
          <cell r="D2964" t="str">
            <v>Rede Multicomercial Americana</v>
          </cell>
          <cell r="E2964" t="str">
            <v>BR_CNPJ</v>
          </cell>
          <cell r="F2964" t="str">
            <v>40.982.968/0001-85</v>
          </cell>
        </row>
        <row r="2965">
          <cell r="A2965">
            <v>33626</v>
          </cell>
          <cell r="B2965" t="str">
            <v>CORPORATION</v>
          </cell>
          <cell r="C2965" t="str">
            <v>Carlos Henrique Pontone - Me</v>
          </cell>
          <cell r="D2965" t="str">
            <v>Carlos Ferramentas</v>
          </cell>
          <cell r="E2965" t="str">
            <v>BR_CNPJ</v>
          </cell>
          <cell r="F2965" t="str">
            <v>03.498.833/0001-12</v>
          </cell>
        </row>
        <row r="2966">
          <cell r="A2966">
            <v>33628</v>
          </cell>
          <cell r="B2966" t="str">
            <v>CORPORATION</v>
          </cell>
          <cell r="C2966" t="str">
            <v>D. G. A. Comercial Ltda - Epp</v>
          </cell>
          <cell r="D2966" t="str">
            <v>Avenida Maquinas E Ferramentas</v>
          </cell>
          <cell r="E2966" t="str">
            <v>BR_CNPJ</v>
          </cell>
          <cell r="F2966" t="str">
            <v>36.379.063/0001-48</v>
          </cell>
        </row>
        <row r="2967">
          <cell r="A2967">
            <v>33631</v>
          </cell>
          <cell r="B2967" t="str">
            <v>CORPORATION</v>
          </cell>
          <cell r="C2967" t="str">
            <v>Fervit - Ferramentas E Maquinas Ltda.</v>
          </cell>
          <cell r="D2967" t="str">
            <v>Fervit - Ferramentas E Maquinas Ltda.</v>
          </cell>
          <cell r="E2967" t="str">
            <v>BR_CNPJ</v>
          </cell>
          <cell r="F2967" t="str">
            <v>04.178.090/0001-66</v>
          </cell>
        </row>
        <row r="2968">
          <cell r="A2968">
            <v>33634</v>
          </cell>
          <cell r="B2968" t="str">
            <v>CORPORATION</v>
          </cell>
          <cell r="C2968" t="str">
            <v>Maquil Maquinas E Ferramentas Ltda - Epp</v>
          </cell>
          <cell r="D2968" t="str">
            <v>Maquil Maquinas E Equipamentos</v>
          </cell>
          <cell r="E2968" t="str">
            <v>BR_CNPJ</v>
          </cell>
          <cell r="F2968" t="str">
            <v>01.561.647/0001-55</v>
          </cell>
        </row>
        <row r="2969">
          <cell r="A2969">
            <v>33637</v>
          </cell>
          <cell r="B2969" t="str">
            <v>CORPORATION</v>
          </cell>
          <cell r="C2969" t="str">
            <v>Daniela Correia Santoro - Me</v>
          </cell>
          <cell r="D2969" t="str">
            <v>Talento Ferramentas</v>
          </cell>
          <cell r="E2969" t="str">
            <v>BR_CNPJ</v>
          </cell>
          <cell r="F2969" t="str">
            <v>09.169.836/0001-99</v>
          </cell>
        </row>
        <row r="2970">
          <cell r="A2970">
            <v>33639</v>
          </cell>
          <cell r="B2970" t="str">
            <v>CORPORATION</v>
          </cell>
          <cell r="C2970" t="str">
            <v>Ferbrasa Ferramentas Do Brasil Ltda - Me</v>
          </cell>
          <cell r="D2970" t="str">
            <v>Ferbrasa Ferramentas Do Brasil Ltda - Me</v>
          </cell>
          <cell r="E2970" t="str">
            <v>BR_CNPJ</v>
          </cell>
          <cell r="F2970" t="str">
            <v>37.072.782/0001-84</v>
          </cell>
        </row>
        <row r="2971">
          <cell r="A2971">
            <v>33640</v>
          </cell>
          <cell r="B2971" t="str">
            <v>CORPORATION</v>
          </cell>
          <cell r="C2971" t="str">
            <v>D.R. Derne-Rios Ferragens E Vidracaria Ltda</v>
          </cell>
          <cell r="D2971" t="str">
            <v>Derne Rios Vidracaria</v>
          </cell>
          <cell r="E2971" t="str">
            <v>BR_CNPJ</v>
          </cell>
          <cell r="F2971" t="str">
            <v>32.903.251/0001-72</v>
          </cell>
        </row>
        <row r="2972">
          <cell r="A2972">
            <v>33645</v>
          </cell>
          <cell r="B2972" t="str">
            <v>CORPORATION</v>
          </cell>
          <cell r="C2972" t="str">
            <v>Comercial Makfer Distribuidora De Maquinas E Ferramentas Ltda - Epp</v>
          </cell>
          <cell r="D2972" t="str">
            <v>Comercial Makfer</v>
          </cell>
          <cell r="E2972" t="str">
            <v>BR_CNPJ</v>
          </cell>
          <cell r="F2972" t="str">
            <v>08.053.973/0001-09</v>
          </cell>
        </row>
        <row r="2973">
          <cell r="A2973">
            <v>33648</v>
          </cell>
          <cell r="B2973" t="str">
            <v>CORPORATION</v>
          </cell>
          <cell r="C2973" t="str">
            <v>Multi Soldas Comercio Ltda</v>
          </cell>
          <cell r="D2973" t="str">
            <v>Multi Soldas</v>
          </cell>
          <cell r="E2973" t="str">
            <v>BR_CNPJ</v>
          </cell>
          <cell r="F2973" t="str">
            <v>05.139.345/0001-44</v>
          </cell>
        </row>
        <row r="2974">
          <cell r="A2974">
            <v>33651</v>
          </cell>
          <cell r="B2974" t="str">
            <v>CORPORATION</v>
          </cell>
          <cell r="C2974" t="str">
            <v>Ferragens Indamar Ltda - Me</v>
          </cell>
          <cell r="D2974" t="str">
            <v>Indamar Comercial Agricola</v>
          </cell>
          <cell r="E2974" t="str">
            <v>BR_CNPJ</v>
          </cell>
          <cell r="F2974" t="str">
            <v>01.896.349/0001-16</v>
          </cell>
        </row>
        <row r="2975">
          <cell r="A2975">
            <v>33653</v>
          </cell>
          <cell r="B2975" t="str">
            <v>CORPORATION</v>
          </cell>
          <cell r="C2975" t="str">
            <v>J F Ferramentas Ltda</v>
          </cell>
          <cell r="D2975" t="str">
            <v>J. F. Ferramentas</v>
          </cell>
          <cell r="E2975" t="str">
            <v>BR_CNPJ</v>
          </cell>
          <cell r="F2975" t="str">
            <v>24.978.454/0001-08</v>
          </cell>
        </row>
        <row r="2976">
          <cell r="A2976">
            <v>33656</v>
          </cell>
          <cell r="B2976" t="str">
            <v>CORPORATION</v>
          </cell>
          <cell r="C2976" t="str">
            <v>Lauxen Comercio De Ferragens Ltda - Me</v>
          </cell>
          <cell r="D2976" t="str">
            <v>Lauxen</v>
          </cell>
          <cell r="E2976" t="str">
            <v>BR_CNPJ</v>
          </cell>
          <cell r="F2976" t="str">
            <v>11.892.123/0001-09</v>
          </cell>
        </row>
        <row r="2977">
          <cell r="A2977">
            <v>33657</v>
          </cell>
          <cell r="B2977" t="str">
            <v>CORPORATION</v>
          </cell>
          <cell r="C2977" t="str">
            <v>Euro Mig Ltda</v>
          </cell>
          <cell r="D2977" t="str">
            <v>Euro Mig</v>
          </cell>
          <cell r="E2977" t="str">
            <v>BR_CNPJ</v>
          </cell>
          <cell r="F2977" t="str">
            <v>41.940.030/0001-65</v>
          </cell>
        </row>
        <row r="2978">
          <cell r="A2978">
            <v>33660</v>
          </cell>
          <cell r="B2978" t="str">
            <v>CORPORATION</v>
          </cell>
          <cell r="C2978" t="str">
            <v>Modelo Comercio De Ferramentas E Ferragens Ltda - Me</v>
          </cell>
          <cell r="D2978" t="str">
            <v>Modelo Ferramentas</v>
          </cell>
          <cell r="E2978" t="str">
            <v>BR_CNPJ</v>
          </cell>
          <cell r="F2978" t="str">
            <v>04.162.139/0001-92</v>
          </cell>
        </row>
        <row r="2979">
          <cell r="A2979">
            <v>33663</v>
          </cell>
          <cell r="B2979" t="str">
            <v>CORPORATION</v>
          </cell>
          <cell r="C2979" t="str">
            <v>Paulo Sergio Franca - Me</v>
          </cell>
          <cell r="D2979" t="str">
            <v>Pk Ferramentas</v>
          </cell>
          <cell r="E2979" t="str">
            <v>BR_CNPJ</v>
          </cell>
          <cell r="F2979" t="str">
            <v>10.827.559/0001-43</v>
          </cell>
        </row>
        <row r="2980">
          <cell r="A2980">
            <v>33667</v>
          </cell>
          <cell r="B2980" t="str">
            <v>CORPORATION</v>
          </cell>
          <cell r="C2980" t="str">
            <v>Abrasser Ferramentas Ltda</v>
          </cell>
          <cell r="D2980" t="str">
            <v>Abrasser Ferramentas</v>
          </cell>
          <cell r="E2980" t="str">
            <v>BR_CNPJ</v>
          </cell>
          <cell r="F2980" t="str">
            <v>94.478.518/0001-89</v>
          </cell>
          <cell r="G2980" t="str">
            <v>ABRASSER FERRAMENTAS</v>
          </cell>
        </row>
        <row r="2981">
          <cell r="A2981">
            <v>33669</v>
          </cell>
          <cell r="B2981" t="str">
            <v>CORPORATION</v>
          </cell>
          <cell r="C2981" t="str">
            <v>Carlsons Produtos Industriais Ltda</v>
          </cell>
          <cell r="D2981" t="str">
            <v>Carlsons</v>
          </cell>
          <cell r="E2981" t="str">
            <v>BR_CNPJ</v>
          </cell>
          <cell r="F2981" t="str">
            <v>62.954.987/0001-30</v>
          </cell>
        </row>
        <row r="2982">
          <cell r="A2982">
            <v>33672</v>
          </cell>
          <cell r="B2982" t="str">
            <v>CORPORATION</v>
          </cell>
          <cell r="C2982" t="str">
            <v>Comercio De Ferragens Pires Martins Importacao E Exportacao Ltda.</v>
          </cell>
          <cell r="D2982" t="str">
            <v>Pires Martins</v>
          </cell>
          <cell r="E2982" t="str">
            <v>BR_CNPJ</v>
          </cell>
          <cell r="F2982" t="str">
            <v>58.512.658/0001-62</v>
          </cell>
        </row>
        <row r="2983">
          <cell r="A2983">
            <v>33675</v>
          </cell>
          <cell r="B2983" t="str">
            <v>CORPORATION</v>
          </cell>
          <cell r="C2983" t="str">
            <v>Canaa Parafusos Ltda - Me</v>
          </cell>
          <cell r="D2983" t="str">
            <v>Canaa Parafusos</v>
          </cell>
          <cell r="E2983" t="str">
            <v>BR_CNPJ</v>
          </cell>
          <cell r="F2983" t="str">
            <v>13.372.389/0001-48</v>
          </cell>
        </row>
        <row r="2984">
          <cell r="A2984">
            <v>33679</v>
          </cell>
          <cell r="B2984" t="str">
            <v>CORPORATION</v>
          </cell>
          <cell r="C2984" t="str">
            <v>Ponto Joia Comercio De Materiais De Construcao Ltda - Me</v>
          </cell>
          <cell r="D2984" t="str">
            <v>Nereu Mateiriais De Construcao</v>
          </cell>
          <cell r="E2984" t="str">
            <v>BR_CNPJ</v>
          </cell>
          <cell r="F2984" t="str">
            <v>02.025.076/0001-05</v>
          </cell>
        </row>
        <row r="2985">
          <cell r="A2985">
            <v>33698</v>
          </cell>
          <cell r="B2985" t="str">
            <v>CORPORATION</v>
          </cell>
          <cell r="C2985" t="str">
            <v>Mesquita Motores Ltda</v>
          </cell>
          <cell r="D2985" t="str">
            <v>Mesquita Motores Ltda</v>
          </cell>
          <cell r="E2985" t="str">
            <v>BR_CNPJ</v>
          </cell>
          <cell r="F2985" t="str">
            <v>17.278.300/0001-30</v>
          </cell>
        </row>
        <row r="2986">
          <cell r="A2986">
            <v>33701</v>
          </cell>
          <cell r="B2986" t="str">
            <v>CORPORATION</v>
          </cell>
          <cell r="C2986" t="str">
            <v>Antonio Miranda - Me</v>
          </cell>
          <cell r="D2986" t="str">
            <v>Chapeacao Miranda</v>
          </cell>
          <cell r="E2986" t="str">
            <v>BR_CNPJ</v>
          </cell>
          <cell r="F2986" t="str">
            <v>78.490.554/0001-01</v>
          </cell>
        </row>
        <row r="2987">
          <cell r="A2987">
            <v>33704</v>
          </cell>
          <cell r="B2987" t="str">
            <v>CORPORATION</v>
          </cell>
          <cell r="C2987" t="str">
            <v>Antonio Vicente Dos Passos - Me</v>
          </cell>
          <cell r="D2987" t="str">
            <v>Antonio Vicente Dos Passos - Me</v>
          </cell>
          <cell r="E2987" t="str">
            <v>BR_CNPJ</v>
          </cell>
          <cell r="F2987" t="str">
            <v>83.756.510/0001-10</v>
          </cell>
        </row>
        <row r="2988">
          <cell r="A2988">
            <v>33707</v>
          </cell>
          <cell r="B2988" t="str">
            <v>CORPORATION</v>
          </cell>
          <cell r="C2988" t="str">
            <v>Janio Arno Souza Dos Santos - Me</v>
          </cell>
          <cell r="D2988" t="str">
            <v>Arno &amp; Cia</v>
          </cell>
          <cell r="E2988" t="str">
            <v>BR_CNPJ</v>
          </cell>
          <cell r="F2988" t="str">
            <v>84.423.227/0001-30</v>
          </cell>
        </row>
        <row r="2989">
          <cell r="A2989">
            <v>33710</v>
          </cell>
          <cell r="B2989" t="str">
            <v>CORPORATION</v>
          </cell>
          <cell r="C2989" t="str">
            <v>Berger Comercial - Importadora E Exportadora Ltda - Me</v>
          </cell>
          <cell r="D2989" t="str">
            <v>Berger Comercial - Importadora E Exportadora Ltda - Me</v>
          </cell>
          <cell r="E2989" t="str">
            <v>BR_CNPJ</v>
          </cell>
          <cell r="F2989" t="str">
            <v>75.420.208/0001-69</v>
          </cell>
        </row>
        <row r="2990">
          <cell r="A2990">
            <v>33713</v>
          </cell>
          <cell r="B2990" t="str">
            <v>CORPORATION</v>
          </cell>
          <cell r="C2990" t="str">
            <v>Bock &amp; Cia Ltda</v>
          </cell>
          <cell r="D2990" t="str">
            <v>Bock &amp; Cia Ltda</v>
          </cell>
          <cell r="E2990" t="str">
            <v>BR_CNPJ</v>
          </cell>
          <cell r="F2990" t="str">
            <v>85.215.382/0001-23</v>
          </cell>
        </row>
        <row r="2991">
          <cell r="A2991">
            <v>33715</v>
          </cell>
          <cell r="B2991" t="str">
            <v>CORPORATION</v>
          </cell>
          <cell r="C2991" t="str">
            <v>Londrisoldas Comercio De Soldas Ferramentas E Ferragens Ltda</v>
          </cell>
          <cell r="D2991" t="str">
            <v>Londrisoldas Comercio De Soldas Ferramentas E Ferragens Ltda</v>
          </cell>
          <cell r="E2991" t="str">
            <v>BR_CNPJ</v>
          </cell>
          <cell r="F2991" t="str">
            <v>18.715.129/0001-41</v>
          </cell>
        </row>
        <row r="2992">
          <cell r="A2992">
            <v>33716</v>
          </cell>
          <cell r="B2992" t="str">
            <v>CORPORATION</v>
          </cell>
          <cell r="C2992" t="str">
            <v>Ferragens Concordia Ltda - Me</v>
          </cell>
          <cell r="D2992" t="str">
            <v>Ferragens Concordia Ltda - Me</v>
          </cell>
          <cell r="E2992" t="str">
            <v>BR_CNPJ</v>
          </cell>
          <cell r="F2992" t="str">
            <v>06.937.552/0001-07</v>
          </cell>
        </row>
        <row r="2993">
          <cell r="A2993">
            <v>33720</v>
          </cell>
          <cell r="B2993" t="str">
            <v>CORPORATION</v>
          </cell>
          <cell r="C2993" t="str">
            <v>Uniao Das Ferramentas Ltda</v>
          </cell>
          <cell r="D2993" t="str">
            <v>Uniao Das Ferramentas</v>
          </cell>
          <cell r="E2993" t="str">
            <v>BR_CNPJ</v>
          </cell>
          <cell r="F2993" t="str">
            <v>20.991.362/0001-07</v>
          </cell>
        </row>
        <row r="2994">
          <cell r="A2994">
            <v>33724</v>
          </cell>
          <cell r="B2994" t="str">
            <v>CORPORATION</v>
          </cell>
          <cell r="C2994" t="str">
            <v>Calegari Ferramentas Ltda - Epp</v>
          </cell>
          <cell r="D2994" t="str">
            <v>Calegari Ferramentas Ltda - Epp</v>
          </cell>
          <cell r="E2994" t="str">
            <v>BR_CNPJ</v>
          </cell>
          <cell r="F2994" t="str">
            <v>81.326.241/0001-27</v>
          </cell>
        </row>
        <row r="2995">
          <cell r="A2995">
            <v>33725</v>
          </cell>
          <cell r="B2995" t="str">
            <v>CORPORATION</v>
          </cell>
          <cell r="C2995" t="str">
            <v>Ferragens Negrao Comercial Ltda</v>
          </cell>
          <cell r="D2995" t="str">
            <v>Negrao</v>
          </cell>
          <cell r="E2995" t="str">
            <v>BR_CNPJ</v>
          </cell>
          <cell r="F2995" t="str">
            <v>76.639.285/0001-77</v>
          </cell>
          <cell r="G2995" t="str">
            <v>NEGRÃO</v>
          </cell>
        </row>
        <row r="2996">
          <cell r="A2996">
            <v>33726</v>
          </cell>
          <cell r="B2996" t="str">
            <v>CORPORATION</v>
          </cell>
          <cell r="C2996" t="str">
            <v>O Ferramenteiro Comercio De Ferragens Em Geral Ltda</v>
          </cell>
          <cell r="D2996" t="str">
            <v>O Ferramenteiro</v>
          </cell>
          <cell r="E2996" t="str">
            <v>BR_CNPJ</v>
          </cell>
          <cell r="F2996" t="str">
            <v>28.569.296/0001-85</v>
          </cell>
        </row>
        <row r="2997">
          <cell r="A2997">
            <v>33727</v>
          </cell>
          <cell r="B2997" t="str">
            <v>CORPORATION</v>
          </cell>
          <cell r="C2997" t="str">
            <v>Carlessi E Cia Ltda - Me</v>
          </cell>
          <cell r="D2997" t="str">
            <v>Carlessi E Cia Ltda - Me</v>
          </cell>
          <cell r="E2997" t="str">
            <v>BR_CNPJ</v>
          </cell>
          <cell r="F2997" t="str">
            <v>83.954.958/0001-49</v>
          </cell>
        </row>
        <row r="2998">
          <cell r="A2998">
            <v>33728</v>
          </cell>
          <cell r="B2998" t="str">
            <v>CORPORATION</v>
          </cell>
          <cell r="C2998" t="str">
            <v>Bp De Mello Ltda</v>
          </cell>
          <cell r="D2998" t="str">
            <v>Mello</v>
          </cell>
          <cell r="E2998" t="str">
            <v>BR_CNPJ</v>
          </cell>
          <cell r="F2998" t="str">
            <v>08.143.550/0001-71</v>
          </cell>
        </row>
        <row r="2999">
          <cell r="A2999">
            <v>33729</v>
          </cell>
          <cell r="B2999" t="str">
            <v>CORPORATION</v>
          </cell>
          <cell r="C2999" t="str">
            <v>Carlessi Engenharia Comercio E Construcoes Ltda</v>
          </cell>
          <cell r="D2999" t="str">
            <v>Construtora Carlessi</v>
          </cell>
          <cell r="E2999" t="str">
            <v>BR_CNPJ</v>
          </cell>
          <cell r="F2999" t="str">
            <v>79.682.852/0001-66</v>
          </cell>
        </row>
        <row r="3000">
          <cell r="A3000">
            <v>33731</v>
          </cell>
          <cell r="B3000" t="str">
            <v>CORPORATION</v>
          </cell>
          <cell r="C3000" t="str">
            <v>50.402.524 Raphael Oselieri De Almeida</v>
          </cell>
          <cell r="D3000" t="str">
            <v>J&amp;R Ferramentas</v>
          </cell>
          <cell r="E3000" t="str">
            <v>BR_CNPJ</v>
          </cell>
          <cell r="F3000" t="str">
            <v>50.402.524/0001-87</v>
          </cell>
        </row>
        <row r="3001">
          <cell r="A3001">
            <v>33732</v>
          </cell>
          <cell r="B3001" t="str">
            <v>CORPORATION</v>
          </cell>
          <cell r="C3001" t="str">
            <v>Casa Americana Ferragens Ltda - Me</v>
          </cell>
          <cell r="D3001" t="str">
            <v>Casa Americana</v>
          </cell>
          <cell r="E3001" t="str">
            <v>BR_CNPJ</v>
          </cell>
          <cell r="F3001" t="str">
            <v>83.648.980/0001-60</v>
          </cell>
        </row>
        <row r="3002">
          <cell r="A3002">
            <v>33735</v>
          </cell>
          <cell r="B3002" t="str">
            <v>CORPORATION</v>
          </cell>
          <cell r="C3002" t="str">
            <v>Carlos Eduardo Salem Senna - Me</v>
          </cell>
          <cell r="D3002" t="str">
            <v>Casa Das Pistolas</v>
          </cell>
          <cell r="E3002" t="str">
            <v>BR_CNPJ</v>
          </cell>
          <cell r="F3002" t="str">
            <v>02.111.846/0001-24</v>
          </cell>
        </row>
        <row r="3003">
          <cell r="A3003">
            <v>33738</v>
          </cell>
          <cell r="B3003" t="str">
            <v>CORPORATION</v>
          </cell>
          <cell r="C3003" t="str">
            <v>Faisca Comercio De Materiais Eletricos Ltda</v>
          </cell>
          <cell r="D3003" t="str">
            <v>Faisca Comercio De Materiais Eletricos Ltda</v>
          </cell>
          <cell r="E3003" t="str">
            <v>BR_CNPJ</v>
          </cell>
          <cell r="F3003" t="str">
            <v>00.911.603/0001-45</v>
          </cell>
        </row>
        <row r="3004">
          <cell r="A3004">
            <v>33741</v>
          </cell>
          <cell r="B3004" t="str">
            <v>CORPORATION</v>
          </cell>
          <cell r="C3004" t="str">
            <v>Casa Maneco Ferragens Ltda - Epp</v>
          </cell>
          <cell r="D3004" t="str">
            <v>Casa Maneco Ferragens Ltda - Epp</v>
          </cell>
          <cell r="E3004" t="str">
            <v>BR_CNPJ</v>
          </cell>
          <cell r="F3004" t="str">
            <v>02.153.055/0001-67</v>
          </cell>
        </row>
        <row r="3005">
          <cell r="A3005">
            <v>33744</v>
          </cell>
          <cell r="B3005" t="str">
            <v>CORPORATION</v>
          </cell>
          <cell r="C3005" t="str">
            <v>Eletro Ruecker Ltda - Me</v>
          </cell>
          <cell r="D3005" t="str">
            <v>Eletro Ruecker Ltda - Me</v>
          </cell>
          <cell r="E3005" t="str">
            <v>BR_CNPJ</v>
          </cell>
          <cell r="F3005" t="str">
            <v>03.224.693/0001-94</v>
          </cell>
        </row>
        <row r="3006">
          <cell r="A3006">
            <v>33747</v>
          </cell>
          <cell r="B3006" t="str">
            <v>CORPORATION</v>
          </cell>
          <cell r="C3006" t="str">
            <v>E.Habbermann-Limeira - Me</v>
          </cell>
          <cell r="D3006" t="str">
            <v>Eletrotecnica Habbermann</v>
          </cell>
          <cell r="E3006" t="str">
            <v>BR_CNPJ</v>
          </cell>
          <cell r="F3006" t="str">
            <v>65.909.574/0001-22</v>
          </cell>
        </row>
        <row r="3007">
          <cell r="A3007">
            <v>33750</v>
          </cell>
          <cell r="B3007" t="str">
            <v>CORPORATION</v>
          </cell>
          <cell r="C3007" t="str">
            <v>Ivanio Inocencio Da Silva - Me</v>
          </cell>
          <cell r="D3007" t="str">
            <v>Serralheria Ferro Forte</v>
          </cell>
          <cell r="E3007" t="str">
            <v>BR_CNPJ</v>
          </cell>
          <cell r="F3007" t="str">
            <v>09.338.763/0001-11</v>
          </cell>
        </row>
        <row r="3008">
          <cell r="A3008">
            <v>33760</v>
          </cell>
          <cell r="B3008" t="str">
            <v>CORPORATION</v>
          </cell>
          <cell r="C3008" t="str">
            <v>Cittron Metais E Servicos Ltda - Me</v>
          </cell>
          <cell r="D3008" t="str">
            <v>Cittron Metais E Servicos Ltda - Me</v>
          </cell>
          <cell r="E3008" t="str">
            <v>BR_CNPJ</v>
          </cell>
          <cell r="F3008" t="str">
            <v>79.418.802/0001-76</v>
          </cell>
        </row>
        <row r="3009">
          <cell r="A3009">
            <v>33763</v>
          </cell>
          <cell r="B3009" t="str">
            <v>CORPORATION</v>
          </cell>
          <cell r="C3009" t="str">
            <v>Cleimaq Comercio De Maquinas Ltda - Epp</v>
          </cell>
          <cell r="D3009" t="str">
            <v>Cleimaq Comercio De Maquinas Ltda - Epp</v>
          </cell>
          <cell r="E3009" t="str">
            <v>BR_CNPJ</v>
          </cell>
          <cell r="F3009" t="str">
            <v>82.973.918/0001-81</v>
          </cell>
        </row>
        <row r="3010">
          <cell r="A3010">
            <v>33766</v>
          </cell>
          <cell r="B3010" t="str">
            <v>CORPORATION</v>
          </cell>
          <cell r="C3010" t="str">
            <v>Cofermaco Comercio De Materiais Para Construcoes Ltda - Me</v>
          </cell>
          <cell r="D3010" t="str">
            <v>Cofermaco Comercio De Materiais Para Construcoes Ltda - Me</v>
          </cell>
          <cell r="E3010" t="str">
            <v>BR_CNPJ</v>
          </cell>
          <cell r="F3010" t="str">
            <v>83.621.235/0001-28</v>
          </cell>
        </row>
        <row r="3011">
          <cell r="A3011">
            <v>33771</v>
          </cell>
          <cell r="B3011" t="str">
            <v>CORPORATION</v>
          </cell>
          <cell r="C3011" t="str">
            <v>Comercio E Representacoes Itapar Ltda - Me</v>
          </cell>
          <cell r="D3011" t="str">
            <v>Itapar</v>
          </cell>
          <cell r="E3011" t="str">
            <v>BR_CNPJ</v>
          </cell>
          <cell r="F3011" t="str">
            <v>79.295.374/0001-31</v>
          </cell>
        </row>
        <row r="3012">
          <cell r="A3012">
            <v>33773</v>
          </cell>
          <cell r="B3012" t="str">
            <v>CORPORATION</v>
          </cell>
          <cell r="C3012" t="str">
            <v>Daniel Soares Rodrigues 70300472145</v>
          </cell>
          <cell r="D3012" t="str">
            <v>Capital</v>
          </cell>
          <cell r="E3012" t="str">
            <v>BR_CNPJ</v>
          </cell>
          <cell r="F3012" t="str">
            <v>43.560.238/0001-84</v>
          </cell>
          <cell r="G3012" t="str">
            <v>CAPITAL PROFISSIONAL</v>
          </cell>
        </row>
        <row r="3013">
          <cell r="A3013">
            <v>33774</v>
          </cell>
          <cell r="B3013" t="str">
            <v>CORPORATION</v>
          </cell>
          <cell r="C3013" t="str">
            <v>Comatol Comercio De Maquinas E Motosserras Ltda - Ep</v>
          </cell>
          <cell r="D3013" t="str">
            <v>Comatol Comercio De Maquinas E Motosserras Ltda - Epp</v>
          </cell>
          <cell r="E3013" t="str">
            <v>BR_CNPJ</v>
          </cell>
          <cell r="F3013" t="str">
            <v>82.905.142/0001-62</v>
          </cell>
          <cell r="G3013" t="str">
            <v>COMATOL</v>
          </cell>
        </row>
        <row r="3014">
          <cell r="A3014">
            <v>33775</v>
          </cell>
          <cell r="B3014" t="str">
            <v>CORPORATION</v>
          </cell>
          <cell r="C3014" t="str">
            <v>Chuva Irrigacao Agropecuaria Ltda</v>
          </cell>
          <cell r="D3014" t="str">
            <v>Chuva Irrigacao Agropecuaria Ltda</v>
          </cell>
          <cell r="E3014" t="str">
            <v>BR_CNPJ</v>
          </cell>
          <cell r="F3014" t="str">
            <v>08.777.167/0001-75</v>
          </cell>
        </row>
        <row r="3015">
          <cell r="A3015">
            <v>33777</v>
          </cell>
          <cell r="B3015" t="str">
            <v>CORPORATION</v>
          </cell>
          <cell r="C3015" t="str">
            <v>Comffer Comercio De Maquinas Ferramentas E Ferragens Ltda - Epp</v>
          </cell>
          <cell r="D3015" t="str">
            <v>Comffer Comercio De Maquinas Ferramentas E Ferragens Ltda - Epp</v>
          </cell>
          <cell r="E3015" t="str">
            <v>BR_CNPJ</v>
          </cell>
          <cell r="F3015" t="str">
            <v>78.843.034/0001-35</v>
          </cell>
        </row>
        <row r="3016">
          <cell r="A3016">
            <v>33779</v>
          </cell>
          <cell r="B3016" t="str">
            <v>CORPORATION</v>
          </cell>
          <cell r="C3016" t="str">
            <v>Andre Luiz Sttoppa - Me</v>
          </cell>
          <cell r="D3016" t="str">
            <v>Mecanfer - Comercial Hortencias</v>
          </cell>
          <cell r="E3016" t="str">
            <v>BR_CNPJ</v>
          </cell>
          <cell r="F3016" t="str">
            <v>18.200.495/0001-68</v>
          </cell>
        </row>
        <row r="3017">
          <cell r="A3017">
            <v>33780</v>
          </cell>
          <cell r="B3017" t="str">
            <v>CORPORATION</v>
          </cell>
          <cell r="C3017" t="str">
            <v>Amc Comercio De Ferragens Ltda</v>
          </cell>
          <cell r="D3017" t="str">
            <v>Amc Comercio De Ferragens</v>
          </cell>
          <cell r="E3017" t="str">
            <v>BR_CNPJ</v>
          </cell>
          <cell r="F3017" t="str">
            <v>16.754.915/0001-22</v>
          </cell>
        </row>
        <row r="3018">
          <cell r="A3018">
            <v>33781</v>
          </cell>
          <cell r="B3018" t="str">
            <v>CORPORATION</v>
          </cell>
          <cell r="C3018" t="str">
            <v>Comercial Visao Ferramentas Ltda</v>
          </cell>
          <cell r="D3018" t="str">
            <v>Comercial Visao</v>
          </cell>
          <cell r="E3018" t="str">
            <v>BR_CNPJ</v>
          </cell>
          <cell r="F3018" t="str">
            <v>59.455.329/0001-90</v>
          </cell>
        </row>
        <row r="3019">
          <cell r="A3019">
            <v>33782</v>
          </cell>
          <cell r="B3019" t="str">
            <v>CORPORATION</v>
          </cell>
          <cell r="C3019" t="str">
            <v>Fer Comercio Ltda</v>
          </cell>
          <cell r="D3019" t="str">
            <v>Loja Fer</v>
          </cell>
          <cell r="E3019" t="str">
            <v>BR_CNPJ</v>
          </cell>
          <cell r="F3019" t="str">
            <v>41.070.281/0001-36</v>
          </cell>
          <cell r="G3019" t="str">
            <v>LOJA FER</v>
          </cell>
        </row>
        <row r="3020">
          <cell r="A3020">
            <v>33784</v>
          </cell>
          <cell r="B3020" t="str">
            <v>CORPORATION</v>
          </cell>
          <cell r="C3020" t="str">
            <v>Comercial Eletro Reus Ltda - Me</v>
          </cell>
          <cell r="D3020" t="str">
            <v>Comercial Eletro Reus Ltda - Me</v>
          </cell>
          <cell r="E3020" t="str">
            <v>BR_CNPJ</v>
          </cell>
          <cell r="F3020" t="str">
            <v>80.969.116/0001-72</v>
          </cell>
        </row>
        <row r="3021">
          <cell r="A3021">
            <v>33785</v>
          </cell>
          <cell r="B3021" t="str">
            <v>CORPORATION</v>
          </cell>
          <cell r="C3021" t="str">
            <v>Rolfer Comercio De Rolamentos E Ferramentas Ltda</v>
          </cell>
          <cell r="D3021" t="str">
            <v>Rolfer</v>
          </cell>
          <cell r="E3021" t="str">
            <v>BR_CNPJ</v>
          </cell>
          <cell r="F3021" t="str">
            <v>15.303.293/0001-53</v>
          </cell>
          <cell r="G3021" t="str">
            <v>ROLPAR</v>
          </cell>
        </row>
        <row r="3022">
          <cell r="A3022">
            <v>33787</v>
          </cell>
          <cell r="B3022" t="str">
            <v>CORPORATION</v>
          </cell>
          <cell r="C3022" t="str">
            <v>Comsolda - Comercio De Soldas Ltda - Epp</v>
          </cell>
          <cell r="D3022" t="str">
            <v>Comsolda - Comercio De Soldas Ltda - Epp</v>
          </cell>
          <cell r="E3022" t="str">
            <v>BR_CNPJ</v>
          </cell>
          <cell r="F3022" t="str">
            <v>77.901.080/0001-80</v>
          </cell>
        </row>
        <row r="3023">
          <cell r="A3023">
            <v>33790</v>
          </cell>
          <cell r="B3023" t="str">
            <v>CORPORATION</v>
          </cell>
          <cell r="C3023" t="str">
            <v>F.Nigro Comercio De Parafusos Ltda - Me</v>
          </cell>
          <cell r="D3023" t="str">
            <v>F.Nigro</v>
          </cell>
          <cell r="E3023" t="str">
            <v>BR_CNPJ</v>
          </cell>
          <cell r="F3023" t="str">
            <v>52.553.500/0001-54</v>
          </cell>
        </row>
        <row r="3024">
          <cell r="A3024">
            <v>33791</v>
          </cell>
          <cell r="B3024" t="str">
            <v>CORPORATION</v>
          </cell>
          <cell r="C3024" t="str">
            <v>Marinho Comercio De Ferragens Ltda</v>
          </cell>
          <cell r="D3024" t="str">
            <v>A M Ferragens</v>
          </cell>
          <cell r="E3024" t="str">
            <v>BR_CNPJ</v>
          </cell>
          <cell r="F3024" t="str">
            <v>10.283.115/0001-94</v>
          </cell>
        </row>
        <row r="3025">
          <cell r="A3025">
            <v>33793</v>
          </cell>
          <cell r="B3025" t="str">
            <v>CORPORATION</v>
          </cell>
          <cell r="C3025" t="str">
            <v>G M Comercio E Assistencia Tecnica Em Maquinas Ltda - Me</v>
          </cell>
          <cell r="D3025" t="str">
            <v>G M Assistencia Tecnica</v>
          </cell>
          <cell r="E3025" t="str">
            <v>BR_CNPJ</v>
          </cell>
          <cell r="F3025" t="str">
            <v>01.909.775/0001-47</v>
          </cell>
        </row>
        <row r="3026">
          <cell r="A3026">
            <v>33796</v>
          </cell>
          <cell r="B3026" t="str">
            <v>CORPORATION</v>
          </cell>
          <cell r="C3026" t="str">
            <v>Ducorte Ferramentas Limitada</v>
          </cell>
          <cell r="D3026" t="str">
            <v>Ducorte</v>
          </cell>
          <cell r="E3026" t="str">
            <v>BR_CNPJ</v>
          </cell>
          <cell r="F3026" t="str">
            <v>46.555.033/0001-07</v>
          </cell>
        </row>
        <row r="3027">
          <cell r="A3027">
            <v>33799</v>
          </cell>
          <cell r="B3027" t="str">
            <v>CORPORATION</v>
          </cell>
          <cell r="C3027" t="str">
            <v>Comercio De Ferramentas Hercules Ltda</v>
          </cell>
          <cell r="D3027" t="str">
            <v>Comercio De Ferramentas Hercules</v>
          </cell>
          <cell r="E3027" t="str">
            <v>BR_CNPJ</v>
          </cell>
          <cell r="F3027" t="str">
            <v>01.054.257/0001-99</v>
          </cell>
        </row>
        <row r="3028">
          <cell r="A3028">
            <v>33802</v>
          </cell>
          <cell r="B3028" t="str">
            <v>CORPORATION</v>
          </cell>
          <cell r="C3028" t="str">
            <v>Comercio De Maquinas E Ferramentas Do Vale Ltda</v>
          </cell>
          <cell r="D3028" t="str">
            <v>Corebral Maquinas E Ferramentas</v>
          </cell>
          <cell r="E3028" t="str">
            <v>BR_CNPJ</v>
          </cell>
          <cell r="F3028" t="str">
            <v>83.542.381/0001-68</v>
          </cell>
        </row>
        <row r="3029">
          <cell r="A3029">
            <v>33805</v>
          </cell>
          <cell r="B3029" t="str">
            <v>CORPORATION</v>
          </cell>
          <cell r="C3029" t="str">
            <v>Darlan De Freitas Silva - Me</v>
          </cell>
          <cell r="D3029" t="str">
            <v>Metagurgica Tijucas</v>
          </cell>
          <cell r="E3029" t="str">
            <v>BR_CNPJ</v>
          </cell>
          <cell r="F3029" t="str">
            <v>76.599.091/0001-95</v>
          </cell>
        </row>
        <row r="3030">
          <cell r="A3030">
            <v>33808</v>
          </cell>
          <cell r="B3030" t="str">
            <v>CORPORATION</v>
          </cell>
          <cell r="C3030" t="str">
            <v>Disafer Distribuidora De Ferragens E Tintas Ltda</v>
          </cell>
          <cell r="D3030" t="str">
            <v>Disafer Distribuidora De Ferragens E Tintas Ltda</v>
          </cell>
          <cell r="E3030" t="str">
            <v>BR_CNPJ</v>
          </cell>
          <cell r="F3030" t="str">
            <v>81.355.620/0001-45</v>
          </cell>
        </row>
        <row r="3031">
          <cell r="A3031">
            <v>33811</v>
          </cell>
          <cell r="B3031" t="str">
            <v>CORPORATION</v>
          </cell>
          <cell r="C3031" t="str">
            <v>Manequinho Distribuidora De Produtos E Equipamentos Ltda - Epp</v>
          </cell>
          <cell r="D3031" t="str">
            <v>Lojas Manequinho</v>
          </cell>
          <cell r="E3031" t="str">
            <v>BR_CNPJ</v>
          </cell>
          <cell r="F3031" t="str">
            <v>07.059.831/0001-88</v>
          </cell>
        </row>
        <row r="3032">
          <cell r="A3032">
            <v>33814</v>
          </cell>
          <cell r="B3032" t="str">
            <v>CORPORATION</v>
          </cell>
          <cell r="C3032" t="str">
            <v>Eletro Ferragem Bigolin Ltda - Epp</v>
          </cell>
          <cell r="D3032" t="str">
            <v>Eletro Ferragem Bigolin Ltda - Epp</v>
          </cell>
          <cell r="E3032" t="str">
            <v>BR_CNPJ</v>
          </cell>
          <cell r="F3032" t="str">
            <v>83.407.403/0001-87</v>
          </cell>
        </row>
        <row r="3033">
          <cell r="A3033">
            <v>33816</v>
          </cell>
          <cell r="B3033" t="str">
            <v>CORPORATION</v>
          </cell>
          <cell r="C3033" t="str">
            <v>Eletro Mafra Comercio E Assistencia Tecnica De Motores Ltda - Epp</v>
          </cell>
          <cell r="D3033" t="str">
            <v>Eletro Mafra</v>
          </cell>
          <cell r="E3033" t="str">
            <v>BR_CNPJ</v>
          </cell>
          <cell r="F3033" t="str">
            <v>80.716.426/0001-85</v>
          </cell>
        </row>
        <row r="3034">
          <cell r="A3034">
            <v>33818</v>
          </cell>
          <cell r="B3034" t="str">
            <v>CORPORATION</v>
          </cell>
          <cell r="C3034" t="str">
            <v>Vitor Dias Andrade</v>
          </cell>
          <cell r="D3034" t="str">
            <v>Torneadora Rotiv</v>
          </cell>
          <cell r="E3034" t="str">
            <v>BR_CNPJ</v>
          </cell>
          <cell r="F3034" t="str">
            <v>22.660.490/0001-95</v>
          </cell>
        </row>
        <row r="3035">
          <cell r="A3035">
            <v>33819</v>
          </cell>
          <cell r="B3035" t="str">
            <v>CORPORATION</v>
          </cell>
          <cell r="C3035" t="str">
            <v>Eletro Mecanica Foscolos Ltda - Epp</v>
          </cell>
          <cell r="D3035" t="str">
            <v>Emf Manutencao E Comercio</v>
          </cell>
          <cell r="E3035" t="str">
            <v>BR_CNPJ</v>
          </cell>
          <cell r="F3035" t="str">
            <v>00.058.728/0001-74</v>
          </cell>
        </row>
        <row r="3036">
          <cell r="A3036">
            <v>33823</v>
          </cell>
          <cell r="B3036" t="str">
            <v>CORPORATION</v>
          </cell>
          <cell r="C3036" t="str">
            <v>Eletro Tecnica Laparo Comercio De Pecas E Reparo De Equipamentos Eletricos Ltda - Me</v>
          </cell>
          <cell r="D3036" t="str">
            <v>Eletro Tecnica Laparo Comercio De Pecas E Reparo De Equipamentos Eletricos Ltda - Me</v>
          </cell>
          <cell r="E3036" t="str">
            <v>BR_CNPJ</v>
          </cell>
          <cell r="F3036" t="str">
            <v>82.691.825/0001-64</v>
          </cell>
        </row>
        <row r="3037">
          <cell r="A3037">
            <v>33824</v>
          </cell>
          <cell r="B3037" t="str">
            <v>CORPORATION</v>
          </cell>
          <cell r="C3037" t="str">
            <v>Brandao Material De Construcao Eireli</v>
          </cell>
          <cell r="D3037" t="str">
            <v>Brandao Construcoes</v>
          </cell>
          <cell r="E3037" t="str">
            <v>BR_CNPJ</v>
          </cell>
          <cell r="F3037" t="str">
            <v>32.967.642/0001-50</v>
          </cell>
        </row>
        <row r="3038">
          <cell r="A3038">
            <v>33828</v>
          </cell>
          <cell r="B3038" t="str">
            <v>CORPORATION</v>
          </cell>
          <cell r="C3038" t="str">
            <v>Elo-Manutencao E Comercio De Maquinas E Ferramentas Ltda - Epp</v>
          </cell>
          <cell r="D3038" t="str">
            <v>Elo-Manutencao E Comercio De Maquinas E Ferramentas Ltda - Epp</v>
          </cell>
          <cell r="E3038" t="str">
            <v>BR_CNPJ</v>
          </cell>
          <cell r="F3038" t="str">
            <v>03.617.470/0001-97</v>
          </cell>
        </row>
        <row r="3039">
          <cell r="A3039">
            <v>33829</v>
          </cell>
          <cell r="B3039" t="str">
            <v>CORPORATION</v>
          </cell>
          <cell r="C3039" t="str">
            <v>Vmd - Maquinas E Ferramentas Ltda</v>
          </cell>
          <cell r="D3039" t="str">
            <v>Casa Do Soldador</v>
          </cell>
          <cell r="E3039" t="str">
            <v>BR_CNPJ</v>
          </cell>
          <cell r="F3039" t="str">
            <v>72.295.793/0003-96</v>
          </cell>
          <cell r="G3039" t="str">
            <v>CASA DO SOLDADOR</v>
          </cell>
        </row>
        <row r="3040">
          <cell r="A3040">
            <v>33831</v>
          </cell>
          <cell r="B3040" t="str">
            <v>CORPORATION</v>
          </cell>
          <cell r="C3040" t="str">
            <v>Empresa Industrial E Comercial Fuck S A</v>
          </cell>
          <cell r="D3040" t="str">
            <v>Empresa Industrial E Comercial Fuck S A</v>
          </cell>
          <cell r="E3040" t="str">
            <v>BR_CNPJ</v>
          </cell>
          <cell r="F3040" t="str">
            <v>83.188.219/0001-93</v>
          </cell>
        </row>
        <row r="3041">
          <cell r="A3041">
            <v>33832</v>
          </cell>
          <cell r="B3041" t="str">
            <v>CORPORATION</v>
          </cell>
          <cell r="C3041" t="str">
            <v>Mundo Das Ferramentas Ltda</v>
          </cell>
          <cell r="D3041" t="str">
            <v>Mundo Das Ferramentas</v>
          </cell>
          <cell r="E3041" t="str">
            <v>BR_CNPJ</v>
          </cell>
          <cell r="F3041" t="str">
            <v>42.434.751/0001-66</v>
          </cell>
          <cell r="G3041" t="str">
            <v>VICENTE FERNANDES</v>
          </cell>
        </row>
        <row r="3042">
          <cell r="A3042">
            <v>33834</v>
          </cell>
          <cell r="B3042" t="str">
            <v>CORPORATION</v>
          </cell>
          <cell r="C3042" t="str">
            <v>Enerjet Comercio E Montagem Ltda - Epp</v>
          </cell>
          <cell r="D3042" t="str">
            <v>Enerjet Comercio E Montagem Ltda - Epp</v>
          </cell>
          <cell r="E3042" t="str">
            <v>BR_CNPJ</v>
          </cell>
          <cell r="F3042" t="str">
            <v>00.347.094/0001-70</v>
          </cell>
        </row>
        <row r="3043">
          <cell r="A3043">
            <v>33836</v>
          </cell>
          <cell r="B3043" t="str">
            <v>CORPORATION</v>
          </cell>
          <cell r="C3043" t="str">
            <v>Equimafer Maquinas E Ferramentas Ltda - Epp</v>
          </cell>
          <cell r="D3043" t="str">
            <v>Equimafer Maquinas E Ferramentas Ltda - Epp</v>
          </cell>
          <cell r="E3043" t="str">
            <v>BR_CNPJ</v>
          </cell>
          <cell r="F3043" t="str">
            <v>00.850.622/0001-09</v>
          </cell>
        </row>
        <row r="3044">
          <cell r="A3044">
            <v>33838</v>
          </cell>
          <cell r="B3044" t="str">
            <v>CORPORATION</v>
          </cell>
          <cell r="C3044" t="str">
            <v>Ferplac Comercio De Maquinas E Ferramentas Ltda - Me</v>
          </cell>
          <cell r="D3044" t="str">
            <v>Ferplac Comercio De Maquinas E Ferramentas Ltda - Me</v>
          </cell>
          <cell r="E3044" t="str">
            <v>BR_CNPJ</v>
          </cell>
          <cell r="F3044" t="str">
            <v>04.672.619/0001-01</v>
          </cell>
        </row>
        <row r="3045">
          <cell r="A3045">
            <v>33840</v>
          </cell>
          <cell r="B3045" t="str">
            <v>CORPORATION</v>
          </cell>
          <cell r="C3045" t="str">
            <v>Loja Fer Comercio De Ferramentas Eireli</v>
          </cell>
          <cell r="D3045" t="str">
            <v>Loja Fer</v>
          </cell>
          <cell r="E3045" t="str">
            <v>BR_CNPJ</v>
          </cell>
          <cell r="F3045" t="str">
            <v>24.970.943/0001-05</v>
          </cell>
          <cell r="G3045" t="str">
            <v>LOJA FER</v>
          </cell>
        </row>
        <row r="3046">
          <cell r="A3046">
            <v>33841</v>
          </cell>
          <cell r="B3046" t="str">
            <v>CORPORATION</v>
          </cell>
          <cell r="C3046" t="str">
            <v>Ferragens Barao Ltda - Me</v>
          </cell>
          <cell r="D3046" t="str">
            <v>Ferragens Barao Ltda - Me</v>
          </cell>
          <cell r="E3046" t="str">
            <v>BR_CNPJ</v>
          </cell>
          <cell r="F3046" t="str">
            <v>95.865.887/0001-97</v>
          </cell>
        </row>
        <row r="3047">
          <cell r="A3047">
            <v>33842</v>
          </cell>
          <cell r="B3047" t="str">
            <v>CORPORATION</v>
          </cell>
          <cell r="C3047" t="str">
            <v>Siao Agromaquinas Ltda</v>
          </cell>
          <cell r="D3047" t="str">
            <v>Siao Agromaquinas</v>
          </cell>
          <cell r="E3047" t="str">
            <v>BR_CNPJ</v>
          </cell>
          <cell r="F3047" t="str">
            <v>43.353.619/0001-92</v>
          </cell>
        </row>
        <row r="3048">
          <cell r="A3048">
            <v>33843</v>
          </cell>
          <cell r="B3048" t="str">
            <v>CORPORATION</v>
          </cell>
          <cell r="C3048" t="str">
            <v>Loja Fer Comercio De Ferramentas Eireli</v>
          </cell>
          <cell r="D3048" t="str">
            <v>Loja Fer</v>
          </cell>
          <cell r="E3048" t="str">
            <v>BR_CNPJ</v>
          </cell>
          <cell r="F3048" t="str">
            <v>24.970.943/0002-96</v>
          </cell>
          <cell r="G3048" t="str">
            <v>LOJA FER</v>
          </cell>
        </row>
        <row r="3049">
          <cell r="A3049">
            <v>33844</v>
          </cell>
          <cell r="B3049" t="str">
            <v>CORPORATION</v>
          </cell>
          <cell r="C3049" t="str">
            <v>Ferragens E Parafuos Dill Ltda - Me</v>
          </cell>
          <cell r="D3049" t="str">
            <v>Ferragens E Parafuos Dill Ltda - Me</v>
          </cell>
          <cell r="E3049" t="str">
            <v>BR_CNPJ</v>
          </cell>
          <cell r="F3049" t="str">
            <v>00.057.272/0001-28</v>
          </cell>
        </row>
        <row r="3050">
          <cell r="A3050">
            <v>33847</v>
          </cell>
          <cell r="B3050" t="str">
            <v>CORPORATION</v>
          </cell>
          <cell r="C3050" t="str">
            <v>Ferragens Favero Ltda - Me</v>
          </cell>
          <cell r="D3050" t="str">
            <v>Ferragens Favero Ltda - Me</v>
          </cell>
          <cell r="E3050" t="str">
            <v>BR_CNPJ</v>
          </cell>
          <cell r="F3050" t="str">
            <v>86.550.704/0001-53</v>
          </cell>
        </row>
        <row r="3051">
          <cell r="A3051">
            <v>33849</v>
          </cell>
          <cell r="B3051" t="str">
            <v>CORPORATION</v>
          </cell>
          <cell r="C3051" t="str">
            <v>Idelfonso Soares Dos Reis</v>
          </cell>
          <cell r="D3051" t="str">
            <v>D I Distribuidora</v>
          </cell>
          <cell r="E3051" t="str">
            <v>BR_CNPJ</v>
          </cell>
          <cell r="F3051" t="str">
            <v>12.783.183/0001-48</v>
          </cell>
        </row>
        <row r="3052">
          <cell r="A3052">
            <v>33850</v>
          </cell>
          <cell r="B3052" t="str">
            <v>CORPORATION</v>
          </cell>
          <cell r="C3052" t="str">
            <v>Heinz Werner Foerster &amp; Cia Ltda - Epp</v>
          </cell>
          <cell r="D3052" t="str">
            <v>Heinz Werner Foerster &amp; Cia Ltda - Epp</v>
          </cell>
          <cell r="E3052" t="str">
            <v>BR_CNPJ</v>
          </cell>
          <cell r="F3052" t="str">
            <v>83.554.329/0001-21</v>
          </cell>
        </row>
        <row r="3053">
          <cell r="A3053">
            <v>33853</v>
          </cell>
          <cell r="B3053" t="str">
            <v>CORPORATION</v>
          </cell>
          <cell r="C3053" t="str">
            <v>Hidraulicos Fenili Comercio De Equipamentos Ltda - Me</v>
          </cell>
          <cell r="D3053" t="str">
            <v>Hidraulicos Fenili</v>
          </cell>
          <cell r="E3053" t="str">
            <v>BR_CNPJ</v>
          </cell>
          <cell r="F3053" t="str">
            <v>00.094.012/0001-22</v>
          </cell>
        </row>
        <row r="3054">
          <cell r="A3054">
            <v>33855</v>
          </cell>
          <cell r="B3054" t="str">
            <v>CORPORATION</v>
          </cell>
          <cell r="C3054" t="str">
            <v>Hidro-Pneumatica Distribuidora E Assistencia Ltda - Me</v>
          </cell>
          <cell r="D3054" t="str">
            <v>Litoral Sul Representacoes</v>
          </cell>
          <cell r="E3054" t="str">
            <v>BR_CNPJ</v>
          </cell>
          <cell r="F3054" t="str">
            <v>95.793.303/0001-15</v>
          </cell>
        </row>
        <row r="3055">
          <cell r="A3055">
            <v>33858</v>
          </cell>
          <cell r="B3055" t="str">
            <v>CORPORATION</v>
          </cell>
          <cell r="C3055" t="str">
            <v>Irmaos Bartneck Sa</v>
          </cell>
          <cell r="D3055" t="str">
            <v>Irmaos Bartneck Sa</v>
          </cell>
          <cell r="E3055" t="str">
            <v>BR_CNPJ</v>
          </cell>
          <cell r="F3055" t="str">
            <v>85.129.484/0006-30</v>
          </cell>
        </row>
        <row r="3056">
          <cell r="A3056">
            <v>33862</v>
          </cell>
          <cell r="B3056" t="str">
            <v>CORPORATION</v>
          </cell>
          <cell r="C3056" t="str">
            <v>Nunes Distribuidora Eireli</v>
          </cell>
          <cell r="D3056" t="str">
            <v>Nunes Distribuidora</v>
          </cell>
          <cell r="E3056" t="str">
            <v>BR_CNPJ</v>
          </cell>
          <cell r="F3056" t="str">
            <v>29.893.523/0001-96</v>
          </cell>
        </row>
        <row r="3057">
          <cell r="A3057">
            <v>33864</v>
          </cell>
          <cell r="B3057" t="str">
            <v>CORPORATION</v>
          </cell>
          <cell r="C3057" t="str">
            <v>Niero Comercio E Industria Eireli - Epp</v>
          </cell>
          <cell r="D3057" t="str">
            <v>Dodo Distribuidora</v>
          </cell>
          <cell r="E3057" t="str">
            <v>BR_CNPJ</v>
          </cell>
          <cell r="F3057" t="str">
            <v>81.560.609/0001-17</v>
          </cell>
        </row>
        <row r="3058">
          <cell r="A3058">
            <v>33866</v>
          </cell>
          <cell r="B3058" t="str">
            <v>CORPORATION</v>
          </cell>
          <cell r="C3058" t="str">
            <v>Dafel Comercial De Ferro E Aluminio Ltda</v>
          </cell>
          <cell r="D3058" t="str">
            <v>Dafel Comercial De Ferro E Aluminio Ltda</v>
          </cell>
          <cell r="E3058" t="str">
            <v>BR_CNPJ</v>
          </cell>
          <cell r="F3058" t="str">
            <v>08.518.829/0002-73</v>
          </cell>
          <cell r="G3058" t="str">
            <v>DAFEL</v>
          </cell>
        </row>
        <row r="3059">
          <cell r="A3059">
            <v>33867</v>
          </cell>
          <cell r="B3059" t="str">
            <v>CORPORATION</v>
          </cell>
          <cell r="C3059" t="str">
            <v>Jotai Comercio De Materiais De Construcao Pela Internet Ltda - Me</v>
          </cell>
          <cell r="D3059" t="str">
            <v>Jotai</v>
          </cell>
          <cell r="E3059" t="str">
            <v>BR_CNPJ</v>
          </cell>
          <cell r="F3059" t="str">
            <v>08.892.328/0001-71</v>
          </cell>
        </row>
        <row r="3060">
          <cell r="A3060">
            <v>33869</v>
          </cell>
          <cell r="B3060" t="str">
            <v>CORPORATION</v>
          </cell>
          <cell r="C3060" t="str">
            <v>Kafer Comercio Ltda</v>
          </cell>
          <cell r="D3060" t="str">
            <v>Kafer Comercio Ltda</v>
          </cell>
          <cell r="E3060" t="str">
            <v>BR_CNPJ</v>
          </cell>
          <cell r="F3060" t="str">
            <v>82.923.244/0001-00</v>
          </cell>
        </row>
        <row r="3061">
          <cell r="A3061">
            <v>33870</v>
          </cell>
          <cell r="B3061" t="str">
            <v>CORPORATION</v>
          </cell>
          <cell r="C3061" t="str">
            <v>Dx Unamar Comercio De Metais E Acessorios Ltda</v>
          </cell>
          <cell r="D3061" t="str">
            <v>Dx Unamar</v>
          </cell>
          <cell r="E3061" t="str">
            <v>BR_CNPJ</v>
          </cell>
          <cell r="F3061" t="str">
            <v>25.462.224/0001-46</v>
          </cell>
          <cell r="G3061" t="str">
            <v>DAFEL</v>
          </cell>
        </row>
        <row r="3062">
          <cell r="A3062">
            <v>33872</v>
          </cell>
          <cell r="B3062" t="str">
            <v>CORPORATION</v>
          </cell>
          <cell r="C3062" t="str">
            <v>Lenzi Instaladora De Gas Ltda - Me</v>
          </cell>
          <cell r="D3062" t="str">
            <v>Lenzi Instaladora De Gas Ltda - Me</v>
          </cell>
          <cell r="E3062" t="str">
            <v>BR_CNPJ</v>
          </cell>
          <cell r="F3062" t="str">
            <v>07.440.689/0001-14</v>
          </cell>
        </row>
        <row r="3063">
          <cell r="A3063">
            <v>33875</v>
          </cell>
          <cell r="B3063" t="str">
            <v>CORPORATION</v>
          </cell>
          <cell r="C3063" t="str">
            <v>Lojao Santos Ltda - Epp</v>
          </cell>
          <cell r="D3063" t="str">
            <v>Lojao Santos Ltda - Epp</v>
          </cell>
          <cell r="E3063" t="str">
            <v>BR_CNPJ</v>
          </cell>
          <cell r="F3063" t="str">
            <v>02.993.349/0001-05</v>
          </cell>
        </row>
        <row r="3064">
          <cell r="A3064">
            <v>33878</v>
          </cell>
          <cell r="B3064" t="str">
            <v>CORPORATION</v>
          </cell>
          <cell r="C3064" t="str">
            <v>Maferville Ferramentas De Corte E Precisao Ltda - Me</v>
          </cell>
          <cell r="D3064" t="str">
            <v>Maferville Ferramentas De Corte E Precisao Ltda - Me</v>
          </cell>
          <cell r="E3064" t="str">
            <v>BR_CNPJ</v>
          </cell>
          <cell r="F3064" t="str">
            <v>00.434.940/0001-99</v>
          </cell>
        </row>
        <row r="3065">
          <cell r="A3065">
            <v>33881</v>
          </cell>
          <cell r="B3065" t="str">
            <v>CORPORATION</v>
          </cell>
          <cell r="C3065" t="str">
            <v>Mario Mattei - Epp</v>
          </cell>
          <cell r="D3065" t="str">
            <v>Mattei Comercio E Representacoes</v>
          </cell>
          <cell r="E3065" t="str">
            <v>BR_CNPJ</v>
          </cell>
          <cell r="F3065" t="str">
            <v>80.701.261/0001-78</v>
          </cell>
        </row>
        <row r="3066">
          <cell r="A3066">
            <v>33884</v>
          </cell>
          <cell r="B3066" t="str">
            <v>CORPORATION</v>
          </cell>
          <cell r="C3066" t="str">
            <v>Mavampar Eireli - Epp</v>
          </cell>
          <cell r="D3066" t="str">
            <v>Mavampar Eireli - Epp</v>
          </cell>
          <cell r="E3066" t="str">
            <v>BR_CNPJ</v>
          </cell>
          <cell r="F3066" t="str">
            <v>05.088.294/0001-79</v>
          </cell>
        </row>
        <row r="3067">
          <cell r="A3067">
            <v>33887</v>
          </cell>
          <cell r="B3067" t="str">
            <v>CORPORATION</v>
          </cell>
          <cell r="C3067" t="str">
            <v>Mecanica Independencia Ltda - Me</v>
          </cell>
          <cell r="D3067" t="str">
            <v>Mecanica Independencia Ltda - Me</v>
          </cell>
          <cell r="E3067" t="str">
            <v>BR_CNPJ</v>
          </cell>
          <cell r="F3067" t="str">
            <v>83.058.784/0001-36</v>
          </cell>
        </row>
        <row r="3068">
          <cell r="A3068">
            <v>33890</v>
          </cell>
          <cell r="B3068" t="str">
            <v>CORPORATION</v>
          </cell>
          <cell r="C3068" t="str">
            <v>Metalfaust Metalurgica Ltda - Me</v>
          </cell>
          <cell r="D3068" t="str">
            <v>Metalfaust</v>
          </cell>
          <cell r="E3068" t="str">
            <v>BR_CNPJ</v>
          </cell>
          <cell r="F3068" t="str">
            <v>06.011.185/0001-16</v>
          </cell>
        </row>
        <row r="3069">
          <cell r="A3069">
            <v>33892</v>
          </cell>
          <cell r="B3069" t="str">
            <v>CORPORATION</v>
          </cell>
          <cell r="C3069" t="str">
            <v>Motorel Eletro Oficina Ltda - Me</v>
          </cell>
          <cell r="D3069" t="str">
            <v>Motorel Eletro Oficina Ltda - Me</v>
          </cell>
          <cell r="E3069" t="str">
            <v>BR_CNPJ</v>
          </cell>
          <cell r="F3069" t="str">
            <v>79.653.275/0001-84</v>
          </cell>
        </row>
        <row r="3070">
          <cell r="A3070">
            <v>33893</v>
          </cell>
          <cell r="B3070" t="str">
            <v>CORPORATION</v>
          </cell>
          <cell r="C3070" t="str">
            <v>Matele - Materiais Eletricos Parafusos E Ferramentas Ltda</v>
          </cell>
          <cell r="D3070" t="str">
            <v>Matele - Materiais Eletricos Parafusos E Ferramentas Ltda</v>
          </cell>
          <cell r="E3070" t="str">
            <v>BR_CNPJ</v>
          </cell>
          <cell r="F3070" t="str">
            <v>43.981.124/0001-08</v>
          </cell>
        </row>
        <row r="3071">
          <cell r="A3071">
            <v>33895</v>
          </cell>
          <cell r="B3071" t="str">
            <v>CORPORATION</v>
          </cell>
          <cell r="C3071" t="str">
            <v>Nelson Ferreira Dos Santos - Epp</v>
          </cell>
          <cell r="D3071" t="str">
            <v>Neufer Industria E Montagem De Maquinas Industriais</v>
          </cell>
          <cell r="E3071" t="str">
            <v>BR_CNPJ</v>
          </cell>
          <cell r="F3071" t="str">
            <v>72.349.939/0001-77</v>
          </cell>
        </row>
        <row r="3072">
          <cell r="A3072">
            <v>33906</v>
          </cell>
          <cell r="B3072" t="str">
            <v>CORPORATION</v>
          </cell>
          <cell r="C3072" t="str">
            <v>R S Maquinas E Parafusos Ltda</v>
          </cell>
          <cell r="D3072" t="str">
            <v>R S Maquinas E Parafusos</v>
          </cell>
          <cell r="E3072" t="str">
            <v>BR_CNPJ</v>
          </cell>
          <cell r="F3072" t="str">
            <v>47.233.280/0001-41</v>
          </cell>
        </row>
        <row r="3073">
          <cell r="A3073">
            <v>33907</v>
          </cell>
          <cell r="B3073" t="str">
            <v>CORPORATION</v>
          </cell>
          <cell r="C3073" t="str">
            <v>Oxigenio Joinville Transportes Ltda - Epp</v>
          </cell>
          <cell r="D3073" t="str">
            <v>Oxigenio Joinville Transportes Ltda - Epp</v>
          </cell>
          <cell r="E3073" t="str">
            <v>BR_CNPJ</v>
          </cell>
          <cell r="F3073" t="str">
            <v>01.831.697/0001-05</v>
          </cell>
        </row>
        <row r="3074">
          <cell r="A3074">
            <v>33908</v>
          </cell>
          <cell r="B3074" t="str">
            <v>CORPORATION</v>
          </cell>
          <cell r="C3074" t="str">
            <v>Galmar Industria E Comercio De Ferramentas E Equipamentos Ltda</v>
          </cell>
          <cell r="D3074" t="str">
            <v>Galmar Industria E Comercio De Ferramentas E Equipamentos Ltda</v>
          </cell>
          <cell r="E3074" t="str">
            <v>BR_CNPJ</v>
          </cell>
          <cell r="F3074" t="str">
            <v>56.264.351/0001-64</v>
          </cell>
        </row>
        <row r="3075">
          <cell r="A3075">
            <v>33909</v>
          </cell>
          <cell r="B3075" t="str">
            <v>CORPORATION</v>
          </cell>
          <cell r="C3075" t="str">
            <v>Ocl Comercio E Importacao Ltda</v>
          </cell>
          <cell r="D3075" t="str">
            <v>Orion Maquinas E Ferramentas</v>
          </cell>
          <cell r="E3075" t="str">
            <v>BR_CNPJ</v>
          </cell>
          <cell r="F3075" t="str">
            <v>83.892.182/0001-80</v>
          </cell>
        </row>
        <row r="3076">
          <cell r="A3076">
            <v>33912</v>
          </cell>
          <cell r="B3076" t="str">
            <v>CORPORATION</v>
          </cell>
          <cell r="C3076" t="str">
            <v>Oxicril Comercio E Servicos Ltda - Me</v>
          </cell>
          <cell r="D3076" t="str">
            <v>Oxicril Comercio E Servicos Ltda - Me</v>
          </cell>
          <cell r="E3076" t="str">
            <v>BR_CNPJ</v>
          </cell>
          <cell r="F3076" t="str">
            <v>79.884.409/0001-78</v>
          </cell>
        </row>
        <row r="3077">
          <cell r="A3077">
            <v>33915</v>
          </cell>
          <cell r="B3077" t="str">
            <v>CORPORATION</v>
          </cell>
          <cell r="C3077" t="str">
            <v>Parafusos Coral Ltda</v>
          </cell>
          <cell r="D3077" t="str">
            <v>Parafusos Coral Ltda</v>
          </cell>
          <cell r="E3077" t="str">
            <v>BR_CNPJ</v>
          </cell>
          <cell r="F3077" t="str">
            <v>84.958.008/0001-55</v>
          </cell>
        </row>
        <row r="3078">
          <cell r="A3078">
            <v>33917</v>
          </cell>
          <cell r="B3078" t="str">
            <v>CORPORATION</v>
          </cell>
          <cell r="C3078" t="str">
            <v>Fornesoldas Comercio De Materiais E Equipamentos Para Solda Eireli</v>
          </cell>
          <cell r="D3078" t="str">
            <v>Fornesoldas Com De Materiais E Equipamentos Para Soldas</v>
          </cell>
          <cell r="E3078" t="str">
            <v>BR_CNPJ</v>
          </cell>
          <cell r="F3078" t="str">
            <v>30.302.284/0001-31</v>
          </cell>
        </row>
        <row r="3079">
          <cell r="A3079">
            <v>33918</v>
          </cell>
          <cell r="B3079" t="str">
            <v>CORPORATION</v>
          </cell>
          <cell r="C3079" t="str">
            <v>Rozza &amp; Cia Ltda - Epp</v>
          </cell>
          <cell r="D3079" t="str">
            <v>Rozza &amp; Cia Ltda - Epp</v>
          </cell>
          <cell r="E3079" t="str">
            <v>BR_CNPJ</v>
          </cell>
          <cell r="F3079" t="str">
            <v>85.937.076/0001-09</v>
          </cell>
        </row>
        <row r="3080">
          <cell r="A3080">
            <v>33921</v>
          </cell>
          <cell r="B3080" t="str">
            <v>CORPORATION</v>
          </cell>
          <cell r="C3080" t="str">
            <v>Samaq Ferragens Ltda - Me</v>
          </cell>
          <cell r="D3080" t="str">
            <v>Samaq Ferragens Ltda - Me</v>
          </cell>
          <cell r="E3080" t="str">
            <v>BR_CNPJ</v>
          </cell>
          <cell r="F3080" t="str">
            <v>73.908.857/0001-88</v>
          </cell>
        </row>
        <row r="3081">
          <cell r="A3081">
            <v>33924</v>
          </cell>
          <cell r="B3081" t="str">
            <v>CORPORATION</v>
          </cell>
          <cell r="C3081" t="str">
            <v>Semafe Comercio De Metais Ltda - Me</v>
          </cell>
          <cell r="D3081" t="str">
            <v>Semafe Comercio De Metais Ltda - Me</v>
          </cell>
          <cell r="E3081" t="str">
            <v>BR_CNPJ</v>
          </cell>
          <cell r="F3081" t="str">
            <v>75.525.113/0001-00</v>
          </cell>
        </row>
        <row r="3082">
          <cell r="A3082">
            <v>33926</v>
          </cell>
          <cell r="B3082" t="str">
            <v>CORPORATION</v>
          </cell>
          <cell r="C3082" t="str">
            <v>Serrana Comercio De Implementos Agricolas Ltda - Epp</v>
          </cell>
          <cell r="D3082" t="str">
            <v>Serrana Comercio De Implementos Agricolas Ltda - Epp</v>
          </cell>
          <cell r="E3082" t="str">
            <v>BR_CNPJ</v>
          </cell>
          <cell r="F3082" t="str">
            <v>83.532.390/0001-78</v>
          </cell>
        </row>
        <row r="3083">
          <cell r="A3083">
            <v>33927</v>
          </cell>
          <cell r="B3083" t="str">
            <v>CORPORATION</v>
          </cell>
          <cell r="C3083" t="str">
            <v>Fabricio Miguel Diniz</v>
          </cell>
          <cell r="D3083" t="str">
            <v>Femag - Incorporacoes</v>
          </cell>
          <cell r="E3083" t="str">
            <v>BR_CNPJ</v>
          </cell>
          <cell r="F3083" t="str">
            <v>42.294.607/0001-71</v>
          </cell>
          <cell r="G3083" t="str">
            <v>FEMAG</v>
          </cell>
        </row>
        <row r="3084">
          <cell r="A3084">
            <v>33928</v>
          </cell>
          <cell r="B3084" t="str">
            <v>CORPORATION</v>
          </cell>
          <cell r="C3084" t="str">
            <v>Pommer Seeds Agropecuaria Ltda</v>
          </cell>
          <cell r="D3084" t="str">
            <v>Agrodischer</v>
          </cell>
          <cell r="E3084" t="str">
            <v>BR_CNPJ</v>
          </cell>
          <cell r="F3084" t="str">
            <v>04.747.228/0002-81</v>
          </cell>
        </row>
        <row r="3085">
          <cell r="A3085">
            <v>33929</v>
          </cell>
          <cell r="B3085" t="str">
            <v>CORPORATION</v>
          </cell>
          <cell r="C3085" t="str">
            <v>Soldas Planalto Comercio E Representacoes Ltda</v>
          </cell>
          <cell r="D3085" t="str">
            <v>Soldas Planalto Comercio E Representacoes Ltda</v>
          </cell>
          <cell r="E3085" t="str">
            <v>BR_CNPJ</v>
          </cell>
          <cell r="F3085" t="str">
            <v>79.653.614/0001-22</v>
          </cell>
        </row>
        <row r="3086">
          <cell r="A3086">
            <v>33931</v>
          </cell>
          <cell r="B3086" t="str">
            <v>CORPORATION</v>
          </cell>
          <cell r="C3086" t="str">
            <v>Stalar Materiais De Construcao Ltda.</v>
          </cell>
          <cell r="D3086" t="str">
            <v>Stalar Materiais De Construcao Ltda.</v>
          </cell>
          <cell r="E3086" t="str">
            <v>BR_CNPJ</v>
          </cell>
          <cell r="F3086" t="str">
            <v>03.405.540/0001-43</v>
          </cell>
        </row>
        <row r="3087">
          <cell r="A3087">
            <v>33934</v>
          </cell>
          <cell r="B3087" t="str">
            <v>CORPORATION</v>
          </cell>
          <cell r="C3087" t="str">
            <v>Trennepohl Comercial Ltda</v>
          </cell>
          <cell r="D3087" t="str">
            <v>Trennepohl Comercial Ltda</v>
          </cell>
          <cell r="E3087" t="str">
            <v>BR_CNPJ</v>
          </cell>
          <cell r="F3087" t="str">
            <v>81.613.333/0003-50</v>
          </cell>
        </row>
        <row r="3088">
          <cell r="A3088">
            <v>33936</v>
          </cell>
          <cell r="B3088" t="str">
            <v>CORPORATION</v>
          </cell>
          <cell r="C3088" t="str">
            <v>Sandra Cristina Ribeiro 29894878830</v>
          </cell>
          <cell r="D3088" t="str">
            <v>Impacto Soldas</v>
          </cell>
          <cell r="E3088" t="str">
            <v>BR_CNPJ</v>
          </cell>
          <cell r="F3088" t="str">
            <v>42.699.577/0001-83</v>
          </cell>
        </row>
        <row r="3089">
          <cell r="A3089">
            <v>33937</v>
          </cell>
          <cell r="B3089" t="str">
            <v>CORPORATION</v>
          </cell>
          <cell r="C3089" t="str">
            <v>Unidas Comercio De Materiais De Construcao Ltda</v>
          </cell>
          <cell r="D3089" t="str">
            <v>Unidas Comercio De Materiais De Construcao Ltda</v>
          </cell>
          <cell r="E3089" t="str">
            <v>BR_CNPJ</v>
          </cell>
          <cell r="F3089" t="str">
            <v>83.055.020/0001-97</v>
          </cell>
        </row>
        <row r="3090">
          <cell r="A3090">
            <v>33940</v>
          </cell>
          <cell r="B3090" t="str">
            <v>CORPORATION</v>
          </cell>
          <cell r="C3090" t="str">
            <v>A. Gutierrez Comercio E Servicos De Ferramentas Ltda</v>
          </cell>
          <cell r="D3090" t="str">
            <v>A. Gutierrez</v>
          </cell>
          <cell r="E3090" t="str">
            <v>BR_CNPJ</v>
          </cell>
          <cell r="F3090" t="str">
            <v>12.564.154/0001-95</v>
          </cell>
          <cell r="G3090" t="str">
            <v>A. GUTIERREZ</v>
          </cell>
        </row>
        <row r="3091">
          <cell r="A3091">
            <v>33942</v>
          </cell>
          <cell r="B3091" t="str">
            <v>CORPORATION</v>
          </cell>
          <cell r="C3091" t="str">
            <v>Mult Diesel Auto Pecas E Servicos Ltda</v>
          </cell>
          <cell r="D3091" t="str">
            <v>Mult Diesel</v>
          </cell>
          <cell r="E3091" t="str">
            <v>BR_CNPJ</v>
          </cell>
          <cell r="F3091" t="str">
            <v>09.005.279/0001-70</v>
          </cell>
          <cell r="G3091" t="str">
            <v>FEMAG</v>
          </cell>
        </row>
        <row r="3092">
          <cell r="A3092">
            <v>33944</v>
          </cell>
          <cell r="B3092" t="str">
            <v>CORPORATION</v>
          </cell>
          <cell r="C3092" t="str">
            <v>Becker, Scheer &amp; Cia Ltda - Me</v>
          </cell>
          <cell r="D3092" t="str">
            <v>Becker Materias De Construcao</v>
          </cell>
          <cell r="E3092" t="str">
            <v>BR_CNPJ</v>
          </cell>
          <cell r="F3092" t="str">
            <v>12.284.474/0001-91</v>
          </cell>
        </row>
        <row r="3093">
          <cell r="A3093">
            <v>33946</v>
          </cell>
          <cell r="B3093" t="str">
            <v>CORPORATION</v>
          </cell>
          <cell r="C3093" t="str">
            <v>Julierme F. Da Rosa - Me</v>
          </cell>
          <cell r="D3093" t="str">
            <v>Distriblu</v>
          </cell>
          <cell r="E3093" t="str">
            <v>BR_CNPJ</v>
          </cell>
          <cell r="F3093" t="str">
            <v>06.324.611/0001-71</v>
          </cell>
        </row>
        <row r="3094">
          <cell r="A3094">
            <v>33949</v>
          </cell>
          <cell r="B3094" t="str">
            <v>CORPORATION</v>
          </cell>
          <cell r="C3094" t="str">
            <v>Comercial De Maquinas E Ferramentas Fachini Ltda - Me</v>
          </cell>
          <cell r="D3094" t="str">
            <v>Comercial De Maquinas E Ferramentas Fachini Ltda - Me</v>
          </cell>
          <cell r="E3094" t="str">
            <v>BR_CNPJ</v>
          </cell>
          <cell r="F3094" t="str">
            <v>78.830.353/0001-06</v>
          </cell>
        </row>
        <row r="3095">
          <cell r="A3095">
            <v>33952</v>
          </cell>
          <cell r="B3095" t="str">
            <v>CORPORATION</v>
          </cell>
          <cell r="C3095" t="str">
            <v>Eletro Motor-Trafo Ltda - Me</v>
          </cell>
          <cell r="D3095" t="str">
            <v>Eletro Motor-Trafo Ltda - Me</v>
          </cell>
          <cell r="E3095" t="str">
            <v>BR_CNPJ</v>
          </cell>
          <cell r="F3095" t="str">
            <v>41.757.758/0001-56</v>
          </cell>
        </row>
        <row r="3096">
          <cell r="A3096">
            <v>33955</v>
          </cell>
          <cell r="B3096" t="str">
            <v>CORPORATION</v>
          </cell>
          <cell r="C3096" t="str">
            <v>Eletrotecnica Xavier E Silva Ltda. - Me</v>
          </cell>
          <cell r="D3096" t="str">
            <v>Eletrotecnica Xavier E Silva Ltda. - Me</v>
          </cell>
          <cell r="E3096" t="str">
            <v>BR_CNPJ</v>
          </cell>
          <cell r="F3096" t="str">
            <v>04.790.921/0001-56</v>
          </cell>
        </row>
        <row r="3097">
          <cell r="A3097">
            <v>33956</v>
          </cell>
          <cell r="B3097" t="str">
            <v>CORPORATION</v>
          </cell>
          <cell r="C3097" t="str">
            <v>Dif Equipamentos De Protecao Ltda</v>
          </cell>
          <cell r="D3097" t="str">
            <v>Dif Comercio De Epi E Ferramentas</v>
          </cell>
          <cell r="E3097" t="str">
            <v>BR_CNPJ</v>
          </cell>
          <cell r="F3097" t="str">
            <v>36.154.451/0001-20</v>
          </cell>
        </row>
        <row r="3098">
          <cell r="A3098">
            <v>33958</v>
          </cell>
          <cell r="B3098" t="str">
            <v>CORPORATION</v>
          </cell>
          <cell r="C3098" t="str">
            <v>Irmaos Baiao &amp; Cia Ltda - Epp</v>
          </cell>
          <cell r="D3098" t="str">
            <v>Irmaos Baiao &amp; Cia Ltda - Epp</v>
          </cell>
          <cell r="E3098" t="str">
            <v>BR_CNPJ</v>
          </cell>
          <cell r="F3098" t="str">
            <v>17.278.292/0001-21</v>
          </cell>
        </row>
        <row r="3099">
          <cell r="A3099">
            <v>33961</v>
          </cell>
          <cell r="B3099" t="str">
            <v>CORPORATION</v>
          </cell>
          <cell r="C3099" t="str">
            <v>Luiz Augusto Da Silva - Me</v>
          </cell>
          <cell r="D3099" t="str">
            <v>Luana Tintas</v>
          </cell>
          <cell r="E3099" t="str">
            <v>BR_CNPJ</v>
          </cell>
          <cell r="F3099" t="str">
            <v>86.611.241/0001-92</v>
          </cell>
        </row>
        <row r="3100">
          <cell r="A3100">
            <v>33963</v>
          </cell>
          <cell r="B3100" t="str">
            <v>CORPORATION</v>
          </cell>
          <cell r="C3100" t="str">
            <v>Cordeiro Maquinas E Ferramentas Ltda</v>
          </cell>
          <cell r="D3100" t="str">
            <v>Cordeiro Maquinas E Ferramentas Ltda</v>
          </cell>
          <cell r="E3100" t="str">
            <v>BR_CNPJ</v>
          </cell>
          <cell r="F3100" t="str">
            <v>71.449.201/0004-61</v>
          </cell>
          <cell r="G3100" t="str">
            <v>CORDEIRO MÁQUINAS</v>
          </cell>
        </row>
        <row r="3101">
          <cell r="A3101">
            <v>33964</v>
          </cell>
          <cell r="B3101" t="str">
            <v>CORPORATION</v>
          </cell>
          <cell r="C3101" t="str">
            <v>Locminas Andaimes &amp; Ferramentas Ltda - Epp</v>
          </cell>
          <cell r="D3101" t="str">
            <v>Locminas</v>
          </cell>
          <cell r="E3101" t="str">
            <v>BR_CNPJ</v>
          </cell>
          <cell r="F3101" t="str">
            <v>01.738.654/0001-80</v>
          </cell>
        </row>
        <row r="3102">
          <cell r="A3102">
            <v>33967</v>
          </cell>
          <cell r="B3102" t="str">
            <v>CORPORATION</v>
          </cell>
          <cell r="C3102" t="str">
            <v>Oxyligas Comercial Ltda - Epp</v>
          </cell>
          <cell r="D3102" t="str">
            <v>Oxyligas</v>
          </cell>
          <cell r="E3102" t="str">
            <v>BR_CNPJ</v>
          </cell>
          <cell r="F3102" t="str">
            <v>04.715.054/0002-75</v>
          </cell>
        </row>
        <row r="3103">
          <cell r="A3103">
            <v>33969</v>
          </cell>
          <cell r="B3103" t="str">
            <v>CORPORATION</v>
          </cell>
          <cell r="C3103" t="str">
            <v>Viviane Da Silva Theodoro</v>
          </cell>
          <cell r="D3103" t="str">
            <v>Vrv Ferramentas</v>
          </cell>
          <cell r="E3103" t="str">
            <v>BR_CNPJ</v>
          </cell>
          <cell r="F3103" t="str">
            <v>35.240.358/0001-76</v>
          </cell>
        </row>
        <row r="3104">
          <cell r="A3104">
            <v>33970</v>
          </cell>
          <cell r="B3104" t="str">
            <v>CORPORATION</v>
          </cell>
          <cell r="C3104" t="str">
            <v>Abrafer Abrasivos E Ferramentas Ltda - Epp</v>
          </cell>
          <cell r="D3104" t="str">
            <v>Abrafer</v>
          </cell>
          <cell r="E3104" t="str">
            <v>BR_CNPJ</v>
          </cell>
          <cell r="F3104" t="str">
            <v>16.533.184/0001-95</v>
          </cell>
        </row>
        <row r="3105">
          <cell r="A3105">
            <v>33972</v>
          </cell>
          <cell r="B3105" t="str">
            <v>CORPORATION</v>
          </cell>
          <cell r="C3105" t="str">
            <v>Agrocarlos Maquinas Agricola Ltda</v>
          </cell>
          <cell r="D3105" t="str">
            <v>Agrocarlos Maquinas Agricola Ltda</v>
          </cell>
          <cell r="E3105" t="str">
            <v>BR_CNPJ</v>
          </cell>
          <cell r="F3105" t="str">
            <v>71.325.138/0001-09</v>
          </cell>
        </row>
        <row r="3106">
          <cell r="A3106">
            <v>33974</v>
          </cell>
          <cell r="B3106" t="str">
            <v>CORPORATION</v>
          </cell>
          <cell r="C3106" t="str">
            <v>Antonio Carlos Pereira &amp; Cia Ltda - Epp</v>
          </cell>
          <cell r="D3106" t="str">
            <v>Metal Pereira</v>
          </cell>
          <cell r="E3106" t="str">
            <v>BR_CNPJ</v>
          </cell>
          <cell r="F3106" t="str">
            <v>17.977.067/0001-83</v>
          </cell>
        </row>
        <row r="3107">
          <cell r="A3107">
            <v>33977</v>
          </cell>
          <cell r="B3107" t="str">
            <v>CORPORATION</v>
          </cell>
          <cell r="C3107" t="str">
            <v>Antonio Garavini &amp; Cia Ltda</v>
          </cell>
          <cell r="D3107" t="str">
            <v>Oficina Mecanica Garavini</v>
          </cell>
          <cell r="E3107" t="str">
            <v>BR_CNPJ</v>
          </cell>
          <cell r="F3107" t="str">
            <v>23.797.053/0001-80</v>
          </cell>
        </row>
        <row r="3108">
          <cell r="A3108">
            <v>33980</v>
          </cell>
          <cell r="B3108" t="str">
            <v>CORPORATION</v>
          </cell>
          <cell r="C3108" t="str">
            <v>Antonio M. Vieira - Me</v>
          </cell>
          <cell r="D3108" t="str">
            <v>Sos Do Serralhero</v>
          </cell>
          <cell r="E3108" t="str">
            <v>BR_CNPJ</v>
          </cell>
          <cell r="F3108" t="str">
            <v>11.576.301/0001-84</v>
          </cell>
        </row>
        <row r="3109">
          <cell r="A3109">
            <v>33983</v>
          </cell>
          <cell r="B3109" t="str">
            <v>CORPORATION</v>
          </cell>
          <cell r="C3109" t="str">
            <v>Celso Antonio Pereira - Epp</v>
          </cell>
          <cell r="D3109" t="str">
            <v>Auto Eletrica Santo Antonio</v>
          </cell>
          <cell r="E3109" t="str">
            <v>BR_CNPJ</v>
          </cell>
          <cell r="F3109" t="str">
            <v>17.519.646/0001-82</v>
          </cell>
        </row>
        <row r="3110">
          <cell r="A3110">
            <v>33986</v>
          </cell>
          <cell r="B3110" t="str">
            <v>CORPORATION</v>
          </cell>
          <cell r="C3110" t="str">
            <v>Tem Tem Comercio De Ferramentas E Equipamentos De Seguranca Ltda - Epp</v>
          </cell>
          <cell r="D3110" t="str">
            <v>Tem Tem Comercio De Ferramentas</v>
          </cell>
          <cell r="E3110" t="str">
            <v>BR_CNPJ</v>
          </cell>
          <cell r="F3110" t="str">
            <v>25.629.767/0001-05</v>
          </cell>
        </row>
        <row r="3111">
          <cell r="A3111">
            <v>33989</v>
          </cell>
          <cell r="B3111" t="str">
            <v>CORPORATION</v>
          </cell>
          <cell r="C3111" t="str">
            <v>Califer Comercio De Ferro E Aco Ltda</v>
          </cell>
          <cell r="D3111" t="str">
            <v>Califer Comercio De Ferro E Aco Ltda</v>
          </cell>
          <cell r="E3111" t="str">
            <v>BR_CNPJ</v>
          </cell>
          <cell r="F3111" t="str">
            <v>02.214.090/0001-49</v>
          </cell>
        </row>
        <row r="3112">
          <cell r="A3112">
            <v>33992</v>
          </cell>
          <cell r="B3112" t="str">
            <v>CORPORATION</v>
          </cell>
          <cell r="C3112" t="str">
            <v>Camac Comercio De Maquinas Ltda - Epp</v>
          </cell>
          <cell r="D3112" t="str">
            <v>Camac</v>
          </cell>
          <cell r="E3112" t="str">
            <v>BR_CNPJ</v>
          </cell>
          <cell r="F3112" t="str">
            <v>19.066.596/0001-50</v>
          </cell>
        </row>
        <row r="3113">
          <cell r="A3113">
            <v>33995</v>
          </cell>
          <cell r="B3113" t="str">
            <v>CORPORATION</v>
          </cell>
          <cell r="C3113" t="str">
            <v>Carlos De Freitas Hoelzle Junior - Me</v>
          </cell>
          <cell r="D3113" t="str">
            <v>Motormaquinas</v>
          </cell>
          <cell r="E3113" t="str">
            <v>BR_CNPJ</v>
          </cell>
          <cell r="F3113" t="str">
            <v>05.642.892/0001-48</v>
          </cell>
        </row>
        <row r="3114">
          <cell r="A3114">
            <v>33997</v>
          </cell>
          <cell r="B3114" t="str">
            <v>CORPORATION</v>
          </cell>
          <cell r="C3114" t="str">
            <v>Casa Das Ferramentas Ltda - Me</v>
          </cell>
          <cell r="D3114" t="str">
            <v>Casa Das Ferramentas Ltda - Me</v>
          </cell>
          <cell r="E3114" t="str">
            <v>BR_CNPJ</v>
          </cell>
          <cell r="F3114" t="str">
            <v>17.281.460/0001-38</v>
          </cell>
        </row>
        <row r="3115">
          <cell r="A3115">
            <v>34001</v>
          </cell>
          <cell r="B3115" t="str">
            <v>CORPORATION</v>
          </cell>
          <cell r="C3115" t="str">
            <v>Casa Das Variedades Ferragens E Ferram Industriais Ltda - Me</v>
          </cell>
          <cell r="D3115" t="str">
            <v>Casa Das Variedades</v>
          </cell>
          <cell r="E3115" t="str">
            <v>BR_CNPJ</v>
          </cell>
          <cell r="F3115" t="str">
            <v>23.360.340/0001-29</v>
          </cell>
        </row>
        <row r="3116">
          <cell r="A3116">
            <v>34003</v>
          </cell>
          <cell r="B3116" t="str">
            <v>CORPORATION</v>
          </cell>
          <cell r="C3116" t="str">
            <v>Mercado Da Construcao Ltda - Me</v>
          </cell>
          <cell r="D3116" t="str">
            <v>Mercado Da Construcao</v>
          </cell>
          <cell r="E3116" t="str">
            <v>BR_CNPJ</v>
          </cell>
          <cell r="F3116" t="str">
            <v>71.208.573/0001-53</v>
          </cell>
        </row>
        <row r="3117">
          <cell r="A3117">
            <v>34005</v>
          </cell>
          <cell r="B3117" t="str">
            <v>CORPORATION</v>
          </cell>
          <cell r="C3117" t="str">
            <v>Casa Piratininga Ltda - Me</v>
          </cell>
          <cell r="D3117" t="str">
            <v>Casa Piratininga Ltda - Me</v>
          </cell>
          <cell r="E3117" t="str">
            <v>BR_CNPJ</v>
          </cell>
          <cell r="F3117" t="str">
            <v>65.094.724/0001-97</v>
          </cell>
        </row>
        <row r="3118">
          <cell r="A3118">
            <v>34009</v>
          </cell>
          <cell r="B3118" t="str">
            <v>CORPORATION</v>
          </cell>
          <cell r="C3118" t="str">
            <v>Casa Tamoio Material Eletrico Ltda - Me</v>
          </cell>
          <cell r="D3118" t="str">
            <v>Casa Tamoio</v>
          </cell>
          <cell r="E3118" t="str">
            <v>BR_CNPJ</v>
          </cell>
          <cell r="F3118" t="str">
            <v>19.315.738/0001-76</v>
          </cell>
        </row>
        <row r="3119">
          <cell r="A3119">
            <v>34012</v>
          </cell>
          <cell r="B3119" t="str">
            <v>CORPORATION</v>
          </cell>
          <cell r="C3119" t="str">
            <v>Cezar Lopes Maquinas E Implementos Agricolas Ltda - Me</v>
          </cell>
          <cell r="D3119" t="str">
            <v>Cezar Lopes Maquinas E Implementos Agricolas Ltda - Me</v>
          </cell>
          <cell r="E3119" t="str">
            <v>BR_CNPJ</v>
          </cell>
          <cell r="F3119" t="str">
            <v>19.659.960/0001-96</v>
          </cell>
        </row>
        <row r="3120">
          <cell r="A3120">
            <v>34014</v>
          </cell>
          <cell r="B3120" t="str">
            <v>CORPORATION</v>
          </cell>
          <cell r="C3120" t="str">
            <v>Cofermapa Ltda - Epp</v>
          </cell>
          <cell r="D3120" t="str">
            <v>Cofermapa Ltda - Epp</v>
          </cell>
          <cell r="E3120" t="str">
            <v>BR_CNPJ</v>
          </cell>
          <cell r="F3120" t="str">
            <v>22.088.959/0001-63</v>
          </cell>
        </row>
        <row r="3121">
          <cell r="A3121">
            <v>34016</v>
          </cell>
          <cell r="B3121" t="str">
            <v>CORPORATION</v>
          </cell>
          <cell r="C3121" t="str">
            <v>Ferragens Brasil Ltda</v>
          </cell>
          <cell r="D3121" t="str">
            <v>Ferragens Brasil</v>
          </cell>
          <cell r="E3121" t="str">
            <v>BR_CNPJ</v>
          </cell>
          <cell r="F3121" t="str">
            <v>03.469.577/0001-35</v>
          </cell>
        </row>
        <row r="3122">
          <cell r="A3122">
            <v>34017</v>
          </cell>
          <cell r="B3122" t="str">
            <v>CORPORATION</v>
          </cell>
          <cell r="C3122" t="str">
            <v>Divisorias E Forros Comercio Ltda - Me</v>
          </cell>
          <cell r="D3122" t="str">
            <v>Divisorias E Forros Comercio Ltda - Me</v>
          </cell>
          <cell r="E3122" t="str">
            <v>BR_CNPJ</v>
          </cell>
          <cell r="F3122" t="str">
            <v>71.093.397/0001-51</v>
          </cell>
        </row>
        <row r="3123">
          <cell r="A3123">
            <v>34020</v>
          </cell>
          <cell r="B3123" t="str">
            <v>CORPORATION</v>
          </cell>
          <cell r="C3123" t="str">
            <v>Comercial Ramos E Fonseca Ltda - Epp</v>
          </cell>
          <cell r="D3123" t="str">
            <v>Comercial Ramos E Fonseca Ltda - Epp</v>
          </cell>
          <cell r="E3123" t="str">
            <v>BR_CNPJ</v>
          </cell>
          <cell r="F3123" t="str">
            <v>42.928.333/0001-25</v>
          </cell>
        </row>
        <row r="3124">
          <cell r="A3124">
            <v>34023</v>
          </cell>
          <cell r="B3124" t="str">
            <v>CORPORATION</v>
          </cell>
          <cell r="C3124" t="str">
            <v>Construita Nascimento Ltda - Me</v>
          </cell>
          <cell r="D3124" t="str">
            <v>Construita Nascimento Ltda - Me</v>
          </cell>
          <cell r="E3124" t="str">
            <v>BR_CNPJ</v>
          </cell>
          <cell r="F3124" t="str">
            <v>19.805.845/0001-82</v>
          </cell>
        </row>
        <row r="3125">
          <cell r="A3125">
            <v>34025</v>
          </cell>
          <cell r="B3125" t="str">
            <v>CORPORATION</v>
          </cell>
          <cell r="C3125" t="str">
            <v>Cicero Almir Da Silva Eireli</v>
          </cell>
          <cell r="D3125" t="str">
            <v>Mateus Constrular</v>
          </cell>
          <cell r="E3125" t="str">
            <v>BR_CNPJ</v>
          </cell>
          <cell r="F3125" t="str">
            <v>05.646.305/0001-99</v>
          </cell>
        </row>
        <row r="3126">
          <cell r="A3126">
            <v>34026</v>
          </cell>
          <cell r="B3126" t="str">
            <v>CORPORATION</v>
          </cell>
          <cell r="C3126" t="str">
            <v>Corsino Comercio E Representacoes Limitada</v>
          </cell>
          <cell r="D3126" t="str">
            <v>Corsino Comercio E Representacoes Limitada</v>
          </cell>
          <cell r="E3126" t="str">
            <v>BR_CNPJ</v>
          </cell>
          <cell r="F3126" t="str">
            <v>20.555.389/0001-49</v>
          </cell>
        </row>
        <row r="3127">
          <cell r="A3127">
            <v>34028</v>
          </cell>
          <cell r="B3127" t="str">
            <v>CORPORATION</v>
          </cell>
          <cell r="C3127" t="str">
            <v>Dimef Ltda - Epp</v>
          </cell>
          <cell r="D3127" t="str">
            <v>Dimef Ltda - Epp</v>
          </cell>
          <cell r="E3127" t="str">
            <v>BR_CNPJ</v>
          </cell>
          <cell r="F3127" t="str">
            <v>23.171.572/0001-39</v>
          </cell>
        </row>
        <row r="3128">
          <cell r="A3128">
            <v>34031</v>
          </cell>
          <cell r="B3128" t="str">
            <v>CORPORATION</v>
          </cell>
          <cell r="C3128" t="str">
            <v>Distribuidora De Oxigenio Santa Rita Ltda - Me</v>
          </cell>
          <cell r="D3128" t="str">
            <v>Oxicon Gases Industriais</v>
          </cell>
          <cell r="E3128" t="str">
            <v>BR_CNPJ</v>
          </cell>
          <cell r="F3128" t="str">
            <v>16.574.600/0001-01</v>
          </cell>
        </row>
        <row r="3129">
          <cell r="A3129">
            <v>34034</v>
          </cell>
          <cell r="B3129" t="str">
            <v>CORPORATION</v>
          </cell>
          <cell r="C3129" t="str">
            <v>Distribuidora Progresso Ltda - Me</v>
          </cell>
          <cell r="D3129" t="str">
            <v>Distribuidora Progresso Ltda - Me</v>
          </cell>
          <cell r="E3129" t="str">
            <v>BR_CNPJ</v>
          </cell>
          <cell r="F3129" t="str">
            <v>16.948.077/0003-90</v>
          </cell>
        </row>
        <row r="3130">
          <cell r="A3130">
            <v>34038</v>
          </cell>
          <cell r="B3130" t="str">
            <v>CORPORATION</v>
          </cell>
          <cell r="C3130" t="str">
            <v>Domac Comercio Ltda</v>
          </cell>
          <cell r="D3130" t="str">
            <v>Domac Comercio Ltda</v>
          </cell>
          <cell r="E3130" t="str">
            <v>BR_CNPJ</v>
          </cell>
          <cell r="F3130" t="str">
            <v>68.531.151/0001-00</v>
          </cell>
        </row>
        <row r="3131">
          <cell r="A3131">
            <v>34041</v>
          </cell>
          <cell r="B3131" t="str">
            <v>CORPORATION</v>
          </cell>
          <cell r="C3131" t="str">
            <v>E. M. Grossi &amp; Cia Ltda - Me</v>
          </cell>
          <cell r="D3131" t="str">
            <v>Eletro Ferragens Grossi</v>
          </cell>
          <cell r="E3131" t="str">
            <v>BR_CNPJ</v>
          </cell>
          <cell r="F3131" t="str">
            <v>19.483.478/0001-48</v>
          </cell>
        </row>
        <row r="3132">
          <cell r="A3132">
            <v>34044</v>
          </cell>
          <cell r="B3132" t="str">
            <v>CORPORATION</v>
          </cell>
          <cell r="C3132" t="str">
            <v>Ednaldo Costa Chaves &amp; Irmaos Ltda - Me</v>
          </cell>
          <cell r="D3132" t="str">
            <v>Ednaldo Costa Chaves &amp; Irmaos Ltda - Me</v>
          </cell>
          <cell r="E3132" t="str">
            <v>BR_CNPJ</v>
          </cell>
          <cell r="F3132" t="str">
            <v>22.347.561/0001-02</v>
          </cell>
        </row>
        <row r="3133">
          <cell r="A3133">
            <v>34046</v>
          </cell>
          <cell r="B3133" t="str">
            <v>CORPORATION</v>
          </cell>
          <cell r="C3133" t="str">
            <v>Eletrica Campos Porto Ltda - Epp</v>
          </cell>
          <cell r="D3133" t="str">
            <v>Eletrica Campos Porto Ltda - Epp</v>
          </cell>
          <cell r="E3133" t="str">
            <v>BR_CNPJ</v>
          </cell>
          <cell r="F3133" t="str">
            <v>17.701.392/0001-19</v>
          </cell>
        </row>
        <row r="3134">
          <cell r="A3134">
            <v>34047</v>
          </cell>
          <cell r="B3134" t="str">
            <v>CORPORATION</v>
          </cell>
          <cell r="C3134" t="str">
            <v>L M T Comercial Ltda</v>
          </cell>
          <cell r="D3134" t="str">
            <v>Acredittar Comercial</v>
          </cell>
          <cell r="E3134" t="str">
            <v>BR_CNPJ</v>
          </cell>
          <cell r="F3134" t="str">
            <v>36.402.156/0001-46</v>
          </cell>
        </row>
        <row r="3135">
          <cell r="A3135">
            <v>34048</v>
          </cell>
          <cell r="B3135" t="str">
            <v>CORPORATION</v>
          </cell>
          <cell r="C3135" t="str">
            <v>Eletrica Vila Rica Ltda - Me</v>
          </cell>
          <cell r="D3135" t="str">
            <v>Eletrica Vila Rica Ltda - Me</v>
          </cell>
          <cell r="E3135" t="str">
            <v>BR_CNPJ</v>
          </cell>
          <cell r="F3135" t="str">
            <v>23.987.811/0001-23</v>
          </cell>
        </row>
        <row r="3136">
          <cell r="A3136">
            <v>34049</v>
          </cell>
          <cell r="B3136" t="str">
            <v>CORPORATION</v>
          </cell>
          <cell r="C3136" t="str">
            <v>Americano Maquinas E Ferramentas Ltda</v>
          </cell>
          <cell r="D3136" t="str">
            <v>Americano Maquinas E Ferramentas Ltda</v>
          </cell>
          <cell r="E3136" t="str">
            <v>BR_CNPJ</v>
          </cell>
          <cell r="F3136" t="str">
            <v>02.271.528/0001-20</v>
          </cell>
        </row>
        <row r="3137">
          <cell r="A3137">
            <v>34055</v>
          </cell>
          <cell r="B3137" t="str">
            <v>CORPORATION</v>
          </cell>
          <cell r="C3137" t="str">
            <v>Clarus Comercio De Epi'S E Ferramentas Ltda</v>
          </cell>
          <cell r="D3137" t="str">
            <v>Clarus Comercial</v>
          </cell>
          <cell r="E3137" t="str">
            <v>BR_CNPJ</v>
          </cell>
          <cell r="F3137" t="str">
            <v>06.012.849/0001-61</v>
          </cell>
        </row>
        <row r="3138">
          <cell r="A3138">
            <v>34057</v>
          </cell>
          <cell r="B3138" t="str">
            <v>CORPORATION</v>
          </cell>
          <cell r="C3138" t="str">
            <v>Eletro Mecanica Irmaos Pinto Ltda - Me</v>
          </cell>
          <cell r="D3138" t="str">
            <v>Eletro Mecanica Irmaos Pinto Ltda - Me</v>
          </cell>
          <cell r="E3138" t="str">
            <v>BR_CNPJ</v>
          </cell>
          <cell r="F3138" t="str">
            <v>17.610.957/0001-52</v>
          </cell>
        </row>
        <row r="3139">
          <cell r="A3139">
            <v>34059</v>
          </cell>
          <cell r="B3139" t="str">
            <v>CORPORATION</v>
          </cell>
          <cell r="C3139" t="str">
            <v>Delta Acos Comercio De Laminados Ltda Eireli</v>
          </cell>
          <cell r="D3139" t="str">
            <v>Delta Acos</v>
          </cell>
          <cell r="E3139" t="str">
            <v>BR_CNPJ</v>
          </cell>
          <cell r="F3139" t="str">
            <v>23.586.604/0001-67</v>
          </cell>
        </row>
        <row r="3140">
          <cell r="A3140">
            <v>34060</v>
          </cell>
          <cell r="B3140" t="str">
            <v>CORPORATION</v>
          </cell>
          <cell r="C3140" t="str">
            <v>Eletromotores Dahlander Ltda - Epp</v>
          </cell>
          <cell r="D3140" t="str">
            <v>Eletromotores Dahlander Ltda - Epp</v>
          </cell>
          <cell r="E3140" t="str">
            <v>BR_CNPJ</v>
          </cell>
          <cell r="F3140" t="str">
            <v>17.102.914/0001-66</v>
          </cell>
        </row>
        <row r="3141">
          <cell r="A3141">
            <v>34062</v>
          </cell>
          <cell r="B3141" t="str">
            <v>CORPORATION</v>
          </cell>
          <cell r="C3141" t="str">
            <v>Equipam Ltda - Me</v>
          </cell>
          <cell r="D3141" t="str">
            <v>Equipam Ltda - Me</v>
          </cell>
          <cell r="E3141" t="str">
            <v>BR_CNPJ</v>
          </cell>
          <cell r="F3141" t="str">
            <v>17.739.384/0001-61</v>
          </cell>
        </row>
        <row r="3142">
          <cell r="A3142">
            <v>34065</v>
          </cell>
          <cell r="B3142" t="str">
            <v>CORPORATION</v>
          </cell>
          <cell r="C3142" t="str">
            <v>Faccio &amp; Cia Ltda - Me</v>
          </cell>
          <cell r="D3142" t="str">
            <v>Faccio &amp; Cia Ltda - Me</v>
          </cell>
          <cell r="E3142" t="str">
            <v>BR_CNPJ</v>
          </cell>
          <cell r="F3142" t="str">
            <v>23.944.663/0001-60</v>
          </cell>
        </row>
        <row r="3143">
          <cell r="A3143">
            <v>34068</v>
          </cell>
          <cell r="B3143" t="str">
            <v>CORPORATION</v>
          </cell>
          <cell r="C3143" t="str">
            <v>Ferbom Materiais Ltda</v>
          </cell>
          <cell r="D3143" t="str">
            <v>Ferbom Materiais Ltda</v>
          </cell>
          <cell r="E3143" t="str">
            <v>BR_CNPJ</v>
          </cell>
          <cell r="F3143" t="str">
            <v>42.923.573/0001-37</v>
          </cell>
        </row>
        <row r="3144">
          <cell r="A3144">
            <v>34070</v>
          </cell>
          <cell r="B3144" t="str">
            <v>CORPORATION</v>
          </cell>
          <cell r="C3144" t="str">
            <v>Ferminas Ferragens Minas Gerais Ltda - Me</v>
          </cell>
          <cell r="D3144" t="str">
            <v>Ferminas</v>
          </cell>
          <cell r="E3144" t="str">
            <v>BR_CNPJ</v>
          </cell>
          <cell r="F3144" t="str">
            <v>18.945.162/0001-68</v>
          </cell>
        </row>
        <row r="3145">
          <cell r="A3145">
            <v>34074</v>
          </cell>
          <cell r="B3145" t="str">
            <v>CORPORATION</v>
          </cell>
          <cell r="C3145" t="str">
            <v>Ferpecas Ferramentas De Precisao Ltda - Me</v>
          </cell>
          <cell r="D3145" t="str">
            <v>Ferpecas Ferramentas De Precisao</v>
          </cell>
          <cell r="E3145" t="str">
            <v>BR_CNPJ</v>
          </cell>
          <cell r="F3145" t="str">
            <v>02.870.481/0001-11</v>
          </cell>
        </row>
        <row r="3146">
          <cell r="A3146">
            <v>34076</v>
          </cell>
          <cell r="B3146" t="str">
            <v>CORPORATION</v>
          </cell>
          <cell r="C3146" t="str">
            <v>Ferragens Franco Ltda - Me</v>
          </cell>
          <cell r="D3146" t="str">
            <v>Ferragens Franco Ltda - Me</v>
          </cell>
          <cell r="E3146" t="str">
            <v>BR_CNPJ</v>
          </cell>
          <cell r="F3146" t="str">
            <v>17.078.544/0001-79</v>
          </cell>
        </row>
        <row r="3147">
          <cell r="A3147">
            <v>34078</v>
          </cell>
          <cell r="B3147" t="str">
            <v>CORPORATION</v>
          </cell>
          <cell r="C3147" t="str">
            <v>M Silva Material De Construcao</v>
          </cell>
          <cell r="D3147" t="str">
            <v>Ferraco</v>
          </cell>
          <cell r="E3147" t="str">
            <v>BR_CNPJ</v>
          </cell>
          <cell r="F3147" t="str">
            <v>18.538.171/0001-34</v>
          </cell>
        </row>
        <row r="3148">
          <cell r="A3148">
            <v>34079</v>
          </cell>
          <cell r="B3148" t="str">
            <v>CORPORATION</v>
          </cell>
          <cell r="C3148" t="str">
            <v>Ferragens Filgueiras Ltda - Epp</v>
          </cell>
          <cell r="D3148" t="str">
            <v>Ferragens Filgueiras Ltda - Epp</v>
          </cell>
          <cell r="E3148" t="str">
            <v>BR_CNPJ</v>
          </cell>
          <cell r="F3148" t="str">
            <v>22.207.856/0001-75</v>
          </cell>
        </row>
        <row r="3149">
          <cell r="A3149">
            <v>34081</v>
          </cell>
          <cell r="B3149" t="str">
            <v>CORPORATION</v>
          </cell>
          <cell r="C3149" t="str">
            <v>Fornecedora Cruziliense De Materiais Limitada - Epp</v>
          </cell>
          <cell r="D3149" t="str">
            <v>Fornecedora Cruziliense De Materiais Limitada - Epp</v>
          </cell>
          <cell r="E3149" t="str">
            <v>BR_CNPJ</v>
          </cell>
          <cell r="F3149" t="str">
            <v>19.980.135/0001-99</v>
          </cell>
        </row>
        <row r="3150">
          <cell r="A3150">
            <v>34084</v>
          </cell>
          <cell r="B3150" t="str">
            <v>CORPORATION</v>
          </cell>
          <cell r="C3150" t="str">
            <v>Fortec Fornecedora Comercial E Assistencia Tecnica Ltda - Epp</v>
          </cell>
          <cell r="D3150" t="str">
            <v>Fortec</v>
          </cell>
          <cell r="E3150" t="str">
            <v>BR_CNPJ</v>
          </cell>
          <cell r="F3150" t="str">
            <v>18.377.028/0001-08</v>
          </cell>
        </row>
        <row r="3151">
          <cell r="A3151">
            <v>34087</v>
          </cell>
          <cell r="B3151" t="str">
            <v>CORPORATION</v>
          </cell>
          <cell r="C3151" t="str">
            <v>Geralmaq Industria E Comercio De Maquinas Bombas E Motores Eireli Epp - Epp</v>
          </cell>
          <cell r="D3151" t="str">
            <v>Geralmaq</v>
          </cell>
          <cell r="E3151" t="str">
            <v>BR_CNPJ</v>
          </cell>
          <cell r="F3151" t="str">
            <v>18.365.015/0001-19</v>
          </cell>
        </row>
        <row r="3152">
          <cell r="A3152">
            <v>34090</v>
          </cell>
          <cell r="B3152" t="str">
            <v>CORPORATION</v>
          </cell>
          <cell r="C3152" t="str">
            <v>Graca Comercio E Representacoes Ltda - Epp</v>
          </cell>
          <cell r="D3152" t="str">
            <v>Graca Comercio E Representacoes Ltda - Epp</v>
          </cell>
          <cell r="E3152" t="str">
            <v>BR_CNPJ</v>
          </cell>
          <cell r="F3152" t="str">
            <v>17.252.008/0001-48</v>
          </cell>
        </row>
        <row r="3153">
          <cell r="A3153">
            <v>34093</v>
          </cell>
          <cell r="B3153" t="str">
            <v>CORPORATION</v>
          </cell>
          <cell r="C3153" t="str">
            <v>Hidros Ltda - Me</v>
          </cell>
          <cell r="D3153" t="str">
            <v>Hidros Ltda - Me</v>
          </cell>
          <cell r="E3153" t="str">
            <v>BR_CNPJ</v>
          </cell>
          <cell r="F3153" t="str">
            <v>17.573.148/0001-18</v>
          </cell>
        </row>
        <row r="3154">
          <cell r="A3154">
            <v>34096</v>
          </cell>
          <cell r="B3154" t="str">
            <v>CORPORATION</v>
          </cell>
          <cell r="C3154" t="str">
            <v>Impacto Pecas E Maquinas Ltda - Me</v>
          </cell>
          <cell r="D3154" t="str">
            <v>Impacto Pecas E Maquinas Ltda - Me</v>
          </cell>
          <cell r="E3154" t="str">
            <v>BR_CNPJ</v>
          </cell>
          <cell r="F3154" t="str">
            <v>26.263.293/0001-93</v>
          </cell>
        </row>
        <row r="3155">
          <cell r="A3155">
            <v>34099</v>
          </cell>
          <cell r="B3155" t="str">
            <v>CORPORATION</v>
          </cell>
          <cell r="C3155" t="str">
            <v>Industrial Ferragens Ltda - Me</v>
          </cell>
          <cell r="D3155" t="str">
            <v>Industrial Ferragens Ltda - Me</v>
          </cell>
          <cell r="E3155" t="str">
            <v>BR_CNPJ</v>
          </cell>
          <cell r="F3155" t="str">
            <v>23.898.174/0001-19</v>
          </cell>
        </row>
        <row r="3156">
          <cell r="A3156">
            <v>34102</v>
          </cell>
          <cell r="B3156" t="str">
            <v>CORPORATION</v>
          </cell>
          <cell r="C3156" t="str">
            <v>Irrigacao Norte De Minas Industria E Comercio Ltda - Me</v>
          </cell>
          <cell r="D3156" t="str">
            <v>Irriganorte</v>
          </cell>
          <cell r="E3156" t="str">
            <v>BR_CNPJ</v>
          </cell>
          <cell r="F3156" t="str">
            <v>19.606.466/0001-63</v>
          </cell>
        </row>
        <row r="3157">
          <cell r="A3157">
            <v>34104</v>
          </cell>
          <cell r="B3157" t="str">
            <v>CORPORATION</v>
          </cell>
          <cell r="C3157" t="str">
            <v>Bandeirantes Bauru Produtos Industriais E Automotivos Eireli</v>
          </cell>
          <cell r="D3157" t="str">
            <v>Bandeirantes Bauru Produtos Industriais E Automotivos Eireli</v>
          </cell>
          <cell r="E3157" t="str">
            <v>BR_CNPJ</v>
          </cell>
          <cell r="F3157" t="str">
            <v>01.717.900/0001-17</v>
          </cell>
        </row>
        <row r="3158">
          <cell r="A3158">
            <v>34105</v>
          </cell>
          <cell r="B3158" t="str">
            <v>CORPORATION</v>
          </cell>
          <cell r="C3158" t="str">
            <v>Issa &amp; Issa Ltda - Epp</v>
          </cell>
          <cell r="D3158" t="str">
            <v>Issa &amp; Issa Ltda - Epp</v>
          </cell>
          <cell r="E3158" t="str">
            <v>BR_CNPJ</v>
          </cell>
          <cell r="F3158" t="str">
            <v>25.476.839/0001-21</v>
          </cell>
        </row>
        <row r="3159">
          <cell r="A3159">
            <v>34107</v>
          </cell>
          <cell r="B3159" t="str">
            <v>CORPORATION</v>
          </cell>
          <cell r="C3159" t="str">
            <v>Nipack Embalagens De Madeiras Ltda</v>
          </cell>
          <cell r="D3159" t="str">
            <v>Nipack Embalagens De Madeiras Ltda</v>
          </cell>
          <cell r="E3159" t="str">
            <v>BR_CNPJ</v>
          </cell>
          <cell r="F3159" t="str">
            <v>09.471.946/0001-00</v>
          </cell>
        </row>
        <row r="3160">
          <cell r="A3160">
            <v>34108</v>
          </cell>
          <cell r="B3160" t="str">
            <v>CORPORATION</v>
          </cell>
          <cell r="C3160" t="str">
            <v>Itabira Ferro E Aco Ltda. - Epp</v>
          </cell>
          <cell r="D3160" t="str">
            <v>Itabira Ferro E Aco Ltda. - Epp</v>
          </cell>
          <cell r="E3160" t="str">
            <v>BR_CNPJ</v>
          </cell>
          <cell r="F3160" t="str">
            <v>02.920.928/0001-10</v>
          </cell>
        </row>
        <row r="3161">
          <cell r="A3161">
            <v>34111</v>
          </cell>
          <cell r="B3161" t="str">
            <v>CORPORATION</v>
          </cell>
          <cell r="C3161" t="str">
            <v>Itamaq - Itauna Maquinas E Bombas Ltda - Epp</v>
          </cell>
          <cell r="D3161" t="str">
            <v>Itamaq Implementos Agricolas</v>
          </cell>
          <cell r="E3161" t="str">
            <v>BR_CNPJ</v>
          </cell>
          <cell r="F3161" t="str">
            <v>20.100.582/0001-95</v>
          </cell>
        </row>
        <row r="3162">
          <cell r="A3162">
            <v>34114</v>
          </cell>
          <cell r="B3162" t="str">
            <v>CORPORATION</v>
          </cell>
          <cell r="C3162" t="str">
            <v>Jt Comercio De Motosserras Ltda - Epp</v>
          </cell>
          <cell r="D3162" t="str">
            <v>Casa Das Motosserras</v>
          </cell>
          <cell r="E3162" t="str">
            <v>BR_CNPJ</v>
          </cell>
          <cell r="F3162" t="str">
            <v>07.576.375/0001-43</v>
          </cell>
        </row>
        <row r="3163">
          <cell r="A3163">
            <v>34117</v>
          </cell>
          <cell r="B3163" t="str">
            <v>CORPORATION</v>
          </cell>
          <cell r="C3163" t="str">
            <v>Jcw Comercial Ltda - Me</v>
          </cell>
          <cell r="D3163" t="str">
            <v>Jcw Comercial Ltda - Me</v>
          </cell>
          <cell r="E3163" t="str">
            <v>BR_CNPJ</v>
          </cell>
          <cell r="F3163" t="str">
            <v>65.099.533/0001-18</v>
          </cell>
        </row>
        <row r="3164">
          <cell r="A3164">
            <v>34120</v>
          </cell>
          <cell r="B3164" t="str">
            <v>CORPORATION</v>
          </cell>
          <cell r="C3164" t="str">
            <v>Jiguan Ferragens E Ferramentas Ltda - Me</v>
          </cell>
          <cell r="D3164" t="str">
            <v>Jiguan Ferragens E Ferramentas Ltda - Me</v>
          </cell>
          <cell r="E3164" t="str">
            <v>BR_CNPJ</v>
          </cell>
          <cell r="F3164" t="str">
            <v>20.667.325/0001-30</v>
          </cell>
        </row>
        <row r="3165">
          <cell r="A3165">
            <v>34123</v>
          </cell>
          <cell r="B3165" t="str">
            <v>CORPORATION</v>
          </cell>
          <cell r="C3165" t="str">
            <v>Jose Alvarenga Torres - Me</v>
          </cell>
          <cell r="D3165" t="str">
            <v>Deposito Do Careca</v>
          </cell>
          <cell r="E3165" t="str">
            <v>BR_CNPJ</v>
          </cell>
          <cell r="F3165" t="str">
            <v>16.819.518/0001-91</v>
          </cell>
        </row>
        <row r="3166">
          <cell r="A3166">
            <v>34128</v>
          </cell>
          <cell r="B3166" t="str">
            <v>CORPORATION</v>
          </cell>
          <cell r="C3166" t="str">
            <v>Jose Da Luz Guimaraes - Me</v>
          </cell>
          <cell r="D3166" t="str">
            <v>Ferraco-Comercio De Ferro E Aco</v>
          </cell>
          <cell r="E3166" t="str">
            <v>BR_CNPJ</v>
          </cell>
          <cell r="F3166" t="str">
            <v>41.806.787/0001-60</v>
          </cell>
        </row>
        <row r="3167">
          <cell r="A3167">
            <v>34131</v>
          </cell>
          <cell r="B3167" t="str">
            <v>CORPORATION</v>
          </cell>
          <cell r="C3167" t="str">
            <v>Casa Giordano Ltda - Me</v>
          </cell>
          <cell r="D3167" t="str">
            <v>Casa Giordano</v>
          </cell>
          <cell r="E3167" t="str">
            <v>BR_CNPJ</v>
          </cell>
          <cell r="F3167" t="str">
            <v>17.077.017/0001-40</v>
          </cell>
        </row>
        <row r="3168">
          <cell r="A3168">
            <v>34134</v>
          </cell>
          <cell r="B3168" t="str">
            <v>CORPORATION</v>
          </cell>
          <cell r="C3168" t="str">
            <v>Jose Nestor Rodrigues &amp; Cia Ltda - Me</v>
          </cell>
          <cell r="D3168" t="str">
            <v>Jose Nestor Rodrigues &amp; Cia Ltda - Me</v>
          </cell>
          <cell r="E3168" t="str">
            <v>BR_CNPJ</v>
          </cell>
          <cell r="F3168" t="str">
            <v>17.634.130/0001-89</v>
          </cell>
        </row>
        <row r="3169">
          <cell r="A3169">
            <v>34136</v>
          </cell>
          <cell r="B3169" t="str">
            <v>CORPORATION</v>
          </cell>
          <cell r="C3169" t="str">
            <v>Jumacele Do Brasil Ltda - Epp</v>
          </cell>
          <cell r="D3169" t="str">
            <v>Jumacele Do Brasil Ltda - Epp</v>
          </cell>
          <cell r="E3169" t="str">
            <v>BR_CNPJ</v>
          </cell>
          <cell r="F3169" t="str">
            <v>25.847.989/0001-02</v>
          </cell>
        </row>
        <row r="3170">
          <cell r="A3170">
            <v>34139</v>
          </cell>
          <cell r="B3170" t="str">
            <v>CORPORATION</v>
          </cell>
          <cell r="C3170" t="str">
            <v>Lm Ferragens Ltda - Epp</v>
          </cell>
          <cell r="D3170" t="str">
            <v>Lm Ferragens Ltda - Epp</v>
          </cell>
          <cell r="E3170" t="str">
            <v>BR_CNPJ</v>
          </cell>
          <cell r="F3170" t="str">
            <v>17.670.316/0001-93</v>
          </cell>
        </row>
        <row r="3171">
          <cell r="A3171">
            <v>34142</v>
          </cell>
          <cell r="B3171" t="str">
            <v>CORPORATION</v>
          </cell>
          <cell r="C3171" t="str">
            <v>Lara Eletroferragens Ltda - Epp</v>
          </cell>
          <cell r="D3171" t="str">
            <v>Lara Eletroferragens Ltda - Epp</v>
          </cell>
          <cell r="E3171" t="str">
            <v>BR_CNPJ</v>
          </cell>
          <cell r="F3171" t="str">
            <v>21.254.123/0001-29</v>
          </cell>
        </row>
        <row r="3172">
          <cell r="A3172">
            <v>34145</v>
          </cell>
          <cell r="B3172" t="str">
            <v>CORPORATION</v>
          </cell>
          <cell r="C3172" t="str">
            <v>Loc Moc - Construtora E Comercio Ltda</v>
          </cell>
          <cell r="D3172" t="str">
            <v>Loc Moc - Construtora E Comercio Ltda</v>
          </cell>
          <cell r="E3172" t="str">
            <v>BR_CNPJ</v>
          </cell>
          <cell r="F3172" t="str">
            <v>03.561.548/0001-07</v>
          </cell>
        </row>
        <row r="3173">
          <cell r="A3173">
            <v>34148</v>
          </cell>
          <cell r="B3173" t="str">
            <v>CORPORATION</v>
          </cell>
          <cell r="C3173" t="str">
            <v>Locom Ltda - Epp</v>
          </cell>
          <cell r="D3173" t="str">
            <v>Locom Ltda - Epp</v>
          </cell>
          <cell r="E3173" t="str">
            <v>BR_CNPJ</v>
          </cell>
          <cell r="F3173" t="str">
            <v>02.907.242/0001-99</v>
          </cell>
        </row>
        <row r="3174">
          <cell r="A3174">
            <v>34151</v>
          </cell>
          <cell r="B3174" t="str">
            <v>CORPORATION</v>
          </cell>
          <cell r="C3174" t="str">
            <v>Loja Sao Jose Loucas E Ferragens Ltda - Epp</v>
          </cell>
          <cell r="D3174" t="str">
            <v>Loja Sao Jose</v>
          </cell>
          <cell r="E3174" t="str">
            <v>BR_CNPJ</v>
          </cell>
          <cell r="F3174" t="str">
            <v>21.029.129/0001-00</v>
          </cell>
        </row>
        <row r="3175">
          <cell r="A3175">
            <v>34154</v>
          </cell>
          <cell r="B3175" t="str">
            <v>CORPORATION</v>
          </cell>
          <cell r="C3175" t="str">
            <v>Marajo Ferragens Comercio Ltda - Me</v>
          </cell>
          <cell r="D3175" t="str">
            <v>Marajo Ferragens Comercio Ltda - Me</v>
          </cell>
          <cell r="E3175" t="str">
            <v>BR_CNPJ</v>
          </cell>
          <cell r="F3175" t="str">
            <v>23.416.464/0001-89</v>
          </cell>
        </row>
        <row r="3176">
          <cell r="A3176">
            <v>34156</v>
          </cell>
          <cell r="B3176" t="str">
            <v>CORPORATION</v>
          </cell>
          <cell r="C3176" t="str">
            <v>Elcio Antonio Fedrigo</v>
          </cell>
          <cell r="D3176" t="str">
            <v>Elcio Antonio Fedrigo</v>
          </cell>
          <cell r="E3176" t="str">
            <v>BR_CNPJ</v>
          </cell>
          <cell r="F3176" t="str">
            <v>43.469.734/0001-27</v>
          </cell>
        </row>
        <row r="3177">
          <cell r="A3177">
            <v>34157</v>
          </cell>
          <cell r="B3177" t="str">
            <v>CORPORATION</v>
          </cell>
          <cell r="C3177" t="str">
            <v>Marco Antonio Andrade - Me</v>
          </cell>
          <cell r="D3177" t="str">
            <v>Acg-Andre Chaves Em Geral</v>
          </cell>
          <cell r="E3177" t="str">
            <v>BR_CNPJ</v>
          </cell>
          <cell r="F3177" t="str">
            <v>25.509.530/0001-90</v>
          </cell>
        </row>
        <row r="3178">
          <cell r="A3178">
            <v>34159</v>
          </cell>
          <cell r="B3178" t="str">
            <v>CORPORATION</v>
          </cell>
          <cell r="C3178" t="str">
            <v>Flex Comercio De Produtos Nacionais E Importados Eireli</v>
          </cell>
          <cell r="D3178" t="str">
            <v>Flex Comercio De Produtos Nacionais E Importados Eireli</v>
          </cell>
          <cell r="E3178" t="str">
            <v>BR_CNPJ</v>
          </cell>
          <cell r="F3178" t="str">
            <v>36.293.168/0001-80</v>
          </cell>
        </row>
        <row r="3179">
          <cell r="A3179">
            <v>34160</v>
          </cell>
          <cell r="B3179" t="str">
            <v>CORPORATION</v>
          </cell>
          <cell r="C3179" t="str">
            <v>Marcondes Motores Eletricos Ltda - Me</v>
          </cell>
          <cell r="D3179" t="str">
            <v>Marcondes Motores Eletricos Ltda - Me</v>
          </cell>
          <cell r="E3179" t="str">
            <v>BR_CNPJ</v>
          </cell>
          <cell r="F3179" t="str">
            <v>26.246.033/0001-00</v>
          </cell>
        </row>
        <row r="3180">
          <cell r="A3180">
            <v>34162</v>
          </cell>
          <cell r="B3180" t="str">
            <v>CORPORATION</v>
          </cell>
          <cell r="C3180" t="str">
            <v>Maria Aparecida Quirino De Souza - Me</v>
          </cell>
          <cell r="D3180" t="str">
            <v>Materiais De Construcao Lopes</v>
          </cell>
          <cell r="E3180" t="str">
            <v>BR_CNPJ</v>
          </cell>
          <cell r="F3180" t="str">
            <v>20.307.708/0001-05</v>
          </cell>
        </row>
        <row r="3181">
          <cell r="A3181">
            <v>34165</v>
          </cell>
          <cell r="B3181" t="str">
            <v>CORPORATION</v>
          </cell>
          <cell r="C3181" t="str">
            <v>Massariol &amp; Teixeira Ltda</v>
          </cell>
          <cell r="D3181" t="str">
            <v>Massariol &amp; Teixeira Ltda</v>
          </cell>
          <cell r="E3181" t="str">
            <v>BR_CNPJ</v>
          </cell>
          <cell r="F3181" t="str">
            <v>17.018.227/0001-67</v>
          </cell>
        </row>
        <row r="3182">
          <cell r="A3182">
            <v>34171</v>
          </cell>
          <cell r="B3182" t="str">
            <v>CORPORATION</v>
          </cell>
          <cell r="C3182" t="str">
            <v>Mercantil De Ferramentas Ltda</v>
          </cell>
          <cell r="D3182" t="str">
            <v>Mercantil De Ferramentas Ltda</v>
          </cell>
          <cell r="E3182" t="str">
            <v>BR_CNPJ</v>
          </cell>
          <cell r="F3182" t="str">
            <v>19.534.676/0001-93</v>
          </cell>
        </row>
        <row r="3183">
          <cell r="A3183">
            <v>34172</v>
          </cell>
          <cell r="B3183" t="str">
            <v>CORPORATION</v>
          </cell>
          <cell r="C3183" t="str">
            <v>Dx De Bonsucesso Comercio De Metais E Acessorios Ltda</v>
          </cell>
          <cell r="D3183" t="str">
            <v>Dafel</v>
          </cell>
          <cell r="E3183" t="str">
            <v>BR_CNPJ</v>
          </cell>
          <cell r="F3183" t="str">
            <v>49.583.469/0001-90</v>
          </cell>
          <cell r="G3183" t="str">
            <v>DAFEL</v>
          </cell>
        </row>
        <row r="3184">
          <cell r="A3184">
            <v>34173</v>
          </cell>
          <cell r="B3184" t="str">
            <v>CORPORATION</v>
          </cell>
          <cell r="C3184" t="str">
            <v>Protefer - Protecao E Ferramentas Eireli</v>
          </cell>
          <cell r="D3184" t="str">
            <v>Brasil Ferramentas</v>
          </cell>
          <cell r="E3184" t="str">
            <v>BR_CNPJ</v>
          </cell>
          <cell r="F3184" t="str">
            <v>08.699.982/0001-63</v>
          </cell>
        </row>
        <row r="3185">
          <cell r="A3185">
            <v>34174</v>
          </cell>
          <cell r="B3185" t="str">
            <v>CORPORATION</v>
          </cell>
          <cell r="C3185" t="str">
            <v>Mercar Carmense De Ferragens Ltda - Me</v>
          </cell>
          <cell r="D3185" t="str">
            <v>Mercar Carmense De Ferragens Ltda - Me</v>
          </cell>
          <cell r="E3185" t="str">
            <v>BR_CNPJ</v>
          </cell>
          <cell r="F3185" t="str">
            <v>21.869.714/0001-00</v>
          </cell>
        </row>
        <row r="3186">
          <cell r="A3186">
            <v>34176</v>
          </cell>
          <cell r="B3186" t="str">
            <v>CORPORATION</v>
          </cell>
          <cell r="C3186" t="str">
            <v>M.F Motores Ltda - Me</v>
          </cell>
          <cell r="D3186" t="str">
            <v>M.F Motores Ltda - Me</v>
          </cell>
          <cell r="E3186" t="str">
            <v>BR_CNPJ</v>
          </cell>
          <cell r="F3186" t="str">
            <v>18.040.584/0001-94</v>
          </cell>
        </row>
        <row r="3187">
          <cell r="A3187">
            <v>34178</v>
          </cell>
          <cell r="B3187" t="str">
            <v>CORPORATION</v>
          </cell>
          <cell r="C3187" t="str">
            <v>Mundial Tintas E Ferramentas Ltda - Epp</v>
          </cell>
          <cell r="D3187" t="str">
            <v>Mundial Tintas E Ferramentas Ltda - Epp</v>
          </cell>
          <cell r="E3187" t="str">
            <v>BR_CNPJ</v>
          </cell>
          <cell r="F3187" t="str">
            <v>64.220.981/0001-65</v>
          </cell>
        </row>
        <row r="3188">
          <cell r="A3188">
            <v>34180</v>
          </cell>
          <cell r="B3188" t="str">
            <v>CORPORATION</v>
          </cell>
          <cell r="C3188" t="str">
            <v>A L R Silveira Ltda</v>
          </cell>
          <cell r="D3188" t="str">
            <v>Comercial Bahia</v>
          </cell>
          <cell r="E3188" t="str">
            <v>BR_CNPJ</v>
          </cell>
          <cell r="F3188" t="str">
            <v>01.473.881/0001-20</v>
          </cell>
        </row>
        <row r="3189">
          <cell r="A3189">
            <v>34182</v>
          </cell>
          <cell r="B3189" t="str">
            <v>CORPORATION</v>
          </cell>
          <cell r="C3189" t="str">
            <v>Nelmax Ltda - Me</v>
          </cell>
          <cell r="D3189" t="str">
            <v>Nelmax Ltda - Me</v>
          </cell>
          <cell r="E3189" t="str">
            <v>BR_CNPJ</v>
          </cell>
          <cell r="F3189" t="str">
            <v>23.242.142/0001-60</v>
          </cell>
        </row>
        <row r="3190">
          <cell r="A3190">
            <v>34184</v>
          </cell>
          <cell r="B3190" t="str">
            <v>CORPORATION</v>
          </cell>
          <cell r="C3190" t="str">
            <v>Kadu Ferramentas E Materiais Para Solda Eireli</v>
          </cell>
          <cell r="D3190" t="str">
            <v>Kadu Ferramentas</v>
          </cell>
          <cell r="E3190" t="str">
            <v>BR_CNPJ</v>
          </cell>
          <cell r="F3190" t="str">
            <v>20.923.113/0001-76</v>
          </cell>
        </row>
        <row r="3191">
          <cell r="A3191">
            <v>34185</v>
          </cell>
          <cell r="B3191" t="str">
            <v>CORPORATION</v>
          </cell>
          <cell r="C3191" t="str">
            <v>Nova Eletrica Fontes Ltda - Epp</v>
          </cell>
          <cell r="D3191" t="str">
            <v>Nova Eletrica Fontes</v>
          </cell>
          <cell r="E3191" t="str">
            <v>BR_CNPJ</v>
          </cell>
          <cell r="F3191" t="str">
            <v>19.411.545/0001-19</v>
          </cell>
        </row>
        <row r="3192">
          <cell r="A3192">
            <v>34187</v>
          </cell>
          <cell r="B3192" t="str">
            <v>CORPORATION</v>
          </cell>
          <cell r="C3192" t="str">
            <v>Nova Serrana Maquinas Ltda - Me</v>
          </cell>
          <cell r="D3192" t="str">
            <v>Nova Serrana Maquinas Ltda - Me</v>
          </cell>
          <cell r="E3192" t="str">
            <v>BR_CNPJ</v>
          </cell>
          <cell r="F3192" t="str">
            <v>42.846.311/0001-16</v>
          </cell>
        </row>
        <row r="3193">
          <cell r="A3193">
            <v>34190</v>
          </cell>
          <cell r="B3193" t="str">
            <v>CORPORATION</v>
          </cell>
          <cell r="C3193" t="str">
            <v>Paulo Cesar Leitao &amp; Filho Ltda - Epp</v>
          </cell>
          <cell r="D3193" t="str">
            <v>Casa Leitao</v>
          </cell>
          <cell r="E3193" t="str">
            <v>BR_CNPJ</v>
          </cell>
          <cell r="F3193" t="str">
            <v>22.262.836/0001-05</v>
          </cell>
        </row>
        <row r="3194">
          <cell r="A3194">
            <v>34193</v>
          </cell>
          <cell r="B3194" t="str">
            <v>CORPORATION</v>
          </cell>
          <cell r="C3194" t="str">
            <v>Polyferaco Ltda - Epp</v>
          </cell>
          <cell r="D3194" t="str">
            <v>Polyferaco Ltda - Epp</v>
          </cell>
          <cell r="E3194" t="str">
            <v>BR_CNPJ</v>
          </cell>
          <cell r="F3194" t="str">
            <v>00.287.710/0001-44</v>
          </cell>
        </row>
        <row r="3195">
          <cell r="A3195">
            <v>34195</v>
          </cell>
          <cell r="B3195" t="str">
            <v>CORPORATION</v>
          </cell>
          <cell r="C3195" t="str">
            <v>Real Mercantil E Representacoes Ltda - Epp</v>
          </cell>
          <cell r="D3195" t="str">
            <v>Real Mercantil E Representacoes Ltda - Epp</v>
          </cell>
          <cell r="E3195" t="str">
            <v>BR_CNPJ</v>
          </cell>
          <cell r="F3195" t="str">
            <v>25.870.064/0001-74</v>
          </cell>
        </row>
        <row r="3196">
          <cell r="A3196">
            <v>34198</v>
          </cell>
          <cell r="B3196" t="str">
            <v>CORPORATION</v>
          </cell>
          <cell r="C3196" t="str">
            <v>Casa Agricola E Pecuaria Nova Andradina Ltda - Epp</v>
          </cell>
          <cell r="D3196" t="str">
            <v>Casa Agricola</v>
          </cell>
          <cell r="E3196" t="str">
            <v>BR_CNPJ</v>
          </cell>
          <cell r="F3196" t="str">
            <v>03.823.077/0001-50</v>
          </cell>
        </row>
        <row r="3197">
          <cell r="A3197">
            <v>34201</v>
          </cell>
          <cell r="B3197" t="str">
            <v>CORPORATION</v>
          </cell>
          <cell r="C3197" t="str">
            <v>Constroluz Comercio De Materiais Eletricos Ltda</v>
          </cell>
          <cell r="D3197" t="str">
            <v>Constroluz Eletrica &amp; Hidraulica</v>
          </cell>
          <cell r="E3197" t="str">
            <v>BR_CNPJ</v>
          </cell>
          <cell r="F3197" t="str">
            <v>00.196.642/0001-08</v>
          </cell>
        </row>
        <row r="3198">
          <cell r="A3198">
            <v>34203</v>
          </cell>
          <cell r="B3198" t="str">
            <v>CORPORATION</v>
          </cell>
          <cell r="C3198" t="str">
            <v>Vidente Construcoes E Comercio Ltda</v>
          </cell>
          <cell r="D3198" t="str">
            <v>Vidente</v>
          </cell>
          <cell r="E3198" t="str">
            <v>BR_CNPJ</v>
          </cell>
          <cell r="F3198" t="str">
            <v>26.517.495/0001-14</v>
          </cell>
        </row>
        <row r="3199">
          <cell r="A3199">
            <v>34204</v>
          </cell>
          <cell r="B3199" t="str">
            <v>CORPORATION</v>
          </cell>
          <cell r="C3199" t="str">
            <v>Francisco Paulino Pires - Me</v>
          </cell>
          <cell r="D3199" t="str">
            <v>Bazar Pires</v>
          </cell>
          <cell r="E3199" t="str">
            <v>BR_CNPJ</v>
          </cell>
          <cell r="F3199" t="str">
            <v>03.880.309/0001-01</v>
          </cell>
        </row>
        <row r="3200">
          <cell r="A3200">
            <v>34206</v>
          </cell>
          <cell r="B3200" t="str">
            <v>CORPORATION</v>
          </cell>
          <cell r="C3200" t="str">
            <v>Hidramat Comercio De Ferramentas Ltda - Me</v>
          </cell>
          <cell r="D3200" t="str">
            <v>Hidramat Comercio De Ferramentas</v>
          </cell>
          <cell r="E3200" t="str">
            <v>BR_CNPJ</v>
          </cell>
          <cell r="F3200" t="str">
            <v>15.541.808/0001-53</v>
          </cell>
        </row>
        <row r="3201">
          <cell r="A3201">
            <v>34209</v>
          </cell>
          <cell r="B3201" t="str">
            <v>CORPORATION</v>
          </cell>
          <cell r="C3201" t="str">
            <v>Miguel Da Costa Leite Filho</v>
          </cell>
          <cell r="D3201" t="str">
            <v>M Leite</v>
          </cell>
          <cell r="E3201" t="str">
            <v>BR_CNPJ</v>
          </cell>
          <cell r="F3201" t="str">
            <v>38.186.993/0001-00</v>
          </cell>
        </row>
        <row r="3202">
          <cell r="A3202">
            <v>34214</v>
          </cell>
          <cell r="B3202" t="str">
            <v>CORPORATION</v>
          </cell>
          <cell r="C3202" t="str">
            <v>Maria Aureni Aires Da Silva Bento</v>
          </cell>
          <cell r="D3202" t="str">
            <v>Jardimflora</v>
          </cell>
          <cell r="E3202" t="str">
            <v>BR_CNPJ</v>
          </cell>
          <cell r="F3202" t="str">
            <v>17.639.523/0001-85</v>
          </cell>
        </row>
        <row r="3203">
          <cell r="A3203">
            <v>34217</v>
          </cell>
          <cell r="B3203" t="str">
            <v>CORPORATION</v>
          </cell>
          <cell r="C3203" t="str">
            <v>Musa Husein Isa Abdalla Hamad - Me</v>
          </cell>
          <cell r="D3203" t="str">
            <v>M J Assistencia Tecnica</v>
          </cell>
          <cell r="E3203" t="str">
            <v>BR_CNPJ</v>
          </cell>
          <cell r="F3203" t="str">
            <v>22.046.848/0001-94</v>
          </cell>
        </row>
        <row r="3204">
          <cell r="A3204">
            <v>34220</v>
          </cell>
          <cell r="B3204" t="str">
            <v>CORPORATION</v>
          </cell>
          <cell r="C3204" t="str">
            <v>Lima &amp; Aguiar Comercio Atacadista Ltda - Me</v>
          </cell>
          <cell r="D3204" t="str">
            <v>Logistic Trade Brazil</v>
          </cell>
          <cell r="E3204" t="str">
            <v>BR_CNPJ</v>
          </cell>
          <cell r="F3204" t="str">
            <v>19.493.258/0001-03</v>
          </cell>
        </row>
        <row r="3205">
          <cell r="A3205">
            <v>34223</v>
          </cell>
          <cell r="B3205" t="str">
            <v>CORPORATION</v>
          </cell>
          <cell r="C3205" t="str">
            <v>Tani Brasil Eireli</v>
          </cell>
          <cell r="D3205" t="str">
            <v>Tani Import Brasil</v>
          </cell>
          <cell r="E3205" t="str">
            <v>BR_CNPJ</v>
          </cell>
          <cell r="F3205" t="str">
            <v>09.426.717/0001-74</v>
          </cell>
        </row>
        <row r="3206">
          <cell r="A3206">
            <v>34224</v>
          </cell>
          <cell r="B3206" t="str">
            <v>CORPORATION</v>
          </cell>
          <cell r="C3206" t="str">
            <v>Flavio Pereira Comercio De Ferramentas - Epp</v>
          </cell>
          <cell r="D3206" t="str">
            <v>Clv Ferramentas</v>
          </cell>
          <cell r="E3206" t="str">
            <v>BR_CNPJ</v>
          </cell>
          <cell r="F3206" t="str">
            <v>11.595.172/0001-71</v>
          </cell>
        </row>
        <row r="3207">
          <cell r="A3207">
            <v>34228</v>
          </cell>
          <cell r="B3207" t="str">
            <v>CORPORATION</v>
          </cell>
          <cell r="C3207" t="str">
            <v>Motofer Motores Ferragens E Material De Construcao Ltda - Epp</v>
          </cell>
          <cell r="D3207" t="str">
            <v>Motofer</v>
          </cell>
          <cell r="E3207" t="str">
            <v>BR_CNPJ</v>
          </cell>
          <cell r="F3207" t="str">
            <v>83.337.576/0001-76</v>
          </cell>
        </row>
        <row r="3208">
          <cell r="A3208">
            <v>34231</v>
          </cell>
          <cell r="B3208" t="str">
            <v>CORPORATION</v>
          </cell>
          <cell r="C3208" t="str">
            <v>Genio Ferramentas Ltda - Epp</v>
          </cell>
          <cell r="D3208" t="str">
            <v>Genio Ferramentas</v>
          </cell>
          <cell r="E3208" t="str">
            <v>BR_CNPJ</v>
          </cell>
          <cell r="F3208" t="str">
            <v>04.947.758/0001-92</v>
          </cell>
        </row>
        <row r="3209">
          <cell r="A3209">
            <v>34232</v>
          </cell>
          <cell r="B3209" t="str">
            <v>CORPORATION</v>
          </cell>
          <cell r="C3209" t="str">
            <v>Rgm Pecas Especiais Eireli</v>
          </cell>
          <cell r="D3209" t="str">
            <v>Rgm Pecas Especiais Eireli</v>
          </cell>
          <cell r="E3209" t="str">
            <v>BR_CNPJ</v>
          </cell>
          <cell r="F3209" t="str">
            <v>23.909.150/0001-18</v>
          </cell>
        </row>
        <row r="3210">
          <cell r="A3210">
            <v>34235</v>
          </cell>
          <cell r="B3210" t="str">
            <v>CORPORATION</v>
          </cell>
          <cell r="C3210" t="str">
            <v>L Chaves S Jorge</v>
          </cell>
          <cell r="D3210" t="str">
            <v>Lcsj - Maquinas, Pecas E Agro Ltda</v>
          </cell>
          <cell r="E3210" t="str">
            <v>BR_CNPJ</v>
          </cell>
          <cell r="F3210" t="str">
            <v>43.952.809/0001-26</v>
          </cell>
          <cell r="G3210" t="str">
            <v>MAQPECAS</v>
          </cell>
        </row>
        <row r="3211">
          <cell r="A3211">
            <v>34237</v>
          </cell>
          <cell r="B3211" t="str">
            <v>CORPORATION</v>
          </cell>
          <cell r="C3211" t="str">
            <v>Rio Negro Comercio De Maquinas E Motores Ltda - Me</v>
          </cell>
          <cell r="D3211" t="str">
            <v>Agrifertil</v>
          </cell>
          <cell r="E3211" t="str">
            <v>BR_CNPJ</v>
          </cell>
          <cell r="F3211" t="str">
            <v>04.308.556/0001-09</v>
          </cell>
        </row>
        <row r="3212">
          <cell r="A3212">
            <v>34239</v>
          </cell>
          <cell r="B3212" t="str">
            <v>CORPORATION</v>
          </cell>
          <cell r="C3212" t="str">
            <v>Mecalfer Ferramentas E Maquinas Ltda</v>
          </cell>
          <cell r="D3212" t="str">
            <v>Mecalfer Ferramentas E Maquinas Ltda</v>
          </cell>
          <cell r="E3212" t="str">
            <v>BR_CNPJ</v>
          </cell>
          <cell r="F3212" t="str">
            <v>43.891.514/0001-97</v>
          </cell>
        </row>
        <row r="3213">
          <cell r="A3213">
            <v>34248</v>
          </cell>
          <cell r="B3213" t="str">
            <v>CORPORATION</v>
          </cell>
          <cell r="C3213" t="str">
            <v>Comdpol - Comércio De Doces Popular Ltda</v>
          </cell>
          <cell r="D3213" t="str">
            <v>Popular Supermercado</v>
          </cell>
          <cell r="E3213" t="str">
            <v>BR_CNPJ</v>
          </cell>
          <cell r="F3213" t="str">
            <v>07.771.407/0001-61</v>
          </cell>
        </row>
        <row r="3214">
          <cell r="A3214">
            <v>34249</v>
          </cell>
          <cell r="B3214" t="str">
            <v>CORPORATION</v>
          </cell>
          <cell r="C3214" t="str">
            <v>Bruno Soares Rodrigues 35017246835</v>
          </cell>
          <cell r="D3214" t="str">
            <v>Eletec Manutençao Solda</v>
          </cell>
          <cell r="E3214" t="str">
            <v>BR_CNPJ</v>
          </cell>
          <cell r="F3214" t="str">
            <v>17.545.652/0001-04</v>
          </cell>
        </row>
        <row r="3215">
          <cell r="A3215">
            <v>34251</v>
          </cell>
          <cell r="B3215" t="str">
            <v>CORPORATION</v>
          </cell>
          <cell r="C3215" t="str">
            <v>Beto Auto Tintas Ltda - Me</v>
          </cell>
          <cell r="D3215" t="str">
            <v>Auto Tintas</v>
          </cell>
          <cell r="E3215" t="str">
            <v>BR_CNPJ</v>
          </cell>
          <cell r="F3215" t="str">
            <v>12.482.064/0001-55</v>
          </cell>
        </row>
        <row r="3216">
          <cell r="A3216">
            <v>34256</v>
          </cell>
          <cell r="B3216" t="str">
            <v>CORPORATION</v>
          </cell>
          <cell r="C3216" t="str">
            <v>Loja Do Paulo Comercio Ltda</v>
          </cell>
          <cell r="D3216" t="str">
            <v>Loja Do Paulo</v>
          </cell>
          <cell r="E3216" t="str">
            <v>BR_CNPJ</v>
          </cell>
          <cell r="F3216" t="str">
            <v>16.515.454/0001-35</v>
          </cell>
          <cell r="G3216" t="str">
            <v>ELETRICA MAIA</v>
          </cell>
        </row>
        <row r="3217">
          <cell r="A3217">
            <v>34258</v>
          </cell>
          <cell r="B3217" t="str">
            <v>CORPORATION</v>
          </cell>
          <cell r="C3217" t="str">
            <v>Ferragista Mundial Ltda</v>
          </cell>
          <cell r="D3217" t="str">
            <v>Mundial Parafusos</v>
          </cell>
          <cell r="E3217" t="str">
            <v>BR_CNPJ</v>
          </cell>
          <cell r="F3217" t="str">
            <v>03.459.161/0001-36</v>
          </cell>
          <cell r="G3217" t="str">
            <v>FERRAGISTA MUNDIAL</v>
          </cell>
        </row>
        <row r="3218">
          <cell r="A3218">
            <v>34262</v>
          </cell>
          <cell r="B3218" t="str">
            <v>CORPORATION</v>
          </cell>
          <cell r="C3218" t="str">
            <v>Marcio Machado Fernandes Ferramentas - Me</v>
          </cell>
          <cell r="D3218" t="str">
            <v>Equipe Ferramentas</v>
          </cell>
          <cell r="E3218" t="str">
            <v>BR_CNPJ</v>
          </cell>
          <cell r="F3218" t="str">
            <v>05.802.217/0001-39</v>
          </cell>
        </row>
        <row r="3219">
          <cell r="A3219">
            <v>34270</v>
          </cell>
          <cell r="B3219" t="str">
            <v>CORPORATION</v>
          </cell>
          <cell r="C3219" t="str">
            <v>Sol Nascente Comercio De Armarinho - Me</v>
          </cell>
          <cell r="D3219" t="str">
            <v>Baiano</v>
          </cell>
          <cell r="E3219" t="str">
            <v>BR_CNPJ</v>
          </cell>
          <cell r="F3219" t="str">
            <v>19.060.798/0001-95</v>
          </cell>
        </row>
        <row r="3220">
          <cell r="A3220">
            <v>34276</v>
          </cell>
          <cell r="B3220" t="str">
            <v>CORPORATION</v>
          </cell>
          <cell r="C3220" t="str">
            <v>Diafer Eireli</v>
          </cell>
          <cell r="D3220" t="str">
            <v>Diafer Itararé</v>
          </cell>
          <cell r="E3220" t="str">
            <v>BR_CNPJ</v>
          </cell>
          <cell r="F3220" t="str">
            <v>04.798.677/0002-59</v>
          </cell>
          <cell r="G3220" t="str">
            <v>DIAFER</v>
          </cell>
        </row>
        <row r="3221">
          <cell r="A3221">
            <v>34281</v>
          </cell>
          <cell r="B3221" t="str">
            <v>CORPORATION</v>
          </cell>
          <cell r="C3221" t="str">
            <v>Super Aco Ltda</v>
          </cell>
          <cell r="D3221" t="str">
            <v>Super Aco</v>
          </cell>
          <cell r="E3221" t="str">
            <v>BR_CNPJ</v>
          </cell>
          <cell r="F3221" t="str">
            <v>18.088.512/0001-17</v>
          </cell>
        </row>
        <row r="3222">
          <cell r="A3222">
            <v>34283</v>
          </cell>
          <cell r="B3222" t="str">
            <v>CORPORATION</v>
          </cell>
          <cell r="C3222" t="str">
            <v>Vetoh Materiais E Equipamentos De Seguranca Do Trabalho Ltda - Epp</v>
          </cell>
          <cell r="D3222" t="str">
            <v>Vetoh</v>
          </cell>
          <cell r="E3222" t="str">
            <v>BR_CNPJ</v>
          </cell>
          <cell r="F3222" t="str">
            <v>07.006.369/0001-50</v>
          </cell>
        </row>
        <row r="3223">
          <cell r="A3223">
            <v>34285</v>
          </cell>
          <cell r="B3223" t="str">
            <v>CORPORATION</v>
          </cell>
          <cell r="C3223" t="str">
            <v>Mumbai Brasil Solucoes Ltda</v>
          </cell>
          <cell r="D3223" t="str">
            <v>Mumbai Brasil Solucoes Ltda</v>
          </cell>
          <cell r="E3223" t="str">
            <v>BR_CNPJ</v>
          </cell>
          <cell r="F3223" t="str">
            <v>33.101.716/0001-34</v>
          </cell>
        </row>
        <row r="3224">
          <cell r="A3224">
            <v>34295</v>
          </cell>
          <cell r="B3224" t="str">
            <v>CORPORATION</v>
          </cell>
          <cell r="C3224" t="str">
            <v>Terra Nova Comercio De Armarinho - Me</v>
          </cell>
          <cell r="D3224" t="str">
            <v>Terra Nova</v>
          </cell>
          <cell r="E3224" t="str">
            <v>BR_CNPJ</v>
          </cell>
          <cell r="F3224" t="str">
            <v>19.037.280/0001-30</v>
          </cell>
        </row>
        <row r="3225">
          <cell r="A3225">
            <v>34296</v>
          </cell>
          <cell r="B3225" t="str">
            <v>CORPORATION</v>
          </cell>
          <cell r="C3225" t="str">
            <v>Md'Ore Ferramentas E Fixacao Ltda</v>
          </cell>
          <cell r="D3225" t="str">
            <v>Md'Ore Ferramentas E Fixacao Ltda (Macyfer)</v>
          </cell>
          <cell r="E3225" t="str">
            <v>BR_CNPJ</v>
          </cell>
          <cell r="F3225" t="str">
            <v>51.468.258/0001-58</v>
          </cell>
          <cell r="G3225" t="str">
            <v>MACYFER</v>
          </cell>
        </row>
        <row r="3226">
          <cell r="A3226">
            <v>34298</v>
          </cell>
          <cell r="B3226" t="str">
            <v>CORPORATION</v>
          </cell>
          <cell r="C3226" t="str">
            <v>Antonio De Jesus Paulino - Me</v>
          </cell>
          <cell r="D3226" t="str">
            <v>Thd Preparações</v>
          </cell>
          <cell r="E3226" t="str">
            <v>BR_CNPJ</v>
          </cell>
          <cell r="F3226" t="str">
            <v>58.458.043/0001-03</v>
          </cell>
        </row>
        <row r="3227">
          <cell r="A3227">
            <v>34301</v>
          </cell>
          <cell r="B3227" t="str">
            <v>CORPORATION</v>
          </cell>
          <cell r="C3227" t="str">
            <v>E Barbosa Dos Santos</v>
          </cell>
          <cell r="D3227" t="str">
            <v>Barbosa Materiais Para Construção</v>
          </cell>
          <cell r="E3227" t="str">
            <v>BR_CNPJ</v>
          </cell>
          <cell r="F3227" t="str">
            <v>07.968.097/0001-70</v>
          </cell>
        </row>
        <row r="3228">
          <cell r="A3228">
            <v>34305</v>
          </cell>
          <cell r="B3228" t="str">
            <v>CORPORATION</v>
          </cell>
          <cell r="C3228" t="str">
            <v>2 S Comercio Eireli</v>
          </cell>
          <cell r="D3228" t="str">
            <v>2 S Comercio Eireli</v>
          </cell>
          <cell r="E3228" t="str">
            <v>BR_CNPJ</v>
          </cell>
          <cell r="F3228" t="str">
            <v>24.995.264/0001-90</v>
          </cell>
        </row>
        <row r="3229">
          <cell r="A3229">
            <v>34307</v>
          </cell>
          <cell r="B3229" t="str">
            <v>CORPORATION</v>
          </cell>
          <cell r="C3229" t="str">
            <v>Light Comercio E Servicos Ltda - Me</v>
          </cell>
          <cell r="D3229" t="str">
            <v>Comercial Light</v>
          </cell>
          <cell r="E3229" t="str">
            <v>BR_CNPJ</v>
          </cell>
          <cell r="F3229" t="str">
            <v>03.784.007/0001-30</v>
          </cell>
        </row>
        <row r="3230">
          <cell r="A3230">
            <v>34308</v>
          </cell>
          <cell r="B3230" t="str">
            <v>CORPORATION</v>
          </cell>
          <cell r="C3230" t="str">
            <v>Dunas Comercial Ltda - Epp</v>
          </cell>
          <cell r="D3230" t="str">
            <v>Dunas Comercial</v>
          </cell>
          <cell r="E3230" t="str">
            <v>BR_CNPJ</v>
          </cell>
          <cell r="F3230" t="str">
            <v>05.530.834/0001-22</v>
          </cell>
        </row>
        <row r="3231">
          <cell r="A3231">
            <v>34310</v>
          </cell>
          <cell r="B3231" t="str">
            <v>CORPORATION</v>
          </cell>
          <cell r="C3231" t="str">
            <v>S M S Cruz</v>
          </cell>
          <cell r="D3231" t="str">
            <v>Fitabras</v>
          </cell>
          <cell r="E3231" t="str">
            <v>BR_CNPJ</v>
          </cell>
          <cell r="F3231" t="str">
            <v>01.189.564/0001-87</v>
          </cell>
          <cell r="G3231" t="str">
            <v>FERPARSA</v>
          </cell>
        </row>
        <row r="3232">
          <cell r="A3232">
            <v>34312</v>
          </cell>
          <cell r="B3232" t="str">
            <v>CORPORATION</v>
          </cell>
          <cell r="C3232" t="str">
            <v>M S Cardoso Comercio De Ferramentas</v>
          </cell>
          <cell r="D3232" t="str">
            <v>M S Cardoso Comercio De Ferramentas</v>
          </cell>
          <cell r="E3232" t="str">
            <v>BR_CNPJ</v>
          </cell>
          <cell r="F3232" t="str">
            <v>20.649.676/0001-18</v>
          </cell>
        </row>
        <row r="3233">
          <cell r="A3233">
            <v>34313</v>
          </cell>
          <cell r="B3233" t="str">
            <v>CORPORATION</v>
          </cell>
          <cell r="C3233" t="str">
            <v>Ondebuy Importacao E Exportacao Ltda</v>
          </cell>
          <cell r="D3233" t="str">
            <v>Ondebuy-Ecommerce Silva</v>
          </cell>
          <cell r="E3233" t="str">
            <v>BR_CNPJ</v>
          </cell>
          <cell r="F3233" t="str">
            <v>36.969.524/0001-32</v>
          </cell>
        </row>
        <row r="3234">
          <cell r="A3234">
            <v>34316</v>
          </cell>
          <cell r="B3234" t="str">
            <v>CORPORATION</v>
          </cell>
          <cell r="C3234" t="str">
            <v>Franz Platz Servicos De Manutencao Em Maquinas Industriais Ltda</v>
          </cell>
          <cell r="D3234" t="str">
            <v>Franz Platz Servicos De Manutencao Em Maquinas Industriais Ltda</v>
          </cell>
          <cell r="E3234" t="str">
            <v>BR_CNPJ</v>
          </cell>
          <cell r="F3234" t="str">
            <v>27.843.057/0001-09</v>
          </cell>
        </row>
        <row r="3235">
          <cell r="A3235">
            <v>34317</v>
          </cell>
          <cell r="B3235" t="str">
            <v>CORPORATION</v>
          </cell>
          <cell r="C3235" t="str">
            <v>N. A. C. Matteoli - Me</v>
          </cell>
          <cell r="D3235" t="str">
            <v>Eletropeças</v>
          </cell>
          <cell r="E3235" t="str">
            <v>BR_CNPJ</v>
          </cell>
          <cell r="F3235" t="str">
            <v>21.721.676/0001-44</v>
          </cell>
        </row>
        <row r="3236">
          <cell r="A3236">
            <v>34319</v>
          </cell>
          <cell r="B3236" t="str">
            <v>CORPORATION</v>
          </cell>
          <cell r="C3236" t="str">
            <v>Sinapar Comercio De Parafusos E Ferramentas Ltda.</v>
          </cell>
          <cell r="D3236" t="str">
            <v>Sinapar</v>
          </cell>
          <cell r="E3236" t="str">
            <v>BR_CNPJ</v>
          </cell>
          <cell r="F3236" t="str">
            <v>50.603.430/0001-76</v>
          </cell>
        </row>
        <row r="3237">
          <cell r="A3237">
            <v>34320</v>
          </cell>
          <cell r="B3237" t="str">
            <v>CORPORATION</v>
          </cell>
          <cell r="C3237" t="str">
            <v>Delta Comercio De Maquinas, Ferragens E Ferramentas Eireli</v>
          </cell>
          <cell r="D3237" t="str">
            <v>Delta Comercio De Maquinas, Ferragens E Ferramentas Eireli</v>
          </cell>
          <cell r="E3237" t="str">
            <v>BR_CNPJ</v>
          </cell>
          <cell r="F3237" t="str">
            <v>33.316.374/0001-70</v>
          </cell>
          <cell r="G3237" t="str">
            <v>MARTINI FERRAMENTAS</v>
          </cell>
        </row>
        <row r="3238">
          <cell r="A3238">
            <v>34324</v>
          </cell>
          <cell r="B3238" t="str">
            <v>CORPORATION</v>
          </cell>
          <cell r="C3238" t="str">
            <v>S. A. Correa Equipamentos - Me</v>
          </cell>
          <cell r="D3238" t="str">
            <v>Wdt Soldagem</v>
          </cell>
          <cell r="E3238" t="str">
            <v>BR_CNPJ</v>
          </cell>
          <cell r="F3238" t="str">
            <v>03.841.496/0001-14</v>
          </cell>
        </row>
        <row r="3239">
          <cell r="A3239">
            <v>34329</v>
          </cell>
          <cell r="B3239" t="str">
            <v>CORPORATION</v>
          </cell>
          <cell r="C3239" t="str">
            <v>Gerly Alberty Pissinini Armazem</v>
          </cell>
          <cell r="D3239" t="str">
            <v>Ge &amp; Ge - Casa E Construcao</v>
          </cell>
          <cell r="E3239" t="str">
            <v>BR_CNPJ</v>
          </cell>
          <cell r="F3239" t="str">
            <v>81.181.505/0001-00</v>
          </cell>
          <cell r="G3239" t="str">
            <v>GG</v>
          </cell>
        </row>
        <row r="3240">
          <cell r="A3240">
            <v>34330</v>
          </cell>
          <cell r="B3240" t="str">
            <v>CORPORATION</v>
          </cell>
          <cell r="C3240" t="str">
            <v>Rms Eletric Comercio E Serviços De Equipamentos Eletricos Ltda</v>
          </cell>
          <cell r="D3240" t="str">
            <v>Rms Electric Comercio E Servicos De Equipamentos Eletricos Ltda</v>
          </cell>
          <cell r="E3240" t="str">
            <v>BR_CNPJ</v>
          </cell>
          <cell r="F3240" t="str">
            <v>10.858.667/0001-83</v>
          </cell>
          <cell r="G3240" t="str">
            <v>TERRA</v>
          </cell>
        </row>
        <row r="3241">
          <cell r="A3241">
            <v>34336</v>
          </cell>
          <cell r="B3241" t="str">
            <v>CORPORATION</v>
          </cell>
          <cell r="C3241" t="str">
            <v>Soldac Industria Comercio Importacao E Locacao De Equipamentos Ltda</v>
          </cell>
          <cell r="D3241" t="str">
            <v>Soldac</v>
          </cell>
          <cell r="E3241" t="str">
            <v>BR_CNPJ</v>
          </cell>
          <cell r="F3241" t="str">
            <v>04.740.880/0001-93</v>
          </cell>
          <cell r="G3241" t="str">
            <v>SOLDAC</v>
          </cell>
        </row>
        <row r="3242">
          <cell r="A3242">
            <v>34346</v>
          </cell>
          <cell r="B3242" t="str">
            <v>CORPORATION</v>
          </cell>
          <cell r="C3242" t="str">
            <v>Fergusa Ferragens Ltda - Epp</v>
          </cell>
          <cell r="D3242" t="str">
            <v>Fergusa Ferragens</v>
          </cell>
          <cell r="E3242" t="str">
            <v>BR_CNPJ</v>
          </cell>
          <cell r="F3242" t="str">
            <v>05.297.139/0001-62</v>
          </cell>
        </row>
        <row r="3243">
          <cell r="A3243">
            <v>34348</v>
          </cell>
          <cell r="B3243" t="str">
            <v>CORPORATION</v>
          </cell>
          <cell r="C3243" t="str">
            <v>Andre Carlos Bonatto Bertin</v>
          </cell>
          <cell r="D3243" t="str">
            <v>Acbb Comercio E Servicos</v>
          </cell>
          <cell r="E3243" t="str">
            <v>BR_CNPJ</v>
          </cell>
          <cell r="F3243" t="str">
            <v>19.955.386/0001-13</v>
          </cell>
        </row>
        <row r="3244">
          <cell r="A3244">
            <v>34350</v>
          </cell>
          <cell r="B3244" t="str">
            <v>CORPORATION</v>
          </cell>
          <cell r="C3244" t="str">
            <v>Apiguana Maquinas E Ferramentas Ltda</v>
          </cell>
          <cell r="D3244" t="str">
            <v>Apiguana</v>
          </cell>
          <cell r="E3244" t="str">
            <v>BR_CNPJ</v>
          </cell>
          <cell r="F3244" t="str">
            <v>07.240.450/0004-43</v>
          </cell>
          <cell r="G3244" t="str">
            <v>APIGUANA</v>
          </cell>
        </row>
        <row r="3245">
          <cell r="A3245">
            <v>34351</v>
          </cell>
          <cell r="B3245" t="str">
            <v>CORPORATION</v>
          </cell>
          <cell r="C3245" t="str">
            <v>Adjaneide Bernardo De Barros Eireli</v>
          </cell>
          <cell r="D3245" t="str">
            <v>Revisarma - Armas &amp; Compressores</v>
          </cell>
          <cell r="E3245" t="str">
            <v>BR_CNPJ</v>
          </cell>
          <cell r="F3245" t="str">
            <v>26.175.055/0001-26</v>
          </cell>
        </row>
        <row r="3246">
          <cell r="A3246">
            <v>34356</v>
          </cell>
          <cell r="B3246" t="str">
            <v>CORPORATION</v>
          </cell>
          <cell r="C3246" t="str">
            <v>Eltron Comercial De Ferramentas Ltda</v>
          </cell>
          <cell r="D3246" t="str">
            <v>Eltron Comercial De Ferramentas</v>
          </cell>
          <cell r="E3246" t="str">
            <v>BR_CNPJ</v>
          </cell>
          <cell r="F3246" t="str">
            <v>54.076.096/0001-09</v>
          </cell>
        </row>
        <row r="3247">
          <cell r="A3247">
            <v>34362</v>
          </cell>
          <cell r="B3247" t="str">
            <v>CORPORATION</v>
          </cell>
          <cell r="C3247" t="str">
            <v>Ronaldo Ferreira Nonato - Me</v>
          </cell>
          <cell r="D3247" t="str">
            <v>Eletronaldo</v>
          </cell>
          <cell r="E3247" t="str">
            <v>BR_CNPJ</v>
          </cell>
          <cell r="F3247" t="str">
            <v>03.293.198/0001-37</v>
          </cell>
        </row>
        <row r="3248">
          <cell r="A3248">
            <v>34367</v>
          </cell>
          <cell r="B3248" t="str">
            <v>CORPORATION</v>
          </cell>
          <cell r="C3248" t="str">
            <v>Ds Comercio De Abrasivos Ltda</v>
          </cell>
          <cell r="D3248" t="str">
            <v>Ds Comercio De Abrasivos Ltda</v>
          </cell>
          <cell r="E3248" t="str">
            <v>BR_CNPJ</v>
          </cell>
          <cell r="F3248" t="str">
            <v>35.724.510/0001-96</v>
          </cell>
        </row>
        <row r="3249">
          <cell r="A3249">
            <v>34368</v>
          </cell>
          <cell r="B3249" t="str">
            <v>CORPORATION</v>
          </cell>
          <cell r="C3249" t="str">
            <v>Emporio Das Ferramentas Automotivos Eireli</v>
          </cell>
          <cell r="D3249" t="str">
            <v>Emporio Das Ferramentas Automotivos</v>
          </cell>
          <cell r="E3249" t="str">
            <v>BR_CNPJ</v>
          </cell>
          <cell r="F3249" t="str">
            <v>14.257.046/0001-03</v>
          </cell>
        </row>
        <row r="3250">
          <cell r="A3250">
            <v>34374</v>
          </cell>
          <cell r="B3250" t="str">
            <v>CORPORATION</v>
          </cell>
          <cell r="C3250" t="str">
            <v>A Martins Da Conceicao - Me</v>
          </cell>
          <cell r="D3250" t="str">
            <v>Allves Aguir Comercio</v>
          </cell>
          <cell r="E3250" t="str">
            <v>BR_CNPJ</v>
          </cell>
          <cell r="F3250" t="str">
            <v>10.497.340/0001-23</v>
          </cell>
        </row>
        <row r="3251">
          <cell r="A3251">
            <v>34380</v>
          </cell>
          <cell r="B3251" t="str">
            <v>CORPORATION</v>
          </cell>
          <cell r="C3251" t="str">
            <v>Leandro Henrique De Oliveira 31507970803</v>
          </cell>
          <cell r="D3251" t="str">
            <v>Leandro Henrique De Oliveira</v>
          </cell>
          <cell r="E3251" t="str">
            <v>BR_CNPJ</v>
          </cell>
          <cell r="F3251" t="str">
            <v>15.038.876/0001-02</v>
          </cell>
        </row>
        <row r="3252">
          <cell r="A3252">
            <v>34382</v>
          </cell>
          <cell r="B3252" t="str">
            <v>CORPORATION</v>
          </cell>
          <cell r="C3252" t="str">
            <v>Leci Da Silva Argentin 30142983870</v>
          </cell>
          <cell r="D3252" t="str">
            <v>Compremaq Compressores</v>
          </cell>
          <cell r="E3252" t="str">
            <v>BR_CNPJ</v>
          </cell>
          <cell r="F3252" t="str">
            <v>24.455.705/0001-61</v>
          </cell>
        </row>
        <row r="3253">
          <cell r="A3253">
            <v>34387</v>
          </cell>
          <cell r="B3253" t="str">
            <v>CORPORATION</v>
          </cell>
          <cell r="C3253" t="str">
            <v>Koyano Soldas Ltda</v>
          </cell>
          <cell r="D3253" t="str">
            <v>Koyano Soldas Ltda</v>
          </cell>
          <cell r="E3253" t="str">
            <v>BR_CNPJ</v>
          </cell>
          <cell r="F3253" t="str">
            <v>12.069.116/0001-66</v>
          </cell>
        </row>
        <row r="3254">
          <cell r="A3254">
            <v>34392</v>
          </cell>
          <cell r="B3254" t="str">
            <v>CORPORATION</v>
          </cell>
          <cell r="C3254" t="str">
            <v>Mirimtec Máquinas E Ferramentas Ltda</v>
          </cell>
          <cell r="D3254" t="str">
            <v>Mirimtec Máquinas E Ferramentas Ltda</v>
          </cell>
          <cell r="E3254" t="str">
            <v>BR_CNPJ</v>
          </cell>
          <cell r="F3254" t="str">
            <v>03.634.379/0001-80</v>
          </cell>
        </row>
        <row r="3255">
          <cell r="A3255">
            <v>34394</v>
          </cell>
          <cell r="B3255" t="str">
            <v>CORPORATION</v>
          </cell>
          <cell r="C3255" t="str">
            <v>Guimepa Suprimentos Industriais Ltda</v>
          </cell>
          <cell r="D3255" t="str">
            <v>Guimepa Suprimentos Industriais Ltda</v>
          </cell>
          <cell r="E3255" t="str">
            <v>BR_CNPJ</v>
          </cell>
          <cell r="F3255" t="str">
            <v>14.213.283/0001-64</v>
          </cell>
          <cell r="G3255" t="str">
            <v>GUIMEPA</v>
          </cell>
        </row>
        <row r="3256">
          <cell r="A3256">
            <v>34395</v>
          </cell>
          <cell r="B3256" t="str">
            <v>CORPORATION</v>
          </cell>
          <cell r="C3256" t="str">
            <v>L. I. Primo Lojao De Pecas Ltda - Me</v>
          </cell>
          <cell r="D3256" t="str">
            <v>Li Primo</v>
          </cell>
          <cell r="E3256" t="str">
            <v>BR_CNPJ</v>
          </cell>
          <cell r="F3256" t="str">
            <v>12.670.855/0001-09</v>
          </cell>
        </row>
        <row r="3257">
          <cell r="A3257">
            <v>34397</v>
          </cell>
          <cell r="B3257" t="str">
            <v>CORPORATION</v>
          </cell>
          <cell r="C3257" t="str">
            <v>Gh Maquinas E Equipamentos Eireli - Me</v>
          </cell>
          <cell r="D3257" t="str">
            <v>Gh Maquinas</v>
          </cell>
          <cell r="E3257" t="str">
            <v>BR_CNPJ</v>
          </cell>
          <cell r="F3257" t="str">
            <v>22.340.478/0001-01</v>
          </cell>
        </row>
        <row r="3258">
          <cell r="A3258">
            <v>34402</v>
          </cell>
          <cell r="B3258" t="str">
            <v>CORPORATION</v>
          </cell>
          <cell r="C3258" t="str">
            <v>W3m Comercio De Maquinas, Ferramentas E Confeccoes De Uniformes Ltda - Me</v>
          </cell>
          <cell r="D3258" t="str">
            <v>W3m</v>
          </cell>
          <cell r="E3258" t="str">
            <v>BR_CNPJ</v>
          </cell>
          <cell r="F3258" t="str">
            <v>17.474.484/0001-03</v>
          </cell>
        </row>
        <row r="3259">
          <cell r="A3259">
            <v>34405</v>
          </cell>
          <cell r="B3259" t="str">
            <v>CORPORATION</v>
          </cell>
          <cell r="C3259" t="str">
            <v>Quiaco Comercio De Ferro E Aco Ltda</v>
          </cell>
          <cell r="D3259" t="str">
            <v>Quiaco Comercio De Ferro E Aco</v>
          </cell>
          <cell r="E3259" t="str">
            <v>BR_CNPJ</v>
          </cell>
          <cell r="F3259" t="str">
            <v>04.379.147/0001-95</v>
          </cell>
        </row>
        <row r="3260">
          <cell r="A3260">
            <v>34406</v>
          </cell>
          <cell r="B3260" t="str">
            <v>CORPORATION</v>
          </cell>
          <cell r="C3260" t="str">
            <v>Wilker Costa De Souza - Me</v>
          </cell>
          <cell r="D3260" t="str">
            <v>Ws Ferragens</v>
          </cell>
          <cell r="E3260" t="str">
            <v>BR_CNPJ</v>
          </cell>
          <cell r="F3260" t="str">
            <v>18.841.826/0001-49</v>
          </cell>
        </row>
        <row r="3261">
          <cell r="A3261">
            <v>34408</v>
          </cell>
          <cell r="B3261" t="str">
            <v>CORPORATION</v>
          </cell>
          <cell r="C3261" t="str">
            <v>Omega Ferramentas E Maquinas Ltda</v>
          </cell>
          <cell r="D3261" t="str">
            <v>Omega Ferramentas</v>
          </cell>
          <cell r="E3261" t="str">
            <v>BR_CNPJ</v>
          </cell>
          <cell r="F3261" t="str">
            <v>33.831.108/0001-85</v>
          </cell>
        </row>
        <row r="3262">
          <cell r="A3262">
            <v>34413</v>
          </cell>
          <cell r="B3262" t="str">
            <v>CORPORATION</v>
          </cell>
          <cell r="C3262" t="str">
            <v>Construiase Materiais Para Construcao Ltda</v>
          </cell>
          <cell r="D3262" t="str">
            <v>Construiase Materiais Para Construcao Ltda</v>
          </cell>
          <cell r="E3262" t="str">
            <v>BR_CNPJ</v>
          </cell>
          <cell r="F3262" t="str">
            <v>20.103.096/0001-20</v>
          </cell>
        </row>
        <row r="3263">
          <cell r="A3263">
            <v>34414</v>
          </cell>
          <cell r="B3263" t="str">
            <v>CORPORATION</v>
          </cell>
          <cell r="C3263" t="str">
            <v>Uni-Tech Comercio E Manutencao De Equipamentos Industriais Eireli</v>
          </cell>
          <cell r="D3263" t="str">
            <v>Uni-Tech Comercio E Manutencao</v>
          </cell>
          <cell r="E3263" t="str">
            <v>BR_CNPJ</v>
          </cell>
          <cell r="F3263" t="str">
            <v>14.466.574/0001-64</v>
          </cell>
        </row>
        <row r="3264">
          <cell r="A3264">
            <v>34415</v>
          </cell>
          <cell r="B3264" t="str">
            <v>CORPORATION</v>
          </cell>
          <cell r="C3264" t="str">
            <v>Souza &amp; Goncalves Materiais De Construcoes Ltda</v>
          </cell>
          <cell r="D3264" t="str">
            <v>Center Goncalves</v>
          </cell>
          <cell r="E3264" t="str">
            <v>BR_CNPJ</v>
          </cell>
          <cell r="F3264" t="str">
            <v>19.940.560/0001-54</v>
          </cell>
          <cell r="G3264" t="str">
            <v>CENTER GONÇALVES</v>
          </cell>
        </row>
        <row r="3265">
          <cell r="A3265">
            <v>34417</v>
          </cell>
          <cell r="B3265" t="str">
            <v>CORPORATION</v>
          </cell>
          <cell r="C3265" t="str">
            <v>Allpema Servicos E Comercio De Ferragens E Ferramentas Ltda - Me</v>
          </cell>
          <cell r="D3265" t="str">
            <v>Allpema Ferragens E Ferramentas</v>
          </cell>
          <cell r="E3265" t="str">
            <v>BR_CNPJ</v>
          </cell>
          <cell r="F3265" t="str">
            <v>21.281.568/0001-06</v>
          </cell>
          <cell r="G3265" t="str">
            <v>ALLPEMA</v>
          </cell>
        </row>
        <row r="3266">
          <cell r="A3266">
            <v>34423</v>
          </cell>
          <cell r="B3266" t="str">
            <v>CORPORATION</v>
          </cell>
          <cell r="C3266" t="str">
            <v>Adriana Barbosa Maquinas</v>
          </cell>
          <cell r="D3266" t="str">
            <v>Comercial Barbosa</v>
          </cell>
          <cell r="E3266" t="str">
            <v>BR_CNPJ</v>
          </cell>
          <cell r="F3266" t="str">
            <v>10.926.909/0001-29</v>
          </cell>
        </row>
        <row r="3267">
          <cell r="A3267">
            <v>34427</v>
          </cell>
          <cell r="B3267" t="str">
            <v>CORPORATION</v>
          </cell>
          <cell r="C3267" t="str">
            <v>Manutec Comercio De Ferramentas Eireli - Me</v>
          </cell>
          <cell r="D3267" t="str">
            <v>Manutec Comercio</v>
          </cell>
          <cell r="E3267" t="str">
            <v>BR_CNPJ</v>
          </cell>
          <cell r="F3267" t="str">
            <v>08.003.946/0001-13</v>
          </cell>
        </row>
        <row r="3268">
          <cell r="A3268">
            <v>34428</v>
          </cell>
          <cell r="B3268" t="str">
            <v>CORPORATION</v>
          </cell>
          <cell r="C3268" t="str">
            <v>Finoka Center-Comercio De Material De Construcao Ltda</v>
          </cell>
          <cell r="D3268" t="str">
            <v>Finoka Center</v>
          </cell>
          <cell r="E3268" t="str">
            <v>BR_CNPJ</v>
          </cell>
          <cell r="F3268" t="str">
            <v>07.771.601/0001-47</v>
          </cell>
        </row>
        <row r="3269">
          <cell r="A3269">
            <v>34430</v>
          </cell>
          <cell r="B3269" t="str">
            <v>CORPORATION</v>
          </cell>
          <cell r="C3269" t="str">
            <v>Distrequi Do Brasil Distribuidora De Equipamentos Ltda</v>
          </cell>
          <cell r="D3269" t="str">
            <v>Distrequi Do Brasil Distribuidora De Equipamentos</v>
          </cell>
          <cell r="E3269" t="str">
            <v>BR_CNPJ</v>
          </cell>
          <cell r="F3269" t="str">
            <v>12.957.821/0001-08</v>
          </cell>
        </row>
        <row r="3270">
          <cell r="A3270">
            <v>34436</v>
          </cell>
          <cell r="B3270" t="str">
            <v>CORPORATION</v>
          </cell>
          <cell r="C3270" t="str">
            <v>Kd Comercio Atacadista Ltda - Epp</v>
          </cell>
          <cell r="D3270" t="str">
            <v>Kd Comercio Atacadista</v>
          </cell>
          <cell r="E3270" t="str">
            <v>BR_CNPJ</v>
          </cell>
          <cell r="F3270" t="str">
            <v>15.567.891/0001-30</v>
          </cell>
        </row>
        <row r="3271">
          <cell r="A3271">
            <v>34438</v>
          </cell>
          <cell r="B3271" t="str">
            <v>CORPORATION</v>
          </cell>
          <cell r="C3271" t="str">
            <v>Materiais Para Construcao Irmaos Camargo Ltda</v>
          </cell>
          <cell r="D3271" t="str">
            <v>Materiais Para Construcao Irmaos Camargo</v>
          </cell>
          <cell r="E3271" t="str">
            <v>BR_CNPJ</v>
          </cell>
          <cell r="F3271" t="str">
            <v>50.357.375/0001-81</v>
          </cell>
        </row>
        <row r="3272">
          <cell r="A3272">
            <v>34444</v>
          </cell>
          <cell r="B3272" t="str">
            <v>CORPORATION</v>
          </cell>
          <cell r="C3272" t="str">
            <v>Ferramentas Padroeira Ltda - Me</v>
          </cell>
          <cell r="D3272" t="str">
            <v>S.O.S.Ferramentas</v>
          </cell>
          <cell r="E3272" t="str">
            <v>BR_CNPJ</v>
          </cell>
          <cell r="F3272" t="str">
            <v>12.288.280/0002-45</v>
          </cell>
        </row>
        <row r="3273">
          <cell r="A3273">
            <v>34448</v>
          </cell>
          <cell r="B3273" t="str">
            <v>CORPORATION</v>
          </cell>
          <cell r="C3273" t="str">
            <v>Ferramentas Padroeira Ltda - Me</v>
          </cell>
          <cell r="D3273" t="str">
            <v>S.O.S.Ferramentas</v>
          </cell>
          <cell r="E3273" t="str">
            <v>BR_CNPJ</v>
          </cell>
          <cell r="F3273" t="str">
            <v>12.288.280/0001-64</v>
          </cell>
        </row>
        <row r="3274">
          <cell r="A3274">
            <v>34450</v>
          </cell>
          <cell r="B3274" t="str">
            <v>CORPORATION</v>
          </cell>
          <cell r="C3274" t="str">
            <v>Geliton De Oliveira Celestino - Me</v>
          </cell>
          <cell r="D3274" t="str">
            <v>Geliton De Oliveira Celestino</v>
          </cell>
          <cell r="E3274" t="str">
            <v>BR_CNPJ</v>
          </cell>
          <cell r="F3274" t="str">
            <v>10.831.950/0001-11</v>
          </cell>
        </row>
        <row r="3275">
          <cell r="A3275">
            <v>34451</v>
          </cell>
          <cell r="B3275" t="str">
            <v>CORPORATION</v>
          </cell>
          <cell r="C3275" t="str">
            <v>Gravia Industria De Perfilados De Aco Ltda</v>
          </cell>
          <cell r="D3275" t="str">
            <v>Gravia Industria De Perfilados De Aco Ltda</v>
          </cell>
          <cell r="E3275" t="str">
            <v>BR_CNPJ</v>
          </cell>
          <cell r="F3275" t="str">
            <v>26.487.744/0009-23</v>
          </cell>
          <cell r="G3275" t="str">
            <v>GRAVIA</v>
          </cell>
        </row>
        <row r="3276">
          <cell r="A3276">
            <v>34456</v>
          </cell>
          <cell r="B3276" t="str">
            <v>CORPORATION</v>
          </cell>
          <cell r="C3276" t="str">
            <v>Vip Laser Produtos E Servicos De Informatica Ltda - Me</v>
          </cell>
          <cell r="D3276" t="str">
            <v>Vip Laser</v>
          </cell>
          <cell r="E3276" t="str">
            <v>BR_CNPJ</v>
          </cell>
          <cell r="F3276" t="str">
            <v>11.623.680/0001-16</v>
          </cell>
        </row>
        <row r="3277">
          <cell r="A3277">
            <v>34459</v>
          </cell>
          <cell r="B3277" t="str">
            <v>CORPORATION</v>
          </cell>
          <cell r="C3277" t="str">
            <v>Materiais Eletricos Bonsucesso Ltda - Me</v>
          </cell>
          <cell r="D3277" t="str">
            <v>Materiais Eletricos Bonsucesso</v>
          </cell>
          <cell r="E3277" t="str">
            <v>BR_CNPJ</v>
          </cell>
          <cell r="F3277" t="str">
            <v>57.016.040/0001-49</v>
          </cell>
        </row>
        <row r="3278">
          <cell r="A3278">
            <v>34460</v>
          </cell>
          <cell r="B3278" t="str">
            <v>CORPORATION</v>
          </cell>
          <cell r="C3278" t="str">
            <v>Visafer Comercio De Metais Eireli</v>
          </cell>
          <cell r="D3278" t="str">
            <v>Visafer Comercio De Metais Eireli</v>
          </cell>
          <cell r="E3278" t="str">
            <v>BR_CNPJ</v>
          </cell>
          <cell r="F3278" t="str">
            <v>43.046.290/0001-17</v>
          </cell>
          <cell r="G3278" t="str">
            <v>CASTRO</v>
          </cell>
        </row>
        <row r="3279">
          <cell r="A3279">
            <v>34461</v>
          </cell>
          <cell r="B3279" t="str">
            <v>CORPORATION</v>
          </cell>
          <cell r="C3279" t="str">
            <v>Pet Food Solution Ind Com Impo Exp De Produtos E Artigos Para Animais Ltda</v>
          </cell>
          <cell r="D3279" t="str">
            <v>Pet Food Solution</v>
          </cell>
          <cell r="E3279" t="str">
            <v>BR_CNPJ</v>
          </cell>
          <cell r="F3279" t="str">
            <v>10.512.126/0001-07</v>
          </cell>
        </row>
        <row r="3280">
          <cell r="A3280">
            <v>34462</v>
          </cell>
          <cell r="B3280" t="str">
            <v>CORPORATION</v>
          </cell>
          <cell r="C3280" t="str">
            <v>Rodrigo Mariano Merizio Me</v>
          </cell>
          <cell r="D3280" t="str">
            <v>Central Dos Parafuso</v>
          </cell>
          <cell r="E3280" t="str">
            <v>BR_CNPJ</v>
          </cell>
          <cell r="F3280" t="str">
            <v>02.616.972/0001-30</v>
          </cell>
        </row>
        <row r="3281">
          <cell r="A3281">
            <v>34466</v>
          </cell>
          <cell r="B3281" t="str">
            <v>CORPORATION</v>
          </cell>
          <cell r="C3281" t="str">
            <v>Imperio Parafusos Eireli</v>
          </cell>
          <cell r="D3281" t="str">
            <v>Imperio Parafusos</v>
          </cell>
          <cell r="E3281" t="str">
            <v>BR_CNPJ</v>
          </cell>
          <cell r="F3281" t="str">
            <v>05.903.594/0001-64</v>
          </cell>
        </row>
        <row r="3282">
          <cell r="A3282">
            <v>34470</v>
          </cell>
          <cell r="B3282" t="str">
            <v>CORPORATION</v>
          </cell>
          <cell r="C3282" t="str">
            <v>Luiz Carlos Molenda</v>
          </cell>
          <cell r="D3282" t="str">
            <v>Luiz Carlos Molenda</v>
          </cell>
          <cell r="E3282" t="str">
            <v>BR_CNPJ</v>
          </cell>
          <cell r="F3282" t="str">
            <v>16.909.920/0002-48</v>
          </cell>
        </row>
        <row r="3283">
          <cell r="A3283">
            <v>34477</v>
          </cell>
          <cell r="B3283" t="str">
            <v>CORPORATION</v>
          </cell>
          <cell r="C3283" t="str">
            <v>Menegusso Maquinas E Equipamentos Ltda</v>
          </cell>
          <cell r="D3283" t="str">
            <v>Menegusso</v>
          </cell>
          <cell r="E3283" t="str">
            <v>BR_CNPJ</v>
          </cell>
          <cell r="F3283" t="str">
            <v>14.497.388/0001-92</v>
          </cell>
        </row>
        <row r="3284">
          <cell r="A3284">
            <v>34482</v>
          </cell>
          <cell r="B3284" t="str">
            <v>CORPORATION</v>
          </cell>
          <cell r="C3284" t="str">
            <v>Fgs Pit Stop Motos Ltda</v>
          </cell>
          <cell r="D3284" t="str">
            <v>Fgs Pit Stop Motos</v>
          </cell>
          <cell r="E3284" t="str">
            <v>BR_CNPJ</v>
          </cell>
          <cell r="F3284" t="str">
            <v>10.446.866/0001-84</v>
          </cell>
        </row>
        <row r="3285">
          <cell r="A3285">
            <v>34484</v>
          </cell>
          <cell r="B3285" t="str">
            <v>CORPORATION</v>
          </cell>
          <cell r="C3285" t="str">
            <v>Cesar Moreira Chicon 12843606799</v>
          </cell>
          <cell r="D3285" t="str">
            <v>G &amp; C Motores Eletricos</v>
          </cell>
          <cell r="E3285" t="str">
            <v>BR_CNPJ</v>
          </cell>
          <cell r="F3285" t="str">
            <v>13.336.018/0001-00</v>
          </cell>
        </row>
        <row r="3286">
          <cell r="A3286">
            <v>34487</v>
          </cell>
          <cell r="B3286" t="str">
            <v>CORPORATION</v>
          </cell>
          <cell r="C3286" t="str">
            <v>J L S Araujo &amp; Cia Ltda - Epp</v>
          </cell>
          <cell r="D3286" t="str">
            <v>Soldas &amp; Cia</v>
          </cell>
          <cell r="E3286" t="str">
            <v>BR_CNPJ</v>
          </cell>
          <cell r="F3286" t="str">
            <v>03.950.210/0001-39</v>
          </cell>
        </row>
        <row r="3287">
          <cell r="A3287">
            <v>34493</v>
          </cell>
          <cell r="B3287" t="str">
            <v>CORPORATION</v>
          </cell>
          <cell r="C3287" t="str">
            <v>Casa Das Bombas Ltda - Epp</v>
          </cell>
          <cell r="D3287" t="str">
            <v>Casa Das Bombas</v>
          </cell>
          <cell r="E3287" t="str">
            <v>BR_CNPJ</v>
          </cell>
          <cell r="F3287" t="str">
            <v>02.386.463/0001-69</v>
          </cell>
          <cell r="G3287" t="str">
            <v>CASA DAS BOMBAS</v>
          </cell>
        </row>
        <row r="3288">
          <cell r="A3288">
            <v>34500</v>
          </cell>
          <cell r="B3288" t="str">
            <v>CORPORATION</v>
          </cell>
          <cell r="C3288" t="str">
            <v>C. F. Sobrinho Ferramentas - Me</v>
          </cell>
          <cell r="D3288" t="str">
            <v>Cimaq Ferramentas</v>
          </cell>
          <cell r="E3288" t="str">
            <v>BR_CNPJ</v>
          </cell>
          <cell r="F3288" t="str">
            <v>15.333.422/0001-56</v>
          </cell>
        </row>
        <row r="3289">
          <cell r="A3289">
            <v>34509</v>
          </cell>
          <cell r="B3289" t="str">
            <v>CORPORATION</v>
          </cell>
          <cell r="C3289" t="str">
            <v>A. Gutierrez Ferramentas Ltda</v>
          </cell>
          <cell r="D3289" t="str">
            <v>A. Gutierrez</v>
          </cell>
          <cell r="E3289" t="str">
            <v>BR_CNPJ</v>
          </cell>
          <cell r="F3289" t="str">
            <v>11.037.342/0001-00</v>
          </cell>
          <cell r="G3289" t="str">
            <v>A. GUTIERREZ</v>
          </cell>
        </row>
        <row r="3290">
          <cell r="A3290">
            <v>34511</v>
          </cell>
          <cell r="B3290" t="str">
            <v>CORPORATION</v>
          </cell>
          <cell r="C3290" t="str">
            <v>Impulse Farm Estruturas E Equipamentos Ltda</v>
          </cell>
          <cell r="D3290" t="str">
            <v>Impulse Farm Estruturas E Equipamentos Ltda</v>
          </cell>
          <cell r="E3290" t="str">
            <v>BR_CNPJ</v>
          </cell>
          <cell r="F3290" t="str">
            <v>37.162.392/0002-86</v>
          </cell>
        </row>
        <row r="3291">
          <cell r="A3291">
            <v>34515</v>
          </cell>
          <cell r="B3291" t="str">
            <v>CORPORATION</v>
          </cell>
          <cell r="C3291" t="str">
            <v>F B I Comercio De Maquinas E Equipamentos Ltda</v>
          </cell>
          <cell r="D3291" t="str">
            <v>Maqnorte Sistema De Propulsao E Maquinas Da Amazonia</v>
          </cell>
          <cell r="E3291" t="str">
            <v>BR_CNPJ</v>
          </cell>
          <cell r="F3291" t="str">
            <v>16.525.162/0001-83</v>
          </cell>
        </row>
        <row r="3292">
          <cell r="A3292">
            <v>34519</v>
          </cell>
          <cell r="B3292" t="str">
            <v>CORPORATION</v>
          </cell>
          <cell r="C3292" t="str">
            <v>A Iluminadora Casa Branca Ltda - Epp</v>
          </cell>
          <cell r="D3292" t="str">
            <v>A Iluminadora Casa Branca</v>
          </cell>
          <cell r="E3292" t="str">
            <v>BR_CNPJ</v>
          </cell>
          <cell r="F3292" t="str">
            <v>45.735.487/0001-99</v>
          </cell>
        </row>
        <row r="3293">
          <cell r="A3293">
            <v>34522</v>
          </cell>
          <cell r="B3293" t="str">
            <v>CORPORATION</v>
          </cell>
          <cell r="C3293" t="str">
            <v>Comercial Mk7 Ltda</v>
          </cell>
          <cell r="D3293" t="str">
            <v>Comercial Mk7</v>
          </cell>
          <cell r="E3293" t="str">
            <v>BR_CNPJ</v>
          </cell>
          <cell r="F3293" t="str">
            <v>33.700.468/0001-48</v>
          </cell>
        </row>
        <row r="3294">
          <cell r="A3294">
            <v>34523</v>
          </cell>
          <cell r="B3294" t="str">
            <v>CORPORATION</v>
          </cell>
          <cell r="C3294" t="str">
            <v>Technomaq Maquinas E Compressores Ltda - Epp</v>
          </cell>
          <cell r="D3294" t="str">
            <v>Technomaq</v>
          </cell>
          <cell r="E3294" t="str">
            <v>BR_CNPJ</v>
          </cell>
          <cell r="F3294" t="str">
            <v>03.463.703/0001-44</v>
          </cell>
        </row>
        <row r="3295">
          <cell r="A3295">
            <v>34525</v>
          </cell>
          <cell r="B3295" t="str">
            <v>CORPORATION</v>
          </cell>
          <cell r="C3295" t="str">
            <v>Carlos Frederico Ferreira 38459167615</v>
          </cell>
          <cell r="D3295" t="str">
            <v>Oficina De Afiacao Profissional</v>
          </cell>
          <cell r="E3295" t="str">
            <v>BR_CNPJ</v>
          </cell>
          <cell r="F3295" t="str">
            <v>20.984.380/0001-53</v>
          </cell>
        </row>
        <row r="3296">
          <cell r="A3296">
            <v>34526</v>
          </cell>
          <cell r="B3296" t="str">
            <v>CORPORATION</v>
          </cell>
          <cell r="C3296" t="str">
            <v>Dantas &amp; Castro Aco E Construcoes Ltda</v>
          </cell>
          <cell r="D3296" t="str">
            <v>Comercial 101 Distribuidora</v>
          </cell>
          <cell r="E3296" t="str">
            <v>BR_CNPJ</v>
          </cell>
          <cell r="F3296" t="str">
            <v>15.359.153/0003-69</v>
          </cell>
          <cell r="G3296" t="str">
            <v>COMERCIAL 101 DISTRIBUIDORA</v>
          </cell>
        </row>
        <row r="3297">
          <cell r="A3297">
            <v>34528</v>
          </cell>
          <cell r="B3297" t="str">
            <v>CORPORATION</v>
          </cell>
          <cell r="C3297" t="str">
            <v>F G Da Silva Comercio De Material Eletrico - Me</v>
          </cell>
          <cell r="D3297" t="str">
            <v>F G Da Silva Comercio De Material Eletrico</v>
          </cell>
          <cell r="E3297" t="str">
            <v>BR_CNPJ</v>
          </cell>
          <cell r="F3297" t="str">
            <v>21.173.989/0001-05</v>
          </cell>
        </row>
        <row r="3298">
          <cell r="A3298">
            <v>34531</v>
          </cell>
          <cell r="B3298" t="str">
            <v>CORPORATION</v>
          </cell>
          <cell r="C3298" t="str">
            <v>Luparts Pecas E Ferramentas Automotivas Ltda - Me</v>
          </cell>
          <cell r="D3298" t="str">
            <v>Luparts Pecas E Ferramentas Automotivas</v>
          </cell>
          <cell r="E3298" t="str">
            <v>BR_CNPJ</v>
          </cell>
          <cell r="F3298" t="str">
            <v>13.906.921/0001-60</v>
          </cell>
        </row>
        <row r="3299">
          <cell r="A3299">
            <v>34537</v>
          </cell>
          <cell r="B3299" t="str">
            <v>CORPORATION</v>
          </cell>
          <cell r="C3299" t="str">
            <v>Cf Comercial Agropecuaria Ltda - Me</v>
          </cell>
          <cell r="D3299" t="str">
            <v>Cf Comercial Agropecuaria</v>
          </cell>
          <cell r="E3299" t="str">
            <v>BR_CNPJ</v>
          </cell>
          <cell r="F3299" t="str">
            <v>05.950.870/0001-45</v>
          </cell>
        </row>
        <row r="3300">
          <cell r="A3300">
            <v>34546</v>
          </cell>
          <cell r="B3300" t="str">
            <v>CORPORATION</v>
          </cell>
          <cell r="C3300" t="str">
            <v>Perfusolos Distribuidora De Ferramentas Eletrica E Hidraulica Ltda</v>
          </cell>
          <cell r="D3300" t="str">
            <v>Perfusolos - Ferrmatech</v>
          </cell>
          <cell r="E3300" t="str">
            <v>BR_CNPJ</v>
          </cell>
          <cell r="F3300" t="str">
            <v>22.221.108/0001-47</v>
          </cell>
        </row>
        <row r="3301">
          <cell r="A3301">
            <v>34560</v>
          </cell>
          <cell r="B3301" t="str">
            <v>CORPORATION</v>
          </cell>
          <cell r="C3301" t="str">
            <v>Inca Construcoes Eireli - Epp</v>
          </cell>
          <cell r="D3301" t="str">
            <v>Inca Construcoes Eireli - Epp</v>
          </cell>
          <cell r="E3301" t="str">
            <v>BR_CNPJ</v>
          </cell>
          <cell r="F3301" t="str">
            <v>22.800.923/0001-60</v>
          </cell>
        </row>
        <row r="3302">
          <cell r="A3302">
            <v>34562</v>
          </cell>
          <cell r="B3302" t="str">
            <v>CORPORATION</v>
          </cell>
          <cell r="C3302" t="str">
            <v>Oxilapa Gases Equipamentos E Soldas Ltda</v>
          </cell>
          <cell r="D3302" t="str">
            <v>Oxilapa</v>
          </cell>
          <cell r="E3302" t="str">
            <v>BR_CNPJ</v>
          </cell>
          <cell r="F3302" t="str">
            <v>59.417.469/0001-73</v>
          </cell>
        </row>
        <row r="3303">
          <cell r="A3303">
            <v>34566</v>
          </cell>
          <cell r="B3303" t="str">
            <v>CORPORATION</v>
          </cell>
          <cell r="C3303" t="str">
            <v>G. De O. Silva Ferramentas - Me</v>
          </cell>
          <cell r="D3303" t="str">
            <v>G.M. Ferramentas</v>
          </cell>
          <cell r="E3303" t="str">
            <v>BR_CNPJ</v>
          </cell>
          <cell r="F3303" t="str">
            <v>09.337.321/0001-50</v>
          </cell>
        </row>
        <row r="3304">
          <cell r="A3304">
            <v>34569</v>
          </cell>
          <cell r="B3304" t="str">
            <v>CORPORATION</v>
          </cell>
          <cell r="C3304" t="str">
            <v>Duzo &amp; Terrazan Comercio De Ferramentas Ltda. - Me</v>
          </cell>
          <cell r="D3304" t="str">
            <v>Itafer</v>
          </cell>
          <cell r="E3304" t="str">
            <v>BR_CNPJ</v>
          </cell>
          <cell r="F3304" t="str">
            <v>18.886.123/0001-37</v>
          </cell>
        </row>
        <row r="3305">
          <cell r="A3305">
            <v>34572</v>
          </cell>
          <cell r="B3305" t="str">
            <v>CORPORATION</v>
          </cell>
          <cell r="C3305" t="str">
            <v>Soldaforte Comercio De Maquinas E Equipamentos Eireli - Me</v>
          </cell>
          <cell r="D3305" t="str">
            <v>Soldaforte</v>
          </cell>
          <cell r="E3305" t="str">
            <v>BR_CNPJ</v>
          </cell>
          <cell r="F3305" t="str">
            <v>17.214.106/0001-90</v>
          </cell>
        </row>
        <row r="3306">
          <cell r="A3306">
            <v>34577</v>
          </cell>
          <cell r="B3306" t="str">
            <v>CORPORATION</v>
          </cell>
          <cell r="C3306" t="str">
            <v>Jose Ferreira Dos Santos Neto Acessorios - Me</v>
          </cell>
          <cell r="D3306" t="str">
            <v>Bazar E Acessorios Cidade Nova</v>
          </cell>
          <cell r="E3306" t="str">
            <v>BR_CNPJ</v>
          </cell>
          <cell r="F3306" t="str">
            <v>18.732.346/0001-40</v>
          </cell>
        </row>
        <row r="3307">
          <cell r="A3307">
            <v>34584</v>
          </cell>
          <cell r="B3307" t="str">
            <v>CORPORATION</v>
          </cell>
          <cell r="C3307" t="str">
            <v>Cooperativa Dos Plantadores De Cana Do Estado Sao Paulo</v>
          </cell>
          <cell r="D3307" t="str">
            <v>Coplacana (Taquarituba)</v>
          </cell>
          <cell r="E3307" t="str">
            <v>BR_CNPJ</v>
          </cell>
          <cell r="F3307" t="str">
            <v>54.366.547/0044-74</v>
          </cell>
          <cell r="G3307" t="str">
            <v>COPLACANA</v>
          </cell>
        </row>
        <row r="3308">
          <cell r="A3308">
            <v>34585</v>
          </cell>
          <cell r="B3308" t="str">
            <v>CORPORATION</v>
          </cell>
          <cell r="C3308" t="str">
            <v>Takahashi Comercio De Ferramentas Eireli - Me</v>
          </cell>
          <cell r="D3308" t="str">
            <v>Takahashi Comercio De Ferramentas</v>
          </cell>
          <cell r="E3308" t="str">
            <v>BR_CNPJ</v>
          </cell>
          <cell r="F3308" t="str">
            <v>18.936.787/0001-63</v>
          </cell>
        </row>
        <row r="3309">
          <cell r="A3309">
            <v>34586</v>
          </cell>
          <cell r="B3309" t="str">
            <v>CORPORATION</v>
          </cell>
          <cell r="C3309" t="str">
            <v>Polar Maquinas E Motores Ltda. E P P</v>
          </cell>
          <cell r="D3309" t="str">
            <v>Polar Maquinas E Motores Ltda. E P P</v>
          </cell>
          <cell r="E3309" t="str">
            <v>BR_CNPJ</v>
          </cell>
          <cell r="F3309" t="str">
            <v>54.229.398/0001-61</v>
          </cell>
        </row>
        <row r="3310">
          <cell r="A3310">
            <v>34587</v>
          </cell>
          <cell r="B3310" t="str">
            <v>CORPORATION</v>
          </cell>
          <cell r="C3310" t="str">
            <v>Rj Utilidades Para O Lar Eireli</v>
          </cell>
          <cell r="D3310" t="str">
            <v>Rj Comercial</v>
          </cell>
          <cell r="E3310" t="str">
            <v>BR_CNPJ</v>
          </cell>
          <cell r="F3310" t="str">
            <v>18.029.380/0001-52</v>
          </cell>
        </row>
        <row r="3311">
          <cell r="A3311">
            <v>34588</v>
          </cell>
          <cell r="B3311" t="str">
            <v>CORPORATION</v>
          </cell>
          <cell r="C3311" t="str">
            <v>Ferragista Nossa Senhora Da Luz Ltda</v>
          </cell>
          <cell r="D3311" t="str">
            <v>Ferragista Nossa Senhora Da Luz</v>
          </cell>
          <cell r="E3311" t="str">
            <v>BR_CNPJ</v>
          </cell>
          <cell r="F3311" t="str">
            <v>41.792.406/0001-31</v>
          </cell>
        </row>
        <row r="3312">
          <cell r="A3312">
            <v>34589</v>
          </cell>
          <cell r="B3312" t="str">
            <v>CORPORATION</v>
          </cell>
          <cell r="C3312" t="str">
            <v>Aloisio Felippe Antunes - Me</v>
          </cell>
          <cell r="D3312" t="str">
            <v>Aloisio Felippe Antunes - Me</v>
          </cell>
          <cell r="E3312" t="str">
            <v>BR_CNPJ</v>
          </cell>
          <cell r="F3312" t="str">
            <v>09.305.572/0001-53</v>
          </cell>
        </row>
        <row r="3313">
          <cell r="A3313">
            <v>34590</v>
          </cell>
          <cell r="B3313" t="str">
            <v>CORPORATION</v>
          </cell>
          <cell r="C3313" t="str">
            <v>Avantiline Comercio De Maquinas E Ferramentas Eireli</v>
          </cell>
          <cell r="D3313" t="str">
            <v>Avantiline Comercio De Maquinas E Ferramentas Eireli</v>
          </cell>
          <cell r="E3313" t="str">
            <v>BR_CNPJ</v>
          </cell>
          <cell r="F3313" t="str">
            <v>23.616.214/0001-92</v>
          </cell>
        </row>
        <row r="3314">
          <cell r="A3314">
            <v>34591</v>
          </cell>
          <cell r="B3314" t="str">
            <v>CORPORATION</v>
          </cell>
          <cell r="C3314" t="str">
            <v>Flexmang Comercio De Mangueiras E Pecas Ltda - Me</v>
          </cell>
          <cell r="D3314" t="str">
            <v>Flexmang Comercio De Mangueiras</v>
          </cell>
          <cell r="E3314" t="str">
            <v>BR_CNPJ</v>
          </cell>
          <cell r="F3314" t="str">
            <v>00.780.447/0001-20</v>
          </cell>
        </row>
        <row r="3315">
          <cell r="A3315">
            <v>34592</v>
          </cell>
          <cell r="B3315" t="str">
            <v>CORPORATION</v>
          </cell>
          <cell r="C3315" t="str">
            <v>R. B. C. Comercio De Maquinas E Ferramentas Ltda</v>
          </cell>
          <cell r="D3315" t="str">
            <v>R. B. Coimbra Comercio De Maquinas E Ferramentas Ltda</v>
          </cell>
          <cell r="E3315" t="str">
            <v>BR_CNPJ</v>
          </cell>
          <cell r="F3315" t="str">
            <v>50.304.627/0001-04</v>
          </cell>
          <cell r="G3315" t="str">
            <v>R. B. COIMBRA</v>
          </cell>
        </row>
        <row r="3316">
          <cell r="A3316">
            <v>34594</v>
          </cell>
          <cell r="B3316" t="str">
            <v>CORPORATION</v>
          </cell>
          <cell r="C3316" t="str">
            <v>Jose Kiyoshi Yamahashi Sao Miguel Arcanjo - Me</v>
          </cell>
          <cell r="D3316" t="str">
            <v>Agro Daeki Yamahashi Pecas E Implementos Agricolas</v>
          </cell>
          <cell r="E3316" t="str">
            <v>BR_CNPJ</v>
          </cell>
          <cell r="F3316" t="str">
            <v>02.947.540/0001-02</v>
          </cell>
        </row>
        <row r="3317">
          <cell r="A3317">
            <v>34597</v>
          </cell>
          <cell r="B3317" t="str">
            <v>CORPORATION</v>
          </cell>
          <cell r="C3317" t="str">
            <v>Maia Comercio De Materiais Para Construcao Pilar Do Sul Ltda</v>
          </cell>
          <cell r="D3317" t="str">
            <v>Maia Comercio De Materiais Para Construcao Pilar Do Sul</v>
          </cell>
          <cell r="E3317" t="str">
            <v>BR_CNPJ</v>
          </cell>
          <cell r="F3317" t="str">
            <v>12.415.374/0001-57</v>
          </cell>
        </row>
        <row r="3318">
          <cell r="A3318">
            <v>34600</v>
          </cell>
          <cell r="B3318" t="str">
            <v>CORPORATION</v>
          </cell>
          <cell r="C3318" t="str">
            <v>M. J. Holtz Pesce - Me</v>
          </cell>
          <cell r="D3318" t="str">
            <v>Marcelinho Materiais Eletricos E Eletronicos</v>
          </cell>
          <cell r="E3318" t="str">
            <v>BR_CNPJ</v>
          </cell>
          <cell r="F3318" t="str">
            <v>00.014.708/0001-00</v>
          </cell>
        </row>
        <row r="3319">
          <cell r="A3319">
            <v>34604</v>
          </cell>
          <cell r="B3319" t="str">
            <v>CORPORATION</v>
          </cell>
          <cell r="C3319" t="str">
            <v>Capal Cooperativa Agroindustrial</v>
          </cell>
          <cell r="D3319" t="str">
            <v>Capal Cooperativa Agroindustrial</v>
          </cell>
          <cell r="E3319" t="str">
            <v>BR_CNPJ</v>
          </cell>
          <cell r="F3319" t="str">
            <v>78.320.397/0001-96</v>
          </cell>
        </row>
        <row r="3320">
          <cell r="A3320">
            <v>34607</v>
          </cell>
          <cell r="B3320" t="str">
            <v>CORPORATION</v>
          </cell>
          <cell r="C3320" t="str">
            <v>Lucasfer - Comercio E Industria Ltda</v>
          </cell>
          <cell r="D3320" t="str">
            <v>Lucasfer</v>
          </cell>
          <cell r="E3320" t="str">
            <v>BR_CNPJ</v>
          </cell>
          <cell r="F3320" t="str">
            <v>03.252.465/0001-28</v>
          </cell>
        </row>
        <row r="3321">
          <cell r="A3321">
            <v>34610</v>
          </cell>
          <cell r="B3321" t="str">
            <v>CORPORATION</v>
          </cell>
          <cell r="C3321" t="str">
            <v>Laercio Benedito Mendes - Me</v>
          </cell>
          <cell r="D3321" t="str">
            <v>L M Comercial</v>
          </cell>
          <cell r="E3321" t="str">
            <v>BR_CNPJ</v>
          </cell>
          <cell r="F3321" t="str">
            <v>05.514.293/0001-49</v>
          </cell>
        </row>
        <row r="3322">
          <cell r="A3322">
            <v>34619</v>
          </cell>
          <cell r="B3322" t="str">
            <v>CORPORATION</v>
          </cell>
          <cell r="C3322" t="str">
            <v>A.B.M.T. Equipamentos Eletricos - Eireli</v>
          </cell>
          <cell r="D3322" t="str">
            <v>A.B.M.T. (Açosil)</v>
          </cell>
          <cell r="E3322" t="str">
            <v>BR_CNPJ</v>
          </cell>
          <cell r="F3322" t="str">
            <v>17.820.873/0001-43</v>
          </cell>
        </row>
        <row r="3323">
          <cell r="A3323">
            <v>34622</v>
          </cell>
          <cell r="B3323" t="str">
            <v>CORPORATION</v>
          </cell>
          <cell r="C3323" t="str">
            <v>Ferramentas Mep Eireli</v>
          </cell>
          <cell r="D3323" t="str">
            <v>Ferramentas Mep</v>
          </cell>
          <cell r="E3323" t="str">
            <v>BR_CNPJ</v>
          </cell>
          <cell r="F3323" t="str">
            <v>04.445.008/0001-12</v>
          </cell>
          <cell r="G3323" t="str">
            <v>FERRAMENTAS MEP</v>
          </cell>
        </row>
        <row r="3324">
          <cell r="A3324">
            <v>34627</v>
          </cell>
          <cell r="B3324" t="str">
            <v>CORPORATION</v>
          </cell>
          <cell r="C3324" t="str">
            <v>Ferragista Moura Comercio De Materiais Para Construcao Ltda</v>
          </cell>
          <cell r="D3324" t="str">
            <v>Ferragista Moura</v>
          </cell>
          <cell r="E3324" t="str">
            <v>BR_CNPJ</v>
          </cell>
          <cell r="F3324" t="str">
            <v>24.620.329/0001-13</v>
          </cell>
        </row>
        <row r="3325">
          <cell r="A3325">
            <v>34628</v>
          </cell>
          <cell r="B3325" t="str">
            <v>CORPORATION</v>
          </cell>
          <cell r="C3325" t="str">
            <v>Loja Da Oficina Ferramentas Pecas E Assessorios Eireli</v>
          </cell>
          <cell r="D3325" t="str">
            <v>Loja Da Oficina</v>
          </cell>
          <cell r="E3325" t="str">
            <v>BR_CNPJ</v>
          </cell>
          <cell r="F3325" t="str">
            <v>42.479.505/0001-20</v>
          </cell>
        </row>
        <row r="3326">
          <cell r="A3326">
            <v>34629</v>
          </cell>
          <cell r="B3326" t="str">
            <v>CORPORATION</v>
          </cell>
          <cell r="C3326" t="str">
            <v>Diafer Eireli</v>
          </cell>
          <cell r="D3326" t="str">
            <v>Diafer Jaguariaiva</v>
          </cell>
          <cell r="E3326" t="str">
            <v>BR_CNPJ</v>
          </cell>
          <cell r="F3326" t="str">
            <v>04.798.677/0004-10</v>
          </cell>
          <cell r="G3326" t="str">
            <v>DIAFER</v>
          </cell>
        </row>
        <row r="3327">
          <cell r="A3327">
            <v>34638</v>
          </cell>
          <cell r="B3327" t="str">
            <v>CORPORATION</v>
          </cell>
          <cell r="C3327" t="str">
            <v>Thiago C. G. Ribeiro Comercio E Representacoes</v>
          </cell>
          <cell r="D3327" t="str">
            <v>Casa Do Mecanico</v>
          </cell>
          <cell r="E3327" t="str">
            <v>BR_CNPJ</v>
          </cell>
          <cell r="F3327" t="str">
            <v>28.926.292/0001-07</v>
          </cell>
        </row>
        <row r="3328">
          <cell r="A3328">
            <v>34643</v>
          </cell>
          <cell r="B3328" t="str">
            <v>CORPORATION</v>
          </cell>
          <cell r="C3328" t="str">
            <v>Meka Suprimentos Industriais E Eventos Ltda - Me</v>
          </cell>
          <cell r="D3328" t="str">
            <v>Meka Comercial E Eventos</v>
          </cell>
          <cell r="E3328" t="str">
            <v>BR_CNPJ</v>
          </cell>
          <cell r="F3328" t="str">
            <v>08.445.530/0001-55</v>
          </cell>
        </row>
        <row r="3329">
          <cell r="A3329">
            <v>34644</v>
          </cell>
          <cell r="B3329" t="str">
            <v>CORPORATION</v>
          </cell>
          <cell r="C3329" t="str">
            <v>King Eletro Comercio De Eletronicos Brasil Ltda</v>
          </cell>
          <cell r="D3329" t="str">
            <v>King Eletro Comercio De Eletronicos Brasil Ltda</v>
          </cell>
          <cell r="E3329" t="str">
            <v>BR_CNPJ</v>
          </cell>
          <cell r="F3329" t="str">
            <v>47.735.517/0001-92</v>
          </cell>
        </row>
        <row r="3330">
          <cell r="A3330">
            <v>34648</v>
          </cell>
          <cell r="B3330" t="str">
            <v>CORPORATION</v>
          </cell>
          <cell r="C3330" t="str">
            <v>18.873.475 Ronaldo Antonio Dias</v>
          </cell>
          <cell r="D3330" t="str">
            <v>Dias Maquinas</v>
          </cell>
          <cell r="E3330" t="str">
            <v>BR_CNPJ</v>
          </cell>
          <cell r="F3330" t="str">
            <v>18.873.475/0001-58</v>
          </cell>
        </row>
        <row r="3331">
          <cell r="A3331">
            <v>34655</v>
          </cell>
          <cell r="B3331" t="str">
            <v>CORPORATION</v>
          </cell>
          <cell r="C3331" t="str">
            <v>Paulo Henrique Padilha Da Silva - Me</v>
          </cell>
          <cell r="D3331" t="str">
            <v>Aloha Empresarial</v>
          </cell>
          <cell r="E3331" t="str">
            <v>BR_CNPJ</v>
          </cell>
          <cell r="F3331" t="str">
            <v>19.318.501/0001-49</v>
          </cell>
        </row>
        <row r="3332">
          <cell r="A3332">
            <v>34657</v>
          </cell>
          <cell r="B3332" t="str">
            <v>CORPORATION</v>
          </cell>
          <cell r="C3332" t="str">
            <v>Daniele Andrade Feitosa Ltda</v>
          </cell>
          <cell r="D3332" t="str">
            <v>Daniele Andrade Feitosa Ltda</v>
          </cell>
          <cell r="E3332" t="str">
            <v>BR_CNPJ</v>
          </cell>
          <cell r="F3332" t="str">
            <v>50.610.223/0001-49</v>
          </cell>
        </row>
        <row r="3333">
          <cell r="A3333">
            <v>34660</v>
          </cell>
          <cell r="B3333" t="str">
            <v>CORPORATION</v>
          </cell>
          <cell r="C3333" t="str">
            <v>A.F.H. Comercio E Servicos Tecnicos Ltda - Me</v>
          </cell>
          <cell r="D3333" t="str">
            <v>A.F.H.</v>
          </cell>
          <cell r="E3333" t="str">
            <v>BR_CNPJ</v>
          </cell>
          <cell r="F3333" t="str">
            <v>21.308.808/0001-00</v>
          </cell>
        </row>
        <row r="3334">
          <cell r="A3334">
            <v>34664</v>
          </cell>
          <cell r="B3334" t="str">
            <v>CORPORATION</v>
          </cell>
          <cell r="C3334" t="str">
            <v>Hypar Comercial Ltda</v>
          </cell>
          <cell r="D3334" t="str">
            <v>Hypar Comercial Ltda</v>
          </cell>
          <cell r="E3334" t="str">
            <v>BR_CNPJ</v>
          </cell>
          <cell r="F3334" t="str">
            <v>41.048.891/0001-33</v>
          </cell>
          <cell r="G3334" t="str">
            <v>HYPAR</v>
          </cell>
        </row>
        <row r="3335">
          <cell r="A3335">
            <v>34671</v>
          </cell>
          <cell r="B3335" t="str">
            <v>CORPORATION</v>
          </cell>
          <cell r="C3335" t="str">
            <v>Cimencam Distribuidora De Materiais Para Construcao Ltd</v>
          </cell>
          <cell r="D3335" t="str">
            <v>Cimencam Distribuidora De Materiais Para Construcao Ltd</v>
          </cell>
          <cell r="E3335" t="str">
            <v>BR_CNPJ</v>
          </cell>
          <cell r="F3335" t="str">
            <v>00.197.901/0001-15</v>
          </cell>
        </row>
        <row r="3336">
          <cell r="A3336">
            <v>34672</v>
          </cell>
          <cell r="B3336" t="str">
            <v>CORPORATION</v>
          </cell>
          <cell r="C3336" t="str">
            <v>A Gutierrez Comercio De Ferramentas Ltda</v>
          </cell>
          <cell r="D3336" t="str">
            <v>A Gutierrez</v>
          </cell>
          <cell r="E3336" t="str">
            <v>BR_CNPJ</v>
          </cell>
          <cell r="F3336" t="str">
            <v>47.687.744/0001-90</v>
          </cell>
          <cell r="G3336" t="str">
            <v>A. GUTIERREZ</v>
          </cell>
        </row>
        <row r="3337">
          <cell r="A3337">
            <v>34675</v>
          </cell>
          <cell r="B3337" t="str">
            <v>CORPORATION</v>
          </cell>
          <cell r="C3337" t="str">
            <v>Imperial Comercio De Soldas Ltda</v>
          </cell>
          <cell r="D3337" t="str">
            <v>Imperial Comercio De Soldas</v>
          </cell>
          <cell r="E3337" t="str">
            <v>BR_CNPJ</v>
          </cell>
          <cell r="F3337" t="str">
            <v>07.675.920/0001-59</v>
          </cell>
        </row>
        <row r="3338">
          <cell r="A3338">
            <v>34678</v>
          </cell>
          <cell r="B3338" t="str">
            <v>CORPORATION</v>
          </cell>
          <cell r="C3338" t="str">
            <v>Miurim Pereira Eletro Motores Ltda - Epp</v>
          </cell>
          <cell r="D3338" t="str">
            <v>Clv</v>
          </cell>
          <cell r="E3338" t="str">
            <v>BR_CNPJ</v>
          </cell>
          <cell r="F3338" t="str">
            <v>64.708.498/0001-24</v>
          </cell>
        </row>
        <row r="3339">
          <cell r="A3339">
            <v>34681</v>
          </cell>
          <cell r="B3339" t="str">
            <v>CORPORATION</v>
          </cell>
          <cell r="C3339" t="str">
            <v>Limep Comercial Ltda - Epp</v>
          </cell>
          <cell r="D3339" t="str">
            <v>Limep Comercial</v>
          </cell>
          <cell r="E3339" t="str">
            <v>BR_CNPJ</v>
          </cell>
          <cell r="F3339" t="str">
            <v>12.690.943/0001-72</v>
          </cell>
        </row>
        <row r="3340">
          <cell r="A3340">
            <v>34684</v>
          </cell>
          <cell r="B3340" t="str">
            <v>CORPORATION</v>
          </cell>
          <cell r="C3340" t="str">
            <v>J Camargo Comercio E Representacao Eireli - Me</v>
          </cell>
          <cell r="D3340" t="str">
            <v>J Camargo Comercio E Representacao</v>
          </cell>
          <cell r="E3340" t="str">
            <v>BR_CNPJ</v>
          </cell>
          <cell r="F3340" t="str">
            <v>04.489.194/0001-91</v>
          </cell>
        </row>
        <row r="3341">
          <cell r="A3341">
            <v>34687</v>
          </cell>
          <cell r="B3341" t="str">
            <v>CORPORATION</v>
          </cell>
          <cell r="C3341" t="str">
            <v>Giusepette &amp; Giusepette Ltda - Me</v>
          </cell>
          <cell r="D3341" t="str">
            <v>Giusepette &amp; Giusepette</v>
          </cell>
          <cell r="E3341" t="str">
            <v>BR_CNPJ</v>
          </cell>
          <cell r="F3341" t="str">
            <v>20.955.486/0001-29</v>
          </cell>
        </row>
        <row r="3342">
          <cell r="A3342">
            <v>34691</v>
          </cell>
          <cell r="B3342" t="str">
            <v>CORPORATION</v>
          </cell>
          <cell r="C3342" t="str">
            <v>Casa Dos Compressores E Lavadoras Ltda - Me</v>
          </cell>
          <cell r="D3342" t="str">
            <v>Casa Dos Compressores E Lavadoras</v>
          </cell>
          <cell r="E3342" t="str">
            <v>BR_CNPJ</v>
          </cell>
          <cell r="F3342" t="str">
            <v>20.949.831/0001-11</v>
          </cell>
        </row>
        <row r="3343">
          <cell r="A3343">
            <v>34694</v>
          </cell>
          <cell r="B3343" t="str">
            <v>CORPORATION</v>
          </cell>
          <cell r="C3343" t="str">
            <v>Onire Comercio, Importacao E Exportacao De Ferramentas Ltda - Me</v>
          </cell>
          <cell r="D3343" t="str">
            <v>Onire Comercio, Importacao E Exportacao De Ferramentas</v>
          </cell>
          <cell r="E3343" t="str">
            <v>BR_CNPJ</v>
          </cell>
          <cell r="F3343" t="str">
            <v>08.180.122/0001-19</v>
          </cell>
        </row>
        <row r="3344">
          <cell r="A3344">
            <v>34697</v>
          </cell>
          <cell r="B3344" t="str">
            <v>CORPORATION</v>
          </cell>
          <cell r="C3344" t="str">
            <v>F.R. Marques Ferramentas - Me</v>
          </cell>
          <cell r="D3344" t="str">
            <v>Sos Ferramentas</v>
          </cell>
          <cell r="E3344" t="str">
            <v>BR_CNPJ</v>
          </cell>
          <cell r="F3344" t="str">
            <v>22.694.433/0001-27</v>
          </cell>
        </row>
        <row r="3345">
          <cell r="A3345">
            <v>34701</v>
          </cell>
          <cell r="B3345" t="str">
            <v>CORPORATION</v>
          </cell>
          <cell r="C3345" t="str">
            <v>Atlantica Soldas Ltda - Me</v>
          </cell>
          <cell r="D3345" t="str">
            <v>Atlantica Soldas Ltda - Me</v>
          </cell>
          <cell r="E3345" t="str">
            <v>BR_CNPJ</v>
          </cell>
          <cell r="F3345" t="str">
            <v>05.074.464/0001-66</v>
          </cell>
        </row>
        <row r="3346">
          <cell r="A3346">
            <v>34705</v>
          </cell>
          <cell r="B3346" t="str">
            <v>CORPORATION</v>
          </cell>
          <cell r="C3346" t="str">
            <v>Duque Comercio De Ferramentas Ltda - Epp</v>
          </cell>
          <cell r="D3346" t="str">
            <v>Duque Comercio De Ferramentas</v>
          </cell>
          <cell r="E3346" t="str">
            <v>BR_CNPJ</v>
          </cell>
          <cell r="F3346" t="str">
            <v>78.470.200/0001-03</v>
          </cell>
        </row>
        <row r="3347">
          <cell r="A3347">
            <v>34708</v>
          </cell>
          <cell r="B3347" t="str">
            <v>CORPORATION</v>
          </cell>
          <cell r="C3347" t="str">
            <v>Primar-Net Instalacoes Eletricas E Informatica Ltda</v>
          </cell>
          <cell r="D3347" t="str">
            <v>Primar-Net Instalacoes Eletricas E Informatica</v>
          </cell>
          <cell r="E3347" t="str">
            <v>BR_CNPJ</v>
          </cell>
          <cell r="F3347" t="str">
            <v>05.293.104/0001-55</v>
          </cell>
        </row>
        <row r="3348">
          <cell r="A3348">
            <v>34718</v>
          </cell>
          <cell r="B3348" t="str">
            <v>CORPORATION</v>
          </cell>
          <cell r="C3348" t="str">
            <v>Valmir Rodrigues Materiais De Escritorio</v>
          </cell>
          <cell r="D3348" t="str">
            <v>Valmir Rodrigues Materiais De Escritorio</v>
          </cell>
          <cell r="E3348" t="str">
            <v>BR_CNPJ</v>
          </cell>
          <cell r="F3348" t="str">
            <v>15.130.756/0001-22</v>
          </cell>
        </row>
        <row r="3349">
          <cell r="A3349">
            <v>34720</v>
          </cell>
          <cell r="B3349" t="str">
            <v>CORPORATION</v>
          </cell>
          <cell r="C3349" t="str">
            <v>Eliane Aparecida Correa Da Silva - Me</v>
          </cell>
          <cell r="D3349" t="str">
            <v>A Casa Da Soldagem</v>
          </cell>
          <cell r="E3349" t="str">
            <v>BR_CNPJ</v>
          </cell>
          <cell r="F3349" t="str">
            <v>10.671.992/0001-32</v>
          </cell>
        </row>
        <row r="3350">
          <cell r="A3350">
            <v>34722</v>
          </cell>
          <cell r="B3350" t="str">
            <v>CORPORATION</v>
          </cell>
          <cell r="C3350" t="str">
            <v>Rbf Distribuidora E Servicos Eireli - Me</v>
          </cell>
          <cell r="D3350" t="str">
            <v>Rbf Distribuidora E Servicos</v>
          </cell>
          <cell r="E3350" t="str">
            <v>BR_CNPJ</v>
          </cell>
          <cell r="F3350" t="str">
            <v>11.031.398/0001-40</v>
          </cell>
        </row>
        <row r="3351">
          <cell r="A3351">
            <v>34724</v>
          </cell>
          <cell r="B3351" t="str">
            <v>CORPORATION</v>
          </cell>
          <cell r="C3351" t="str">
            <v>Equip Industrial Comercio De Equipamentos Ltda</v>
          </cell>
          <cell r="D3351" t="str">
            <v>Equip Industrial Comercio De Equipamentos Ltda</v>
          </cell>
          <cell r="E3351" t="str">
            <v>BR_CNPJ</v>
          </cell>
          <cell r="F3351" t="str">
            <v>05.772.773/0001-00</v>
          </cell>
        </row>
        <row r="3352">
          <cell r="A3352">
            <v>34726</v>
          </cell>
          <cell r="B3352" t="str">
            <v>CORPORATION</v>
          </cell>
          <cell r="C3352" t="str">
            <v>Aparecida Augusta Ferreira Barba - Me</v>
          </cell>
          <cell r="D3352" t="str">
            <v>Aparecida Augusta Ferreira Barba</v>
          </cell>
          <cell r="E3352" t="str">
            <v>BR_CNPJ</v>
          </cell>
          <cell r="F3352" t="str">
            <v>17.505.408/0001-18</v>
          </cell>
        </row>
        <row r="3353">
          <cell r="A3353">
            <v>34728</v>
          </cell>
          <cell r="B3353" t="str">
            <v>CORPORATION</v>
          </cell>
          <cell r="C3353" t="str">
            <v>Lumix Comercial Ltda</v>
          </cell>
          <cell r="D3353" t="str">
            <v>Lumix Comercial Varejista Ltda</v>
          </cell>
          <cell r="E3353" t="str">
            <v>BR_CNPJ</v>
          </cell>
          <cell r="F3353" t="str">
            <v>37.309.629/0001-28</v>
          </cell>
        </row>
        <row r="3354">
          <cell r="A3354">
            <v>34731</v>
          </cell>
          <cell r="B3354" t="str">
            <v>CORPORATION</v>
          </cell>
          <cell r="C3354" t="str">
            <v>Aprofissional Ferramentas Ltda</v>
          </cell>
          <cell r="D3354" t="str">
            <v>Aprofer</v>
          </cell>
          <cell r="E3354" t="str">
            <v>BR_CNPJ</v>
          </cell>
          <cell r="F3354" t="str">
            <v>15.207.513/0001-45</v>
          </cell>
        </row>
        <row r="3355">
          <cell r="A3355">
            <v>34732</v>
          </cell>
          <cell r="B3355" t="str">
            <v>CORPORATION</v>
          </cell>
          <cell r="C3355" t="str">
            <v>Santos Ferramentas E Suprimentos Ltda</v>
          </cell>
          <cell r="D3355" t="str">
            <v>Sanfer Ferramentas</v>
          </cell>
          <cell r="E3355" t="str">
            <v>BR_CNPJ</v>
          </cell>
          <cell r="F3355" t="str">
            <v>28.442.112/0001-11</v>
          </cell>
        </row>
        <row r="3356">
          <cell r="A3356">
            <v>34738</v>
          </cell>
          <cell r="B3356" t="str">
            <v>CORPORATION</v>
          </cell>
          <cell r="C3356" t="str">
            <v>Ebenezer Comercio De Pecas E Servicos Ltda - Me</v>
          </cell>
          <cell r="D3356" t="str">
            <v>Ebenezer Manutencao</v>
          </cell>
          <cell r="E3356" t="str">
            <v>BR_CNPJ</v>
          </cell>
          <cell r="F3356" t="str">
            <v>17.225.854/0001-79</v>
          </cell>
        </row>
        <row r="3357">
          <cell r="A3357">
            <v>34748</v>
          </cell>
          <cell r="B3357" t="str">
            <v>CORPORATION</v>
          </cell>
          <cell r="C3357" t="str">
            <v>Ferro E Aco 2 Irmaos Ltda - Me</v>
          </cell>
          <cell r="D3357" t="str">
            <v>Ferro E Aco 2 Irmaos</v>
          </cell>
          <cell r="E3357" t="str">
            <v>BR_CNPJ</v>
          </cell>
          <cell r="F3357" t="str">
            <v>19.017.000/0001-22</v>
          </cell>
        </row>
        <row r="3358">
          <cell r="A3358">
            <v>34754</v>
          </cell>
          <cell r="B3358" t="str">
            <v>CORPORATION</v>
          </cell>
          <cell r="C3358" t="str">
            <v>Perfil Rapido Mercantil Ltda - Epp</v>
          </cell>
          <cell r="D3358" t="str">
            <v>Perfil Metal Rapido</v>
          </cell>
          <cell r="E3358" t="str">
            <v>BR_CNPJ</v>
          </cell>
          <cell r="F3358" t="str">
            <v>19.177.860/0001-23</v>
          </cell>
        </row>
        <row r="3359">
          <cell r="A3359">
            <v>34757</v>
          </cell>
          <cell r="B3359" t="str">
            <v>CORPORATION</v>
          </cell>
          <cell r="C3359" t="str">
            <v>Josildo Herculano Dos Santos - Me</v>
          </cell>
          <cell r="D3359" t="str">
            <v>Josildo Herculano Dos Santos</v>
          </cell>
          <cell r="E3359" t="str">
            <v>BR_CNPJ</v>
          </cell>
          <cell r="F3359" t="str">
            <v>10.326.798/0001-10</v>
          </cell>
        </row>
        <row r="3360">
          <cell r="A3360">
            <v>34760</v>
          </cell>
          <cell r="B3360" t="str">
            <v>CORPORATION</v>
          </cell>
          <cell r="C3360" t="str">
            <v>Abel Batista Dos Santos 25380462898</v>
          </cell>
          <cell r="D3360" t="str">
            <v>Abel Batista Dos Santos</v>
          </cell>
          <cell r="E3360" t="str">
            <v>BR_CNPJ</v>
          </cell>
          <cell r="F3360" t="str">
            <v>13.957.934/0001-68</v>
          </cell>
        </row>
        <row r="3361">
          <cell r="A3361">
            <v>34768</v>
          </cell>
          <cell r="B3361" t="str">
            <v>CORPORATION</v>
          </cell>
          <cell r="C3361" t="str">
            <v>Deco Comercial De Ferramentas Ltda</v>
          </cell>
          <cell r="D3361" t="str">
            <v>Deco Comercial De Ferramentas</v>
          </cell>
          <cell r="E3361" t="str">
            <v>BR_CNPJ</v>
          </cell>
          <cell r="F3361" t="str">
            <v>67.400.127/0001-79</v>
          </cell>
        </row>
        <row r="3362">
          <cell r="A3362">
            <v>34773</v>
          </cell>
          <cell r="B3362" t="str">
            <v>CORPORATION</v>
          </cell>
          <cell r="C3362" t="str">
            <v>O Imperador Ribeiro &amp; Sanches Ferragens E Parafusos Ltda</v>
          </cell>
          <cell r="D3362" t="str">
            <v>O Imperador</v>
          </cell>
          <cell r="E3362" t="str">
            <v>BR_CNPJ</v>
          </cell>
          <cell r="F3362" t="str">
            <v>09.457.770/0001-32</v>
          </cell>
        </row>
        <row r="3363">
          <cell r="A3363">
            <v>34774</v>
          </cell>
          <cell r="B3363" t="str">
            <v>CORPORATION</v>
          </cell>
          <cell r="C3363" t="str">
            <v>R. M. Silveira &amp; Barros Ltda - Epp</v>
          </cell>
          <cell r="D3363" t="str">
            <v>Eletrobarros</v>
          </cell>
          <cell r="E3363" t="str">
            <v>BR_CNPJ</v>
          </cell>
          <cell r="F3363" t="str">
            <v>02.919.809/0001-47</v>
          </cell>
        </row>
        <row r="3364">
          <cell r="A3364">
            <v>34777</v>
          </cell>
          <cell r="B3364" t="str">
            <v>CORPORATION</v>
          </cell>
          <cell r="C3364" t="str">
            <v>Natalmaq Maquinas E Ferramentas Ltda</v>
          </cell>
          <cell r="D3364" t="str">
            <v>Natalmaq Maquinas E Ferramentas Ltda</v>
          </cell>
          <cell r="E3364" t="str">
            <v>BR_CNPJ</v>
          </cell>
          <cell r="F3364" t="str">
            <v>09.493.387/0001-30</v>
          </cell>
        </row>
        <row r="3365">
          <cell r="A3365">
            <v>34778</v>
          </cell>
          <cell r="B3365" t="str">
            <v>CORPORATION</v>
          </cell>
          <cell r="C3365" t="str">
            <v>Tavares &amp; Tavares Ferramentas Automotivas Ltda</v>
          </cell>
          <cell r="D3365" t="str">
            <v>Casa Do Mecanico</v>
          </cell>
          <cell r="E3365" t="str">
            <v>BR_CNPJ</v>
          </cell>
          <cell r="F3365" t="str">
            <v>02.282.582/0001-71</v>
          </cell>
        </row>
        <row r="3366">
          <cell r="A3366">
            <v>34781</v>
          </cell>
          <cell r="B3366" t="str">
            <v>CORPORATION</v>
          </cell>
          <cell r="C3366" t="str">
            <v>Manoel Dos Santos Lima 07850262409</v>
          </cell>
          <cell r="D3366" t="str">
            <v>Constrular</v>
          </cell>
          <cell r="E3366" t="str">
            <v>BR_CNPJ</v>
          </cell>
          <cell r="F3366" t="str">
            <v>20.379.124/0001-37</v>
          </cell>
        </row>
        <row r="3367">
          <cell r="A3367">
            <v>34784</v>
          </cell>
          <cell r="B3367" t="str">
            <v>CORPORATION</v>
          </cell>
          <cell r="C3367" t="str">
            <v>A.M. Da Silva Ferramentas - Me</v>
          </cell>
          <cell r="D3367" t="str">
            <v>Mak Santos</v>
          </cell>
          <cell r="E3367" t="str">
            <v>BR_CNPJ</v>
          </cell>
          <cell r="F3367" t="str">
            <v>22.807.063/0001-97</v>
          </cell>
          <cell r="G3367" t="str">
            <v>MAKSANTOS</v>
          </cell>
        </row>
        <row r="3368">
          <cell r="A3368">
            <v>34793</v>
          </cell>
          <cell r="B3368" t="str">
            <v>CORPORATION</v>
          </cell>
          <cell r="C3368" t="str">
            <v>Solda E Cia Comercio De Gases Consumiveis E Variedades Ltda</v>
          </cell>
          <cell r="D3368" t="str">
            <v>Solda &amp; Cia</v>
          </cell>
          <cell r="E3368" t="str">
            <v>BR_CNPJ</v>
          </cell>
          <cell r="F3368" t="str">
            <v>09.303.019/0001-81</v>
          </cell>
        </row>
        <row r="3369">
          <cell r="A3369">
            <v>34795</v>
          </cell>
          <cell r="B3369" t="str">
            <v>CORPORATION</v>
          </cell>
          <cell r="C3369" t="str">
            <v>Amazon Comercio De Ferragens E Servicos De Instalacao Ltda.</v>
          </cell>
          <cell r="D3369" t="str">
            <v>Amazon Comercio De Ferragens E Servicos De Instalacao Ltda.</v>
          </cell>
          <cell r="E3369" t="str">
            <v>BR_CNPJ</v>
          </cell>
          <cell r="F3369" t="str">
            <v>17.127.759/0002-13</v>
          </cell>
          <cell r="G3369" t="str">
            <v>AMAZON COMERCIAL</v>
          </cell>
        </row>
        <row r="3370">
          <cell r="A3370">
            <v>34800</v>
          </cell>
          <cell r="B3370" t="str">
            <v>CORPORATION</v>
          </cell>
          <cell r="C3370" t="str">
            <v>G. L. Bill &amp; Cia. Ltda.</v>
          </cell>
          <cell r="D3370" t="str">
            <v>Agrobill</v>
          </cell>
          <cell r="E3370" t="str">
            <v>BR_CNPJ</v>
          </cell>
          <cell r="F3370" t="str">
            <v>01.313.326/0001-31</v>
          </cell>
        </row>
        <row r="3371">
          <cell r="A3371">
            <v>34801</v>
          </cell>
          <cell r="B3371" t="str">
            <v>CORPORATION</v>
          </cell>
          <cell r="C3371" t="str">
            <v>Altis Comercial Ltda</v>
          </cell>
          <cell r="D3371" t="str">
            <v>Altis Comercial Ltda</v>
          </cell>
          <cell r="E3371" t="str">
            <v>BR_CNPJ</v>
          </cell>
          <cell r="F3371" t="str">
            <v>30.768.464/0001-03</v>
          </cell>
        </row>
        <row r="3372">
          <cell r="A3372">
            <v>34804</v>
          </cell>
          <cell r="B3372" t="str">
            <v>CORPORATION</v>
          </cell>
          <cell r="C3372" t="str">
            <v>Demil Distribuidora De Equipamentos E Materiais Industriais Ltda</v>
          </cell>
          <cell r="D3372" t="str">
            <v>Demil</v>
          </cell>
          <cell r="E3372" t="str">
            <v>BR_CNPJ</v>
          </cell>
          <cell r="F3372" t="str">
            <v>47.569.306/0001-27</v>
          </cell>
          <cell r="G3372" t="str">
            <v>DEMIL</v>
          </cell>
        </row>
        <row r="3373">
          <cell r="A3373">
            <v>34808</v>
          </cell>
          <cell r="B3373" t="str">
            <v>CORPORATION</v>
          </cell>
          <cell r="C3373" t="str">
            <v>Familia Mercatudo Sucatas E Transportes Ltda - Me</v>
          </cell>
          <cell r="D3373" t="str">
            <v>Familia Mercatudo</v>
          </cell>
          <cell r="E3373" t="str">
            <v>BR_CNPJ</v>
          </cell>
          <cell r="F3373" t="str">
            <v>61.431.037/0001-69</v>
          </cell>
        </row>
        <row r="3374">
          <cell r="A3374">
            <v>34811</v>
          </cell>
          <cell r="B3374" t="str">
            <v>CORPORATION</v>
          </cell>
          <cell r="C3374" t="str">
            <v>Vilalva E Cia Ltda - Epp</v>
          </cell>
          <cell r="D3374" t="str">
            <v>Casa Do Lavrador</v>
          </cell>
          <cell r="E3374" t="str">
            <v>BR_CNPJ</v>
          </cell>
          <cell r="F3374" t="str">
            <v>46.691.713/0001-40</v>
          </cell>
        </row>
        <row r="3375">
          <cell r="A3375">
            <v>34812</v>
          </cell>
          <cell r="B3375" t="str">
            <v>CORPORATION</v>
          </cell>
          <cell r="C3375" t="str">
            <v>R2m Distribuidora E Comercio Eireli</v>
          </cell>
          <cell r="D3375" t="str">
            <v>R2m Print</v>
          </cell>
          <cell r="E3375" t="str">
            <v>BR_CNPJ</v>
          </cell>
          <cell r="F3375" t="str">
            <v>26.735.216/0001-99</v>
          </cell>
        </row>
        <row r="3376">
          <cell r="A3376">
            <v>34814</v>
          </cell>
          <cell r="B3376" t="str">
            <v>CORPORATION</v>
          </cell>
          <cell r="C3376" t="str">
            <v>Claudia De Souza Lencioni Tintas - Me</v>
          </cell>
          <cell r="D3376" t="str">
            <v>Imperial Tintas</v>
          </cell>
          <cell r="E3376" t="str">
            <v>BR_CNPJ</v>
          </cell>
          <cell r="F3376" t="str">
            <v>07.683.727/0001-60</v>
          </cell>
        </row>
        <row r="3377">
          <cell r="A3377">
            <v>34817</v>
          </cell>
          <cell r="B3377" t="str">
            <v>CORPORATION</v>
          </cell>
          <cell r="C3377" t="str">
            <v>M. C. Ramos Filho Parafusos</v>
          </cell>
          <cell r="D3377" t="str">
            <v>M. R. Parafusos E Ferramentas</v>
          </cell>
          <cell r="E3377" t="str">
            <v>BR_CNPJ</v>
          </cell>
          <cell r="F3377" t="str">
            <v>07.569.276/0001-34</v>
          </cell>
        </row>
        <row r="3378">
          <cell r="A3378">
            <v>34819</v>
          </cell>
          <cell r="B3378" t="str">
            <v>CORPORATION</v>
          </cell>
          <cell r="C3378" t="str">
            <v>Maqloc Locacoes E Servicos Ltda</v>
          </cell>
          <cell r="D3378" t="str">
            <v>Maqloc Locacoes E Servicos Ltda</v>
          </cell>
          <cell r="E3378" t="str">
            <v>BR_CNPJ</v>
          </cell>
          <cell r="F3378" t="str">
            <v>10.498.052/0001-93</v>
          </cell>
        </row>
        <row r="3379">
          <cell r="A3379">
            <v>34820</v>
          </cell>
          <cell r="B3379" t="str">
            <v>CORPORATION</v>
          </cell>
          <cell r="C3379" t="str">
            <v>Rokemi Ltda - Epp</v>
          </cell>
          <cell r="D3379" t="str">
            <v>Tres Mosqueteiros Com. De Ferragens E Mat. P/ Const.</v>
          </cell>
          <cell r="E3379" t="str">
            <v>BR_CNPJ</v>
          </cell>
          <cell r="F3379" t="str">
            <v>05.124.550/0001-36</v>
          </cell>
        </row>
        <row r="3380">
          <cell r="A3380">
            <v>34825</v>
          </cell>
          <cell r="B3380" t="str">
            <v>CORPORATION</v>
          </cell>
          <cell r="C3380" t="str">
            <v>Sm Moveis Planejados Ltda</v>
          </cell>
          <cell r="D3380" t="str">
            <v>Sm Moveis Planejados</v>
          </cell>
          <cell r="E3380" t="str">
            <v>BR_CNPJ</v>
          </cell>
          <cell r="F3380" t="str">
            <v>45.635.985/0001-60</v>
          </cell>
        </row>
        <row r="3381">
          <cell r="A3381">
            <v>34827</v>
          </cell>
          <cell r="B3381" t="str">
            <v>CORPORATION</v>
          </cell>
          <cell r="C3381" t="str">
            <v>New Ferrojac Ltda - Epp</v>
          </cell>
          <cell r="D3381" t="str">
            <v>New Ferrojac</v>
          </cell>
          <cell r="E3381" t="str">
            <v>BR_CNPJ</v>
          </cell>
          <cell r="F3381" t="str">
            <v>13.413.312/0001-79</v>
          </cell>
        </row>
        <row r="3382">
          <cell r="A3382">
            <v>34839</v>
          </cell>
          <cell r="B3382" t="str">
            <v>CORPORATION</v>
          </cell>
          <cell r="C3382" t="str">
            <v>Wallace Pinto De Brito</v>
          </cell>
          <cell r="D3382" t="str">
            <v>Tremedal Multimarcas</v>
          </cell>
          <cell r="E3382" t="str">
            <v>BR_CNPJ</v>
          </cell>
          <cell r="F3382" t="str">
            <v>19.894.308/0001-56</v>
          </cell>
        </row>
        <row r="3383">
          <cell r="A3383">
            <v>34845</v>
          </cell>
          <cell r="B3383" t="str">
            <v>CORPORATION</v>
          </cell>
          <cell r="C3383" t="str">
            <v>Canal 100 Comercial Ltda - Me</v>
          </cell>
          <cell r="D3383" t="str">
            <v>Universo Ferramentas</v>
          </cell>
          <cell r="E3383" t="str">
            <v>BR_CNPJ</v>
          </cell>
          <cell r="F3383" t="str">
            <v>86.422.110/0001-67</v>
          </cell>
        </row>
        <row r="3384">
          <cell r="A3384">
            <v>34857</v>
          </cell>
          <cell r="B3384" t="str">
            <v>CORPORATION</v>
          </cell>
          <cell r="C3384" t="str">
            <v>Nandin Pecas E Acessorios Ltda</v>
          </cell>
          <cell r="D3384" t="str">
            <v>Nandin Pecas E Acessorios</v>
          </cell>
          <cell r="E3384" t="str">
            <v>BR_CNPJ</v>
          </cell>
          <cell r="F3384" t="str">
            <v>34.081.621/0001-69</v>
          </cell>
        </row>
        <row r="3385">
          <cell r="A3385">
            <v>34863</v>
          </cell>
          <cell r="B3385" t="str">
            <v>CORPORATION</v>
          </cell>
          <cell r="C3385" t="str">
            <v>Nacarato &amp; Terribile Ltda</v>
          </cell>
          <cell r="D3385" t="str">
            <v>Ferralto - Ferragens</v>
          </cell>
          <cell r="E3385" t="str">
            <v>BR_CNPJ</v>
          </cell>
          <cell r="F3385" t="str">
            <v>08.841.594/0001-75</v>
          </cell>
        </row>
        <row r="3386">
          <cell r="A3386">
            <v>34866</v>
          </cell>
          <cell r="B3386" t="str">
            <v>CORPORATION</v>
          </cell>
          <cell r="C3386" t="str">
            <v>Maria Aparecida Nogueira</v>
          </cell>
          <cell r="D3386" t="str">
            <v>2 Irmas Material De Construcao</v>
          </cell>
          <cell r="E3386" t="str">
            <v>BR_CNPJ</v>
          </cell>
          <cell r="F3386" t="str">
            <v>08.676.144/0001-74</v>
          </cell>
        </row>
        <row r="3387">
          <cell r="A3387">
            <v>34872</v>
          </cell>
          <cell r="B3387" t="str">
            <v>CORPORATION</v>
          </cell>
          <cell r="C3387" t="str">
            <v>Dispavel Distribuidora De Parafusos Cascavel Ltda.</v>
          </cell>
          <cell r="D3387" t="str">
            <v>Dispavel</v>
          </cell>
          <cell r="E3387" t="str">
            <v>BR_CNPJ</v>
          </cell>
          <cell r="F3387" t="str">
            <v>08.975.491/0001-06</v>
          </cell>
        </row>
        <row r="3388">
          <cell r="A3388">
            <v>34873</v>
          </cell>
          <cell r="B3388" t="str">
            <v>CORPORATION</v>
          </cell>
          <cell r="C3388" t="str">
            <v>Zimba Comercio De Maquinas E Equipamentos Ltda - Me</v>
          </cell>
          <cell r="D3388" t="str">
            <v>Zimba Atacadista</v>
          </cell>
          <cell r="E3388" t="str">
            <v>BR_CNPJ</v>
          </cell>
          <cell r="F3388" t="str">
            <v>20.958.488/0001-71</v>
          </cell>
        </row>
        <row r="3389">
          <cell r="A3389">
            <v>34876</v>
          </cell>
          <cell r="B3389" t="str">
            <v>CORPORATION</v>
          </cell>
          <cell r="C3389" t="str">
            <v>Multi Soldas E Abrasivos Ltda</v>
          </cell>
          <cell r="D3389" t="str">
            <v>Multi Soldas E Abrasivos Ltda</v>
          </cell>
          <cell r="E3389" t="str">
            <v>BR_CNPJ</v>
          </cell>
          <cell r="F3389" t="str">
            <v>62.295.753/0001-29</v>
          </cell>
        </row>
        <row r="3390">
          <cell r="A3390">
            <v>34879</v>
          </cell>
          <cell r="B3390" t="str">
            <v>CORPORATION</v>
          </cell>
          <cell r="C3390" t="str">
            <v>Acos Castro Comercio Importacao E Exportacao Ltda - Epp</v>
          </cell>
          <cell r="D3390" t="str">
            <v>Acos Castro</v>
          </cell>
          <cell r="E3390" t="str">
            <v>BR_CNPJ</v>
          </cell>
          <cell r="F3390" t="str">
            <v>15.612.425/0001-29</v>
          </cell>
        </row>
        <row r="3391">
          <cell r="A3391">
            <v>34885</v>
          </cell>
          <cell r="B3391" t="str">
            <v>CORPORATION</v>
          </cell>
          <cell r="C3391" t="str">
            <v>Spirandelli Comercio De Tintas Ltda - Me</v>
          </cell>
          <cell r="D3391" t="str">
            <v>Spirandelli Comercio De Tintas</v>
          </cell>
          <cell r="E3391" t="str">
            <v>BR_CNPJ</v>
          </cell>
          <cell r="F3391" t="str">
            <v>61.581.237/0001-06</v>
          </cell>
        </row>
        <row r="3392">
          <cell r="A3392">
            <v>34888</v>
          </cell>
          <cell r="B3392" t="str">
            <v>CORPORATION</v>
          </cell>
          <cell r="C3392" t="str">
            <v>Reflora Comercio De Produtos Agricolas Ltda - Me</v>
          </cell>
          <cell r="D3392" t="str">
            <v>Reflora</v>
          </cell>
          <cell r="E3392" t="str">
            <v>BR_CNPJ</v>
          </cell>
          <cell r="F3392" t="str">
            <v>15.732.854/0001-30</v>
          </cell>
        </row>
        <row r="3393">
          <cell r="A3393">
            <v>34894</v>
          </cell>
          <cell r="B3393" t="str">
            <v>CORPORATION</v>
          </cell>
          <cell r="C3393" t="str">
            <v>Oxibam Comercio De Gases E Equipamentos Ltda - Epp</v>
          </cell>
          <cell r="D3393" t="str">
            <v>Oxibam</v>
          </cell>
          <cell r="E3393" t="str">
            <v>BR_CNPJ</v>
          </cell>
          <cell r="F3393" t="str">
            <v>16.670.844/0001-80</v>
          </cell>
        </row>
        <row r="3394">
          <cell r="A3394">
            <v>34895</v>
          </cell>
          <cell r="B3394" t="str">
            <v>CORPORATION</v>
          </cell>
          <cell r="C3394" t="str">
            <v>Nortel Suprimentos Industriais Ltda</v>
          </cell>
          <cell r="D3394" t="str">
            <v>Nortel</v>
          </cell>
          <cell r="E3394" t="str">
            <v>BR_CNPJ</v>
          </cell>
          <cell r="F3394" t="str">
            <v>46.044.053/0012-68</v>
          </cell>
          <cell r="G3394" t="str">
            <v>NORTEL</v>
          </cell>
        </row>
        <row r="3395">
          <cell r="A3395">
            <v>34904</v>
          </cell>
          <cell r="B3395" t="str">
            <v>CORPORATION</v>
          </cell>
          <cell r="C3395" t="str">
            <v>Ramos &amp; Macedo &amp; Cia Ltda</v>
          </cell>
          <cell r="D3395" t="str">
            <v>Casa Do Agricultor</v>
          </cell>
          <cell r="E3395" t="str">
            <v>BR_CNPJ</v>
          </cell>
          <cell r="F3395" t="str">
            <v>41.136.730/0001-00</v>
          </cell>
        </row>
        <row r="3396">
          <cell r="A3396">
            <v>34909</v>
          </cell>
          <cell r="B3396" t="str">
            <v>CORPORATION</v>
          </cell>
          <cell r="C3396" t="str">
            <v>M C G Lobato - Me</v>
          </cell>
          <cell r="D3396" t="str">
            <v>Marnautika</v>
          </cell>
          <cell r="E3396" t="str">
            <v>BR_CNPJ</v>
          </cell>
          <cell r="F3396" t="str">
            <v>17.901.936/0001-96</v>
          </cell>
        </row>
        <row r="3397">
          <cell r="A3397">
            <v>34912</v>
          </cell>
          <cell r="B3397" t="str">
            <v>CORPORATION</v>
          </cell>
          <cell r="C3397" t="str">
            <v>Sigma Comercial Eletrica Ltda</v>
          </cell>
          <cell r="D3397" t="str">
            <v>Sigma</v>
          </cell>
          <cell r="E3397" t="str">
            <v>BR_CNPJ</v>
          </cell>
          <cell r="F3397" t="str">
            <v>05.773.413/0001-22</v>
          </cell>
        </row>
        <row r="3398">
          <cell r="A3398">
            <v>34915</v>
          </cell>
          <cell r="B3398" t="str">
            <v>CORPORATION</v>
          </cell>
          <cell r="C3398" t="str">
            <v>Amaral Ferramentas Itauna Ltda</v>
          </cell>
          <cell r="D3398" t="str">
            <v>Edimak Distribuidora</v>
          </cell>
          <cell r="E3398" t="str">
            <v>BR_CNPJ</v>
          </cell>
          <cell r="F3398" t="str">
            <v>19.685.219/0001-08</v>
          </cell>
        </row>
        <row r="3399">
          <cell r="A3399">
            <v>34918</v>
          </cell>
          <cell r="B3399" t="str">
            <v>CORPORATION</v>
          </cell>
          <cell r="C3399" t="str">
            <v>Comercial Macedo Ltda - Me</v>
          </cell>
          <cell r="D3399" t="str">
            <v>Agro Ferragens</v>
          </cell>
          <cell r="E3399" t="str">
            <v>BR_CNPJ</v>
          </cell>
          <cell r="F3399" t="str">
            <v>03.014.241/0001-88</v>
          </cell>
        </row>
        <row r="3400">
          <cell r="A3400">
            <v>34920</v>
          </cell>
          <cell r="B3400" t="str">
            <v>CORPORATION</v>
          </cell>
          <cell r="C3400" t="str">
            <v>Controle Industria E Comercio De Materiais Eletricos Ltda</v>
          </cell>
          <cell r="D3400" t="str">
            <v>Eletro Transol Tecnologia</v>
          </cell>
          <cell r="E3400" t="str">
            <v>BR_CNPJ</v>
          </cell>
          <cell r="F3400" t="str">
            <v>10.489.368/0006-23</v>
          </cell>
        </row>
        <row r="3401">
          <cell r="A3401">
            <v>34924</v>
          </cell>
          <cell r="B3401" t="str">
            <v>CORPORATION</v>
          </cell>
          <cell r="C3401" t="str">
            <v>Digiplus Tecnologia Ltda - Epp</v>
          </cell>
          <cell r="D3401" t="str">
            <v>Digiplus</v>
          </cell>
          <cell r="E3401" t="str">
            <v>BR_CNPJ</v>
          </cell>
          <cell r="F3401" t="str">
            <v>00.478.911/0001-29</v>
          </cell>
        </row>
        <row r="3402">
          <cell r="A3402">
            <v>34926</v>
          </cell>
          <cell r="B3402" t="str">
            <v>CORPORATION</v>
          </cell>
          <cell r="C3402" t="str">
            <v>Nrm Marataizes Aluguel De Equipamentos Ltda</v>
          </cell>
          <cell r="D3402" t="str">
            <v>Casa Do Construtor Marataizes</v>
          </cell>
          <cell r="E3402" t="str">
            <v>BR_CNPJ</v>
          </cell>
          <cell r="F3402" t="str">
            <v>30.182.833/0001-81</v>
          </cell>
        </row>
        <row r="3403">
          <cell r="A3403">
            <v>34927</v>
          </cell>
          <cell r="B3403" t="str">
            <v>CORPORATION</v>
          </cell>
          <cell r="C3403" t="str">
            <v>Gac Comercio De Revestimentos E Servicos Ltda - Me</v>
          </cell>
          <cell r="D3403" t="str">
            <v>O Borrachão</v>
          </cell>
          <cell r="E3403" t="str">
            <v>BR_CNPJ</v>
          </cell>
          <cell r="F3403" t="str">
            <v>20.389.754/0001-92</v>
          </cell>
        </row>
        <row r="3404">
          <cell r="A3404">
            <v>34931</v>
          </cell>
          <cell r="B3404" t="str">
            <v>CORPORATION</v>
          </cell>
          <cell r="C3404" t="str">
            <v>Casa Bueno Maquinas E Ferramentas Ltda</v>
          </cell>
          <cell r="D3404" t="str">
            <v>Casa Bueno Maquinas E Ferramentas Ltda</v>
          </cell>
          <cell r="E3404" t="str">
            <v>BR_CNPJ</v>
          </cell>
          <cell r="F3404" t="str">
            <v>37.597.855/0001-51</v>
          </cell>
        </row>
        <row r="3405">
          <cell r="A3405">
            <v>34934</v>
          </cell>
          <cell r="B3405" t="str">
            <v>CORPORATION</v>
          </cell>
          <cell r="C3405" t="str">
            <v>Inovaseg Comercial De Equipamentos E Servicos Ltda.</v>
          </cell>
          <cell r="D3405" t="str">
            <v>Inovaseg Comercial De Equipamentos E Servicos Ltda</v>
          </cell>
          <cell r="E3405" t="str">
            <v>BR_CNPJ</v>
          </cell>
          <cell r="F3405" t="str">
            <v>37.207.553/0001-20</v>
          </cell>
          <cell r="G3405" t="str">
            <v>SOUZA ALVES $ CIA</v>
          </cell>
        </row>
        <row r="3406">
          <cell r="A3406">
            <v>34940</v>
          </cell>
          <cell r="B3406" t="str">
            <v>CORPORATION</v>
          </cell>
          <cell r="C3406" t="str">
            <v>52.056.810 Aldair Wilkerson Carvalho Dos Santos</v>
          </cell>
          <cell r="D3406" t="str">
            <v>Artec</v>
          </cell>
          <cell r="E3406" t="str">
            <v>BR_CNPJ</v>
          </cell>
          <cell r="F3406" t="str">
            <v>52.056.810/0001-63</v>
          </cell>
        </row>
        <row r="3407">
          <cell r="A3407">
            <v>34942</v>
          </cell>
          <cell r="B3407" t="str">
            <v>CORPORATION</v>
          </cell>
          <cell r="C3407" t="str">
            <v>Porca &amp; Tal Comercial Ltda - Me</v>
          </cell>
          <cell r="D3407" t="str">
            <v>Porca &amp; Tal</v>
          </cell>
          <cell r="E3407" t="str">
            <v>BR_CNPJ</v>
          </cell>
          <cell r="F3407" t="str">
            <v>11.721.978/0001-69</v>
          </cell>
        </row>
        <row r="3408">
          <cell r="A3408">
            <v>34943</v>
          </cell>
          <cell r="B3408" t="str">
            <v>CORPORATION</v>
          </cell>
          <cell r="C3408" t="str">
            <v>Hidrochagas Compressores Ltda</v>
          </cell>
          <cell r="D3408" t="str">
            <v>Hidrochagas</v>
          </cell>
          <cell r="E3408" t="str">
            <v>BR_CNPJ</v>
          </cell>
          <cell r="F3408" t="str">
            <v>01.188.508/0001-28</v>
          </cell>
          <cell r="G3408" t="str">
            <v>HIDROCHAGAS</v>
          </cell>
        </row>
        <row r="3409">
          <cell r="A3409">
            <v>34945</v>
          </cell>
          <cell r="B3409" t="str">
            <v>CORPORATION</v>
          </cell>
          <cell r="C3409" t="str">
            <v>F. C. Simoes Comercial Ltda</v>
          </cell>
          <cell r="D3409" t="str">
            <v>F. C. Simoes Comercial</v>
          </cell>
          <cell r="E3409" t="str">
            <v>BR_CNPJ</v>
          </cell>
          <cell r="F3409" t="str">
            <v>46.363.123/0001-98</v>
          </cell>
        </row>
        <row r="3410">
          <cell r="A3410">
            <v>34951</v>
          </cell>
          <cell r="B3410" t="str">
            <v>CORPORATION</v>
          </cell>
          <cell r="C3410" t="str">
            <v>L A G Machioli Comercio E Importacao De Ferramentas</v>
          </cell>
          <cell r="D3410" t="str">
            <v>Solpafe</v>
          </cell>
          <cell r="E3410" t="str">
            <v>BR_CNPJ</v>
          </cell>
          <cell r="F3410" t="str">
            <v>21.069.821/0001-54</v>
          </cell>
          <cell r="G3410" t="str">
            <v>SOLPAFE</v>
          </cell>
        </row>
        <row r="3411">
          <cell r="A3411">
            <v>34955</v>
          </cell>
          <cell r="B3411" t="str">
            <v>CORPORATION</v>
          </cell>
          <cell r="C3411" t="str">
            <v>Van Der Maas Comercio De Materiais De Construcao Ltda - Me</v>
          </cell>
          <cell r="D3411" t="str">
            <v>Terra Nova Material De Construcao</v>
          </cell>
          <cell r="E3411" t="str">
            <v>BR_CNPJ</v>
          </cell>
          <cell r="F3411" t="str">
            <v>06.169.218/0001-50</v>
          </cell>
        </row>
        <row r="3412">
          <cell r="A3412">
            <v>34962</v>
          </cell>
          <cell r="B3412" t="str">
            <v>CORPORATION</v>
          </cell>
          <cell r="C3412" t="str">
            <v>Epi E Cia Ltda</v>
          </cell>
          <cell r="D3412" t="str">
            <v>Epi E Companhia</v>
          </cell>
          <cell r="E3412" t="str">
            <v>BR_CNPJ</v>
          </cell>
          <cell r="F3412" t="str">
            <v>30.640.597/0001-08</v>
          </cell>
        </row>
        <row r="3413">
          <cell r="A3413">
            <v>34965</v>
          </cell>
          <cell r="B3413" t="str">
            <v>CORPORATION</v>
          </cell>
          <cell r="C3413" t="str">
            <v>Airgas Brasil Representacao Comercial Ltda</v>
          </cell>
          <cell r="D3413" t="str">
            <v>Airgas Brasil Representacao Comercial Ltda</v>
          </cell>
          <cell r="E3413" t="str">
            <v>BR_CNPJ</v>
          </cell>
          <cell r="F3413" t="str">
            <v>24.353.034/0001-28</v>
          </cell>
          <cell r="G3413" t="str">
            <v>OXIGENIO JUNDIAI</v>
          </cell>
        </row>
        <row r="3414">
          <cell r="A3414">
            <v>34969</v>
          </cell>
          <cell r="B3414" t="str">
            <v>CORPORATION</v>
          </cell>
          <cell r="C3414" t="str">
            <v>Kairos Comercio E Servicos Eletronicos Ltda</v>
          </cell>
          <cell r="D3414" t="str">
            <v>Kairos Comercio E Servicos Eletronicos Ltda</v>
          </cell>
          <cell r="E3414" t="str">
            <v>BR_CNPJ</v>
          </cell>
          <cell r="F3414" t="str">
            <v>29.759.526/0001-31</v>
          </cell>
        </row>
        <row r="3415">
          <cell r="A3415">
            <v>34976</v>
          </cell>
          <cell r="B3415" t="str">
            <v>CORPORATION</v>
          </cell>
          <cell r="C3415" t="str">
            <v>Ths Comercio E Assistencia Tecnica Ltda. - Me</v>
          </cell>
          <cell r="D3415" t="str">
            <v>Ths Comercio E Assistencia Tecnica</v>
          </cell>
          <cell r="E3415" t="str">
            <v>BR_CNPJ</v>
          </cell>
          <cell r="F3415" t="str">
            <v>67.879.197/0001-51</v>
          </cell>
        </row>
        <row r="3416">
          <cell r="A3416">
            <v>34980</v>
          </cell>
          <cell r="B3416" t="str">
            <v>CORPORATION</v>
          </cell>
          <cell r="C3416" t="str">
            <v>Fera Atac De Mat Eletr Hidraulicos E Ferragens Ltda</v>
          </cell>
          <cell r="D3416" t="str">
            <v>Fera Atacado (Matriz)</v>
          </cell>
          <cell r="E3416" t="str">
            <v>BR_CNPJ</v>
          </cell>
          <cell r="F3416" t="str">
            <v>00.288.671/0001-08</v>
          </cell>
          <cell r="G3416" t="str">
            <v>FERA ATACADISTA</v>
          </cell>
        </row>
        <row r="3417">
          <cell r="A3417">
            <v>34986</v>
          </cell>
          <cell r="B3417" t="str">
            <v>CORPORATION</v>
          </cell>
          <cell r="C3417" t="str">
            <v>Racuia Materiais Eletricos E Ferragens Ltda</v>
          </cell>
          <cell r="D3417" t="str">
            <v>Fera Atacado (Limeira)</v>
          </cell>
          <cell r="E3417" t="str">
            <v>BR_CNPJ</v>
          </cell>
          <cell r="F3417" t="str">
            <v>48.957.013/0002-60</v>
          </cell>
          <cell r="G3417" t="str">
            <v>FERA ATACADISTA</v>
          </cell>
        </row>
        <row r="3418">
          <cell r="A3418">
            <v>34992</v>
          </cell>
          <cell r="B3418" t="str">
            <v>CORPORATION</v>
          </cell>
          <cell r="C3418" t="str">
            <v>Bacelar &amp; Oliveira Ltda - Me</v>
          </cell>
          <cell r="D3418" t="str">
            <v>Casa Das Bombas</v>
          </cell>
          <cell r="E3418" t="str">
            <v>BR_CNPJ</v>
          </cell>
          <cell r="F3418" t="str">
            <v>20.994.139/0001-05</v>
          </cell>
          <cell r="G3418" t="str">
            <v>CASA DAS BOMBAS</v>
          </cell>
        </row>
        <row r="3419">
          <cell r="A3419">
            <v>34994</v>
          </cell>
          <cell r="B3419" t="str">
            <v>CORPORATION</v>
          </cell>
          <cell r="C3419" t="str">
            <v>Fera Atac De Mat Eletr Hidraulicos E Ferragens Ltda</v>
          </cell>
          <cell r="D3419" t="str">
            <v>Fera Atacado (Filial)</v>
          </cell>
          <cell r="E3419" t="str">
            <v>BR_CNPJ</v>
          </cell>
          <cell r="F3419" t="str">
            <v>00.288.671/0002-80</v>
          </cell>
          <cell r="G3419" t="str">
            <v>FERA ATACADISTA</v>
          </cell>
        </row>
        <row r="3420">
          <cell r="A3420">
            <v>34997</v>
          </cell>
          <cell r="B3420" t="str">
            <v>CORPORATION</v>
          </cell>
          <cell r="C3420" t="str">
            <v>Valdnei Fernandes Da Silva</v>
          </cell>
          <cell r="D3420" t="str">
            <v>Ideal Comercio De Equipamentos</v>
          </cell>
          <cell r="E3420" t="str">
            <v>BR_CNPJ</v>
          </cell>
          <cell r="F3420" t="str">
            <v>20.334.722/0001-90</v>
          </cell>
          <cell r="G3420" t="str">
            <v>IDEAL COMERCIO</v>
          </cell>
        </row>
        <row r="3421">
          <cell r="A3421">
            <v>34999</v>
          </cell>
          <cell r="B3421" t="str">
            <v>CORPORATION</v>
          </cell>
          <cell r="C3421" t="str">
            <v>Jose Aelson Fernandes - Me</v>
          </cell>
          <cell r="D3421" t="str">
            <v>Fernandes Ferramentas</v>
          </cell>
          <cell r="E3421" t="str">
            <v>BR_CNPJ</v>
          </cell>
          <cell r="F3421" t="str">
            <v>07.677.901/0001-61</v>
          </cell>
        </row>
        <row r="3422">
          <cell r="A3422">
            <v>35001</v>
          </cell>
          <cell r="B3422" t="str">
            <v>CORPORATION</v>
          </cell>
          <cell r="C3422" t="str">
            <v>Roberta Siqueira Comercio De Ferro E Aco - Me</v>
          </cell>
          <cell r="D3422" t="str">
            <v>Nippon Comercio De Ferro E Aco</v>
          </cell>
          <cell r="E3422" t="str">
            <v>BR_CNPJ</v>
          </cell>
          <cell r="F3422" t="str">
            <v>22.405.121/0001-56</v>
          </cell>
        </row>
        <row r="3423">
          <cell r="A3423">
            <v>35002</v>
          </cell>
          <cell r="B3423" t="str">
            <v>CORPORATION</v>
          </cell>
          <cell r="C3423" t="str">
            <v>Ideal Comercio E Equipamentos De Ferragens E Ferramentas Ltda</v>
          </cell>
          <cell r="D3423" t="str">
            <v>Ideal Comercio E Equip. De Ferragens E Ferramentas</v>
          </cell>
          <cell r="E3423" t="str">
            <v>BR_CNPJ</v>
          </cell>
          <cell r="F3423" t="str">
            <v>45.277.933/0001-69</v>
          </cell>
          <cell r="G3423" t="str">
            <v>IDEAL COMERCIO</v>
          </cell>
        </row>
        <row r="3424">
          <cell r="A3424">
            <v>35004</v>
          </cell>
          <cell r="B3424" t="str">
            <v>CORPORATION</v>
          </cell>
          <cell r="C3424" t="str">
            <v>Nova Ferramax Eireli - Me</v>
          </cell>
          <cell r="D3424" t="str">
            <v>Ferramax</v>
          </cell>
          <cell r="E3424" t="str">
            <v>BR_CNPJ</v>
          </cell>
          <cell r="F3424" t="str">
            <v>23.576.896/0001-57</v>
          </cell>
        </row>
        <row r="3425">
          <cell r="A3425">
            <v>35008</v>
          </cell>
          <cell r="B3425" t="str">
            <v>CORPORATION</v>
          </cell>
          <cell r="C3425" t="str">
            <v>Manferp Comercial Ltda - Epp</v>
          </cell>
          <cell r="D3425" t="str">
            <v>Manferp Comercial</v>
          </cell>
          <cell r="E3425" t="str">
            <v>BR_CNPJ</v>
          </cell>
          <cell r="F3425" t="str">
            <v>03.934.713/0001-10</v>
          </cell>
        </row>
        <row r="3426">
          <cell r="A3426">
            <v>35014</v>
          </cell>
          <cell r="B3426" t="str">
            <v>CORPORATION</v>
          </cell>
          <cell r="C3426" t="str">
            <v>Guarutelha Materiais Para Construcoes Ltda</v>
          </cell>
          <cell r="D3426" t="str">
            <v>Guarutelha Materiais Para Construcoes</v>
          </cell>
          <cell r="E3426" t="str">
            <v>BR_CNPJ</v>
          </cell>
          <cell r="F3426" t="str">
            <v>51.778.074/0001-94</v>
          </cell>
        </row>
        <row r="3427">
          <cell r="A3427">
            <v>35018</v>
          </cell>
          <cell r="B3427" t="str">
            <v>CORPORATION</v>
          </cell>
          <cell r="C3427" t="str">
            <v>Agro Oeste Com De Maquinas Agricolas Eireli</v>
          </cell>
          <cell r="D3427" t="str">
            <v>Agro Oeste Maquinas</v>
          </cell>
          <cell r="E3427" t="str">
            <v>BR_CNPJ</v>
          </cell>
          <cell r="F3427" t="str">
            <v>04.272.698/0001-55</v>
          </cell>
        </row>
        <row r="3428">
          <cell r="A3428">
            <v>35020</v>
          </cell>
          <cell r="B3428" t="str">
            <v>CORPORATION</v>
          </cell>
          <cell r="C3428" t="str">
            <v>Equimar Importacao E Exportacao De Equipamentos Maritimos Ltda - Epp</v>
          </cell>
          <cell r="D3428" t="str">
            <v>Equimar Equipamentos Maritimos</v>
          </cell>
          <cell r="E3428" t="str">
            <v>BR_CNPJ</v>
          </cell>
          <cell r="F3428" t="str">
            <v>02.952.049/0001-70</v>
          </cell>
        </row>
        <row r="3429">
          <cell r="A3429">
            <v>35026</v>
          </cell>
          <cell r="B3429" t="str">
            <v>CORPORATION</v>
          </cell>
          <cell r="C3429" t="str">
            <v>Max Antonio Ferreira 04941308654</v>
          </cell>
          <cell r="D3429" t="str">
            <v>Max Maquinas</v>
          </cell>
          <cell r="E3429" t="str">
            <v>BR_CNPJ</v>
          </cell>
          <cell r="F3429" t="str">
            <v>17.745.798/0001-01</v>
          </cell>
        </row>
        <row r="3430">
          <cell r="A3430">
            <v>35042</v>
          </cell>
          <cell r="B3430" t="str">
            <v>CORPORATION</v>
          </cell>
          <cell r="C3430" t="str">
            <v>Abr-Abrasivos Ltda</v>
          </cell>
          <cell r="D3430" t="str">
            <v>Abr-Abrasivos</v>
          </cell>
          <cell r="E3430" t="str">
            <v>BR_CNPJ</v>
          </cell>
          <cell r="F3430" t="str">
            <v>38.482.292/0001-19</v>
          </cell>
        </row>
        <row r="3431">
          <cell r="A3431">
            <v>35044</v>
          </cell>
          <cell r="B3431" t="str">
            <v>CORPORATION</v>
          </cell>
          <cell r="C3431" t="str">
            <v>Ferramentas Amazonia Eireli - Epp</v>
          </cell>
          <cell r="D3431" t="str">
            <v>Ferramentas Amazonia</v>
          </cell>
          <cell r="E3431" t="str">
            <v>BR_CNPJ</v>
          </cell>
          <cell r="F3431" t="str">
            <v>14.721.849/0001-69</v>
          </cell>
        </row>
        <row r="3432">
          <cell r="A3432">
            <v>35051</v>
          </cell>
          <cell r="B3432" t="str">
            <v>CORPORATION</v>
          </cell>
          <cell r="C3432" t="str">
            <v>Adriano Cesar Mayer &amp; Cia Ltda</v>
          </cell>
          <cell r="D3432" t="str">
            <v>Mayer Ferragens</v>
          </cell>
          <cell r="E3432" t="str">
            <v>BR_CNPJ</v>
          </cell>
          <cell r="F3432" t="str">
            <v>07.363.188/0002-62</v>
          </cell>
        </row>
        <row r="3433">
          <cell r="A3433">
            <v>35055</v>
          </cell>
          <cell r="B3433" t="str">
            <v>CORPORATION</v>
          </cell>
          <cell r="C3433" t="str">
            <v>Gseg &amp; Cia Ltda - Me</v>
          </cell>
          <cell r="D3433" t="str">
            <v>Gseg</v>
          </cell>
          <cell r="E3433" t="str">
            <v>BR_CNPJ</v>
          </cell>
          <cell r="F3433" t="str">
            <v>16.692.314/0001-32</v>
          </cell>
        </row>
        <row r="3434">
          <cell r="A3434">
            <v>35066</v>
          </cell>
          <cell r="B3434" t="str">
            <v>CORPORATION</v>
          </cell>
          <cell r="C3434" t="str">
            <v>Flavia C. Alves - Me</v>
          </cell>
          <cell r="D3434" t="str">
            <v>Comercial Terra Nova</v>
          </cell>
          <cell r="E3434" t="str">
            <v>BR_CNPJ</v>
          </cell>
          <cell r="F3434" t="str">
            <v>17.586.814/0001-52</v>
          </cell>
        </row>
        <row r="3435">
          <cell r="A3435">
            <v>35067</v>
          </cell>
          <cell r="B3435" t="str">
            <v>CORPORATION</v>
          </cell>
          <cell r="C3435" t="str">
            <v>Equitec Solucoes Em Epi E Ferramentas Eireli</v>
          </cell>
          <cell r="D3435" t="str">
            <v>Equitec Epi(S)</v>
          </cell>
          <cell r="E3435" t="str">
            <v>BR_CNPJ</v>
          </cell>
          <cell r="F3435" t="str">
            <v>23.243.650/0001-63</v>
          </cell>
        </row>
        <row r="3436">
          <cell r="A3436">
            <v>35069</v>
          </cell>
          <cell r="B3436" t="str">
            <v>CORPORATION</v>
          </cell>
          <cell r="C3436" t="str">
            <v>A.S.P.J. Comercio E Servicos Ltda</v>
          </cell>
          <cell r="D3436" t="str">
            <v>Construcorte</v>
          </cell>
          <cell r="E3436" t="str">
            <v>BR_CNPJ</v>
          </cell>
          <cell r="F3436" t="str">
            <v>15.716.576/0001-27</v>
          </cell>
        </row>
        <row r="3437">
          <cell r="A3437">
            <v>35073</v>
          </cell>
          <cell r="B3437" t="str">
            <v>CORPORATION</v>
          </cell>
          <cell r="C3437" t="str">
            <v>Henrique Prado Rodrigues - Epp</v>
          </cell>
          <cell r="D3437" t="str">
            <v>Hr Oxigenio</v>
          </cell>
          <cell r="E3437" t="str">
            <v>BR_CNPJ</v>
          </cell>
          <cell r="F3437" t="str">
            <v>13.032.022/0001-85</v>
          </cell>
        </row>
        <row r="3438">
          <cell r="A3438">
            <v>35078</v>
          </cell>
          <cell r="B3438" t="str">
            <v>CORPORATION</v>
          </cell>
          <cell r="C3438" t="str">
            <v>Marcos Antonio Rodrigues 32943627810</v>
          </cell>
          <cell r="D3438" t="str">
            <v>Maktub Comercial</v>
          </cell>
          <cell r="E3438" t="str">
            <v>BR_CNPJ</v>
          </cell>
          <cell r="F3438" t="str">
            <v>23.792.522/0001-79</v>
          </cell>
        </row>
        <row r="3439">
          <cell r="A3439">
            <v>35079</v>
          </cell>
          <cell r="B3439" t="str">
            <v>CORPORATION</v>
          </cell>
          <cell r="C3439" t="str">
            <v>Merconorte Distribuidora De Ferragens Ltda</v>
          </cell>
          <cell r="D3439" t="str">
            <v>Machadao</v>
          </cell>
          <cell r="E3439" t="str">
            <v>BR_CNPJ</v>
          </cell>
          <cell r="F3439" t="str">
            <v>10.779.165/0001-67</v>
          </cell>
          <cell r="G3439" t="str">
            <v>MACHADÃO</v>
          </cell>
        </row>
        <row r="3440">
          <cell r="A3440">
            <v>35081</v>
          </cell>
          <cell r="B3440" t="str">
            <v>CORPORATION</v>
          </cell>
          <cell r="C3440" t="str">
            <v>Diego C. Poses Usinagem</v>
          </cell>
          <cell r="D3440" t="str">
            <v>Metal Welding</v>
          </cell>
          <cell r="E3440" t="str">
            <v>BR_CNPJ</v>
          </cell>
          <cell r="F3440" t="str">
            <v>13.429.114/0001-01</v>
          </cell>
        </row>
        <row r="3441">
          <cell r="A3441">
            <v>35082</v>
          </cell>
          <cell r="B3441" t="str">
            <v>CORPORATION</v>
          </cell>
          <cell r="C3441" t="str">
            <v>Comercial Agropecuaria Scarparo Ltda.</v>
          </cell>
          <cell r="D3441" t="str">
            <v>Pro-Vet</v>
          </cell>
          <cell r="E3441" t="str">
            <v>BR_CNPJ</v>
          </cell>
          <cell r="F3441" t="str">
            <v>56.780.901/0001-06</v>
          </cell>
        </row>
        <row r="3442">
          <cell r="A3442">
            <v>35083</v>
          </cell>
          <cell r="B3442" t="str">
            <v>CORPORATION</v>
          </cell>
          <cell r="C3442" t="str">
            <v>52.046.516 Aline Maria De Jesus Silva</v>
          </cell>
          <cell r="D3442" t="str">
            <v>D Castro Soldas E Abrasivos Ltda</v>
          </cell>
          <cell r="E3442" t="str">
            <v>BR_CNPJ</v>
          </cell>
          <cell r="F3442" t="str">
            <v>52.046.516/0001-70</v>
          </cell>
          <cell r="G3442" t="str">
            <v>D CASTRO</v>
          </cell>
        </row>
        <row r="3443">
          <cell r="A3443">
            <v>35084</v>
          </cell>
          <cell r="B3443" t="str">
            <v>CORPORATION</v>
          </cell>
          <cell r="C3443" t="str">
            <v>Joanival Santana - Me</v>
          </cell>
          <cell r="D3443" t="str">
            <v>Solimaxis Aco Inoxidavel</v>
          </cell>
          <cell r="E3443" t="str">
            <v>BR_CNPJ</v>
          </cell>
          <cell r="F3443" t="str">
            <v>09.070.677/0001-70</v>
          </cell>
        </row>
        <row r="3444">
          <cell r="A3444">
            <v>35086</v>
          </cell>
          <cell r="B3444" t="str">
            <v>CORPORATION</v>
          </cell>
          <cell r="C3444" t="str">
            <v>Soraia Marta Alves Cunha</v>
          </cell>
          <cell r="D3444" t="str">
            <v>Auto Pecas E Ferragens N.S. Aparecida</v>
          </cell>
          <cell r="E3444" t="str">
            <v>BR_CNPJ</v>
          </cell>
          <cell r="F3444" t="str">
            <v>31.047.802/0001-80</v>
          </cell>
        </row>
        <row r="3445">
          <cell r="A3445">
            <v>35093</v>
          </cell>
          <cell r="B3445" t="str">
            <v>CORPORATION</v>
          </cell>
          <cell r="C3445" t="str">
            <v>Nazareno Soldas E Ferramentas Ltda</v>
          </cell>
          <cell r="D3445" t="str">
            <v>Nazareno Soldas</v>
          </cell>
          <cell r="E3445" t="str">
            <v>BR_CNPJ</v>
          </cell>
          <cell r="F3445" t="str">
            <v>17.079.064/0001-22</v>
          </cell>
        </row>
        <row r="3446">
          <cell r="A3446">
            <v>35102</v>
          </cell>
          <cell r="B3446" t="str">
            <v>CORPORATION</v>
          </cell>
          <cell r="C3446" t="str">
            <v>Ferragista Joca Ltda - Me</v>
          </cell>
          <cell r="D3446" t="str">
            <v>Ferragista Joca</v>
          </cell>
          <cell r="E3446" t="str">
            <v>BR_CNPJ</v>
          </cell>
          <cell r="F3446" t="str">
            <v>05.312.425/0001-50</v>
          </cell>
        </row>
        <row r="3447">
          <cell r="A3447">
            <v>35105</v>
          </cell>
          <cell r="B3447" t="str">
            <v>CORPORATION</v>
          </cell>
          <cell r="C3447" t="str">
            <v>Macuxi Comercio De Armarinho Ltda - Me</v>
          </cell>
          <cell r="D3447" t="str">
            <v>Macuxi</v>
          </cell>
          <cell r="E3447" t="str">
            <v>BR_CNPJ</v>
          </cell>
          <cell r="F3447" t="str">
            <v>04.945.399/0002-15</v>
          </cell>
        </row>
        <row r="3448">
          <cell r="A3448">
            <v>35107</v>
          </cell>
          <cell r="B3448" t="str">
            <v>CORPORATION</v>
          </cell>
          <cell r="C3448" t="str">
            <v>Maq-Fix Comercio De Ferramentas Ltda</v>
          </cell>
          <cell r="D3448" t="str">
            <v>Maq-Fix (Maqfix)</v>
          </cell>
          <cell r="E3448" t="str">
            <v>BR_CNPJ</v>
          </cell>
          <cell r="F3448" t="str">
            <v>38.310.752/0001-21</v>
          </cell>
          <cell r="G3448" t="str">
            <v>MAQFIX</v>
          </cell>
        </row>
        <row r="3449">
          <cell r="A3449">
            <v>35109</v>
          </cell>
          <cell r="B3449" t="str">
            <v>CORPORATION</v>
          </cell>
          <cell r="C3449" t="str">
            <v>Fercon Comercio De Maquinas E Ferramentas Ltda - Me</v>
          </cell>
          <cell r="D3449" t="str">
            <v>Fercon Comercio De Maquinas</v>
          </cell>
          <cell r="E3449" t="str">
            <v>BR_CNPJ</v>
          </cell>
          <cell r="F3449" t="str">
            <v>09.540.552/0001-67</v>
          </cell>
        </row>
        <row r="3450">
          <cell r="A3450">
            <v>35123</v>
          </cell>
          <cell r="B3450" t="str">
            <v>CORPORATION</v>
          </cell>
          <cell r="C3450" t="str">
            <v>Bfc Produtos E Servicos Para Solda Eireli - Me</v>
          </cell>
          <cell r="D3450" t="str">
            <v>Bfc Produtos E Servicos Para Solda</v>
          </cell>
          <cell r="E3450" t="str">
            <v>BR_CNPJ</v>
          </cell>
          <cell r="F3450" t="str">
            <v>61.033.395/0001-13</v>
          </cell>
          <cell r="G3450" t="str">
            <v>BFC / Welding Group</v>
          </cell>
        </row>
        <row r="3451">
          <cell r="A3451">
            <v>35126</v>
          </cell>
          <cell r="B3451" t="str">
            <v>CORPORATION</v>
          </cell>
          <cell r="C3451" t="str">
            <v>Casa Dos Abrasivos De Bauru Ltda - Epp</v>
          </cell>
          <cell r="D3451" t="str">
            <v>Casa Dos Abrasivos</v>
          </cell>
          <cell r="E3451" t="str">
            <v>BR_CNPJ</v>
          </cell>
          <cell r="F3451" t="str">
            <v>49.712.904/0001-39</v>
          </cell>
        </row>
        <row r="3452">
          <cell r="A3452">
            <v>35129</v>
          </cell>
          <cell r="B3452" t="str">
            <v>CORPORATION</v>
          </cell>
          <cell r="C3452" t="str">
            <v>Fabricia Martins Santos - Me</v>
          </cell>
          <cell r="D3452" t="str">
            <v>Hidrossoll</v>
          </cell>
          <cell r="E3452" t="str">
            <v>BR_CNPJ</v>
          </cell>
          <cell r="F3452" t="str">
            <v>11.182.025/0001-70</v>
          </cell>
        </row>
        <row r="3453">
          <cell r="A3453">
            <v>35131</v>
          </cell>
          <cell r="B3453" t="str">
            <v>CORPORATION</v>
          </cell>
          <cell r="C3453" t="str">
            <v>Capital Profissional Ferragens E Ferramentas Ltda</v>
          </cell>
          <cell r="D3453" t="str">
            <v>Capital Profissional</v>
          </cell>
          <cell r="E3453" t="str">
            <v>BR_CNPJ</v>
          </cell>
          <cell r="F3453" t="str">
            <v>26.261.100/0002-46</v>
          </cell>
          <cell r="G3453" t="str">
            <v>CAPITAL PROFISSIONAL</v>
          </cell>
        </row>
        <row r="3454">
          <cell r="A3454">
            <v>35136</v>
          </cell>
          <cell r="B3454" t="str">
            <v>CORPORATION</v>
          </cell>
          <cell r="C3454" t="str">
            <v>Fergas Comercio E Servicos De Maquinas De Solda Ltda - Me</v>
          </cell>
          <cell r="D3454" t="str">
            <v>Fergas</v>
          </cell>
          <cell r="E3454" t="str">
            <v>BR_CNPJ</v>
          </cell>
          <cell r="F3454" t="str">
            <v>08.854.013/0001-30</v>
          </cell>
        </row>
        <row r="3455">
          <cell r="A3455">
            <v>35139</v>
          </cell>
          <cell r="B3455" t="str">
            <v>CORPORATION</v>
          </cell>
          <cell r="C3455" t="str">
            <v>Cicone Comercial De Parafusos Ltda - Epp</v>
          </cell>
          <cell r="D3455" t="str">
            <v>Cicone Parafusos</v>
          </cell>
          <cell r="E3455" t="str">
            <v>BR_CNPJ</v>
          </cell>
          <cell r="F3455" t="str">
            <v>15.786.580/0001-61</v>
          </cell>
        </row>
        <row r="3456">
          <cell r="A3456">
            <v>35142</v>
          </cell>
          <cell r="B3456" t="str">
            <v>CORPORATION</v>
          </cell>
          <cell r="C3456" t="str">
            <v>R. L. Ferreira - Me</v>
          </cell>
          <cell r="D3456" t="str">
            <v>Redcasa Utilidades E Materiais Para Construcao</v>
          </cell>
          <cell r="E3456" t="str">
            <v>BR_CNPJ</v>
          </cell>
          <cell r="F3456" t="str">
            <v>16.491.716/0001-79</v>
          </cell>
        </row>
        <row r="3457">
          <cell r="A3457">
            <v>35146</v>
          </cell>
          <cell r="B3457" t="str">
            <v>CORPORATION</v>
          </cell>
          <cell r="C3457" t="str">
            <v>Casa Dos Parafusos De Tupa Ltda - Me</v>
          </cell>
          <cell r="D3457" t="str">
            <v>Casa Dos Parafusos</v>
          </cell>
          <cell r="E3457" t="str">
            <v>BR_CNPJ</v>
          </cell>
          <cell r="F3457" t="str">
            <v>72.548.860/0001-75</v>
          </cell>
        </row>
        <row r="3458">
          <cell r="A3458">
            <v>35155</v>
          </cell>
          <cell r="B3458" t="str">
            <v>CORPORATION</v>
          </cell>
          <cell r="C3458" t="str">
            <v>Ljbs Comercio De Maquinas E Ferramentas Ltda - Me</v>
          </cell>
          <cell r="D3458" t="str">
            <v>Aimore Maquinas E Ferramentas</v>
          </cell>
          <cell r="E3458" t="str">
            <v>BR_CNPJ</v>
          </cell>
          <cell r="F3458" t="str">
            <v>07.852.450/0001-51</v>
          </cell>
        </row>
        <row r="3459">
          <cell r="A3459">
            <v>35161</v>
          </cell>
          <cell r="B3459" t="str">
            <v>CORPORATION</v>
          </cell>
          <cell r="C3459" t="str">
            <v>Diafer Eireli</v>
          </cell>
          <cell r="D3459" t="str">
            <v>Diafer Itapetininga</v>
          </cell>
          <cell r="E3459" t="str">
            <v>BR_CNPJ</v>
          </cell>
          <cell r="F3459" t="str">
            <v>04.798.677/0005-00</v>
          </cell>
          <cell r="G3459" t="str">
            <v>DIAFER</v>
          </cell>
        </row>
        <row r="3460">
          <cell r="A3460">
            <v>35166</v>
          </cell>
          <cell r="B3460" t="str">
            <v>CORPORATION</v>
          </cell>
          <cell r="C3460" t="str">
            <v>Fergal Locadora Ltda - Me</v>
          </cell>
          <cell r="D3460" t="str">
            <v>Fergal Locadora</v>
          </cell>
          <cell r="E3460" t="str">
            <v>BR_CNPJ</v>
          </cell>
          <cell r="F3460" t="str">
            <v>04.858.432/0001-99</v>
          </cell>
        </row>
        <row r="3461">
          <cell r="A3461">
            <v>35169</v>
          </cell>
          <cell r="B3461" t="str">
            <v>CORPORATION</v>
          </cell>
          <cell r="C3461" t="str">
            <v>Diafer Eireli</v>
          </cell>
          <cell r="D3461" t="str">
            <v>Diafer Capão</v>
          </cell>
          <cell r="E3461" t="str">
            <v>BR_CNPJ</v>
          </cell>
          <cell r="F3461" t="str">
            <v>04.798.677/0003-30</v>
          </cell>
          <cell r="G3461" t="str">
            <v>DIAFER</v>
          </cell>
        </row>
        <row r="3462">
          <cell r="A3462">
            <v>35173</v>
          </cell>
          <cell r="B3462" t="str">
            <v>CORPORATION</v>
          </cell>
          <cell r="C3462" t="str">
            <v>Dzenk Comercio De Ferramentas Parafusos E Maquinas Ltda - Epp</v>
          </cell>
          <cell r="D3462" t="str">
            <v>Dzenk Casa Dos Parafusos</v>
          </cell>
          <cell r="E3462" t="str">
            <v>BR_CNPJ</v>
          </cell>
          <cell r="F3462" t="str">
            <v>07.810.409/0001-12</v>
          </cell>
          <cell r="G3462" t="str">
            <v>DZENK ROLAMENTOS</v>
          </cell>
        </row>
        <row r="3463">
          <cell r="A3463">
            <v>35175</v>
          </cell>
          <cell r="B3463" t="str">
            <v>CORPORATION</v>
          </cell>
          <cell r="C3463" t="str">
            <v>Eller Solucoes Comercio E Servico Ltda</v>
          </cell>
          <cell r="D3463" t="str">
            <v>Casa Polidor</v>
          </cell>
          <cell r="E3463" t="str">
            <v>BR_CNPJ</v>
          </cell>
          <cell r="F3463" t="str">
            <v>49.947.262/0001-57</v>
          </cell>
          <cell r="G3463" t="str">
            <v>CASA POLIDOR</v>
          </cell>
        </row>
        <row r="3464">
          <cell r="A3464">
            <v>35177</v>
          </cell>
          <cell r="B3464" t="str">
            <v>CORPORATION</v>
          </cell>
          <cell r="C3464" t="str">
            <v>Camag Pneus E Pecas Ltda</v>
          </cell>
          <cell r="D3464" t="str">
            <v>Camag</v>
          </cell>
          <cell r="E3464" t="str">
            <v>BR_CNPJ</v>
          </cell>
          <cell r="F3464" t="str">
            <v>37.546.892/0001-30</v>
          </cell>
        </row>
        <row r="3465">
          <cell r="A3465">
            <v>35183</v>
          </cell>
          <cell r="B3465" t="str">
            <v>CORPORATION</v>
          </cell>
          <cell r="C3465" t="str">
            <v>Francisco Manance Da Costa - Me</v>
          </cell>
          <cell r="D3465" t="str">
            <v>Comercial De Oxigenio Rio Guaribas</v>
          </cell>
          <cell r="E3465" t="str">
            <v>BR_CNPJ</v>
          </cell>
          <cell r="F3465" t="str">
            <v>34.984.609/0001-64</v>
          </cell>
        </row>
        <row r="3466">
          <cell r="A3466">
            <v>35194</v>
          </cell>
          <cell r="B3466" t="str">
            <v>CORPORATION</v>
          </cell>
          <cell r="C3466" t="str">
            <v>Gravia Industria De Perfilados De Aco Ltda</v>
          </cell>
          <cell r="D3466" t="str">
            <v>Gravia Industria De Perfilados De Aco Ltda</v>
          </cell>
          <cell r="E3466" t="str">
            <v>BR_CNPJ</v>
          </cell>
          <cell r="F3466" t="str">
            <v>26.487.744/0005-08</v>
          </cell>
          <cell r="G3466" t="str">
            <v>GRAVIA</v>
          </cell>
        </row>
        <row r="3467">
          <cell r="A3467">
            <v>35196</v>
          </cell>
          <cell r="B3467" t="str">
            <v>CORPORATION</v>
          </cell>
          <cell r="C3467" t="str">
            <v>Evaldo Carneiro De Lima Me</v>
          </cell>
          <cell r="D3467" t="str">
            <v>Caf Centro Automotivo Fernando</v>
          </cell>
          <cell r="E3467" t="str">
            <v>BR_CNPJ</v>
          </cell>
          <cell r="F3467" t="str">
            <v>00.148.477/0001-19</v>
          </cell>
        </row>
        <row r="3468">
          <cell r="A3468">
            <v>35199</v>
          </cell>
          <cell r="B3468" t="str">
            <v>CORPORATION</v>
          </cell>
          <cell r="C3468" t="str">
            <v>Cpm Comercio E Servicos De Maquinas Ltda - Me</v>
          </cell>
          <cell r="D3468" t="str">
            <v>Rc Assistencia</v>
          </cell>
          <cell r="E3468" t="str">
            <v>BR_CNPJ</v>
          </cell>
          <cell r="F3468" t="str">
            <v>10.851.436/0001-48</v>
          </cell>
        </row>
        <row r="3469">
          <cell r="A3469">
            <v>35201</v>
          </cell>
          <cell r="B3469" t="str">
            <v>CORPORATION</v>
          </cell>
          <cell r="C3469" t="str">
            <v>Casa Das Maquinas Norte Ltda</v>
          </cell>
          <cell r="D3469" t="str">
            <v>Casa Das Maquinas</v>
          </cell>
          <cell r="E3469" t="str">
            <v>BR_CNPJ</v>
          </cell>
          <cell r="F3469" t="str">
            <v>21.002.044/0001-20</v>
          </cell>
        </row>
        <row r="3470">
          <cell r="A3470">
            <v>35203</v>
          </cell>
          <cell r="B3470" t="str">
            <v>CORPORATION</v>
          </cell>
          <cell r="C3470" t="str">
            <v>Petrobombas Servicos E Comercio Ltda - Me</v>
          </cell>
          <cell r="D3470" t="str">
            <v>Petrobombas</v>
          </cell>
          <cell r="E3470" t="str">
            <v>BR_CNPJ</v>
          </cell>
          <cell r="F3470" t="str">
            <v>01.491.946/0001-60</v>
          </cell>
        </row>
        <row r="3471">
          <cell r="A3471">
            <v>35206</v>
          </cell>
          <cell r="B3471" t="str">
            <v>CORPORATION</v>
          </cell>
          <cell r="C3471" t="str">
            <v>Brunafer Metais - Eireli - Me</v>
          </cell>
          <cell r="D3471" t="str">
            <v>Brunafer</v>
          </cell>
          <cell r="E3471" t="str">
            <v>BR_CNPJ</v>
          </cell>
          <cell r="F3471" t="str">
            <v>18.172.927/0001-74</v>
          </cell>
        </row>
        <row r="3472">
          <cell r="A3472">
            <v>35210</v>
          </cell>
          <cell r="B3472" t="str">
            <v>CORPORATION</v>
          </cell>
          <cell r="C3472" t="str">
            <v>A. M. Comercio E Servicos De Materiais Para Solda Ltda - Me</v>
          </cell>
          <cell r="D3472" t="str">
            <v>Mundial Ferramentas</v>
          </cell>
          <cell r="E3472" t="str">
            <v>BR_CNPJ</v>
          </cell>
          <cell r="F3472" t="str">
            <v>07.270.109/0001-98</v>
          </cell>
        </row>
        <row r="3473">
          <cell r="A3473">
            <v>35217</v>
          </cell>
          <cell r="B3473" t="str">
            <v>CORPORATION</v>
          </cell>
          <cell r="C3473" t="str">
            <v>Casa De Ferragens Edlin Ltda - Epp</v>
          </cell>
          <cell r="D3473" t="str">
            <v>Casa De Ferragens Edlin</v>
          </cell>
          <cell r="E3473" t="str">
            <v>BR_CNPJ</v>
          </cell>
          <cell r="F3473" t="str">
            <v>54.773.080/0001-47</v>
          </cell>
        </row>
        <row r="3474">
          <cell r="A3474">
            <v>35218</v>
          </cell>
          <cell r="B3474" t="str">
            <v>CORPORATION</v>
          </cell>
          <cell r="C3474" t="str">
            <v>Central Comercio De Auto Pecas Ltda</v>
          </cell>
          <cell r="D3474" t="str">
            <v>Central Autopecas</v>
          </cell>
          <cell r="E3474" t="str">
            <v>BR_CNPJ</v>
          </cell>
          <cell r="F3474" t="str">
            <v>03.277.913/0001-48</v>
          </cell>
        </row>
        <row r="3475">
          <cell r="A3475">
            <v>35232</v>
          </cell>
          <cell r="B3475" t="str">
            <v>CORPORATION</v>
          </cell>
          <cell r="C3475" t="str">
            <v>Valeria Carita Zuin Dantas - Me</v>
          </cell>
          <cell r="D3475" t="str">
            <v>D &amp; D Epi'S E Ferramentas</v>
          </cell>
          <cell r="E3475" t="str">
            <v>BR_CNPJ</v>
          </cell>
          <cell r="F3475" t="str">
            <v>24.074.829/0001-05</v>
          </cell>
        </row>
        <row r="3476">
          <cell r="A3476">
            <v>35235</v>
          </cell>
          <cell r="B3476" t="str">
            <v>CORPORATION</v>
          </cell>
          <cell r="C3476" t="str">
            <v>Magalhaes Ferragens Ltda - Me</v>
          </cell>
          <cell r="D3476" t="str">
            <v>Magalhaes Ferragens</v>
          </cell>
          <cell r="E3476" t="str">
            <v>BR_CNPJ</v>
          </cell>
          <cell r="F3476" t="str">
            <v>15.716.821/0001-04</v>
          </cell>
        </row>
        <row r="3477">
          <cell r="A3477">
            <v>35239</v>
          </cell>
          <cell r="B3477" t="str">
            <v>CORPORATION</v>
          </cell>
          <cell r="C3477" t="str">
            <v>Mauro Sergio Marques Soldas - Me</v>
          </cell>
          <cell r="D3477" t="str">
            <v>Marques Soldas</v>
          </cell>
          <cell r="E3477" t="str">
            <v>BR_CNPJ</v>
          </cell>
          <cell r="F3477" t="str">
            <v>24.111.970/0001-22</v>
          </cell>
        </row>
        <row r="3478">
          <cell r="A3478">
            <v>35242</v>
          </cell>
          <cell r="B3478" t="str">
            <v>CORPORATION</v>
          </cell>
          <cell r="C3478" t="str">
            <v>Franciscone Comercial Ltda - Epp</v>
          </cell>
          <cell r="D3478" t="str">
            <v>Franciscone Comercial</v>
          </cell>
          <cell r="E3478" t="str">
            <v>BR_CNPJ</v>
          </cell>
          <cell r="F3478" t="str">
            <v>62.976.543/0001-04</v>
          </cell>
        </row>
        <row r="3479">
          <cell r="A3479">
            <v>35245</v>
          </cell>
          <cell r="B3479" t="str">
            <v>CORPORATION</v>
          </cell>
          <cell r="C3479" t="str">
            <v>Planeta Comercio De Ferramentas E Equipamentos Ltda - Epp</v>
          </cell>
          <cell r="D3479" t="str">
            <v>Planeta Ferramentas</v>
          </cell>
          <cell r="E3479" t="str">
            <v>BR_CNPJ</v>
          </cell>
          <cell r="F3479" t="str">
            <v>06.024.309/0001-06</v>
          </cell>
        </row>
        <row r="3480">
          <cell r="A3480">
            <v>35247</v>
          </cell>
          <cell r="B3480" t="str">
            <v>CORPORATION</v>
          </cell>
          <cell r="C3480" t="str">
            <v>Unimaq Implementos Agricolas Ltda</v>
          </cell>
          <cell r="D3480" t="str">
            <v>Unimaq</v>
          </cell>
          <cell r="E3480" t="str">
            <v>BR_CNPJ</v>
          </cell>
          <cell r="F3480" t="str">
            <v>40.473.475/0001-10</v>
          </cell>
        </row>
        <row r="3481">
          <cell r="A3481">
            <v>35255</v>
          </cell>
          <cell r="B3481" t="str">
            <v>CORPORATION</v>
          </cell>
          <cell r="C3481" t="str">
            <v>Tatuifer - Maquinas E Ferramentas Ltda - Me</v>
          </cell>
          <cell r="D3481" t="str">
            <v>Tatuifer</v>
          </cell>
          <cell r="E3481" t="str">
            <v>BR_CNPJ</v>
          </cell>
          <cell r="F3481" t="str">
            <v>12.593.730/0001-22</v>
          </cell>
        </row>
        <row r="3482">
          <cell r="A3482">
            <v>35262</v>
          </cell>
          <cell r="B3482" t="str">
            <v>CORPORATION</v>
          </cell>
          <cell r="C3482" t="str">
            <v>Ecosolda Comercio E Distribuicao De Suprimentos Industriais Ltda</v>
          </cell>
          <cell r="D3482" t="str">
            <v>Eco Solda</v>
          </cell>
          <cell r="E3482" t="str">
            <v>BR_CNPJ</v>
          </cell>
          <cell r="F3482" t="str">
            <v>28.630.128/0001-58</v>
          </cell>
        </row>
        <row r="3483">
          <cell r="A3483">
            <v>35268</v>
          </cell>
          <cell r="B3483" t="str">
            <v>CORPORATION</v>
          </cell>
          <cell r="C3483" t="str">
            <v>Cig Equipamentos E Acessorios Para Soldas Ltda</v>
          </cell>
          <cell r="D3483" t="str">
            <v>Cig Equipamentos</v>
          </cell>
          <cell r="E3483" t="str">
            <v>BR_CNPJ</v>
          </cell>
          <cell r="F3483" t="str">
            <v>58.368.150/0001-32</v>
          </cell>
        </row>
        <row r="3484">
          <cell r="A3484">
            <v>35270</v>
          </cell>
          <cell r="B3484" t="str">
            <v>CORPORATION</v>
          </cell>
          <cell r="C3484" t="str">
            <v>Cooperativa Agro Pecuaria De Boa Esperanca Ltda</v>
          </cell>
          <cell r="D3484" t="str">
            <v>Capebe</v>
          </cell>
          <cell r="E3484" t="str">
            <v>BR_CNPJ</v>
          </cell>
          <cell r="F3484" t="str">
            <v>18.780.254/0011-07</v>
          </cell>
        </row>
        <row r="3485">
          <cell r="A3485">
            <v>35274</v>
          </cell>
          <cell r="B3485" t="str">
            <v>CORPORATION</v>
          </cell>
          <cell r="C3485" t="str">
            <v>Procomp Solucoes Em Tecnologia Ltda - Me</v>
          </cell>
          <cell r="D3485" t="str">
            <v>Clube Asterisco</v>
          </cell>
          <cell r="E3485" t="str">
            <v>BR_CNPJ</v>
          </cell>
          <cell r="F3485" t="str">
            <v>11.767.283/0001-18</v>
          </cell>
        </row>
        <row r="3486">
          <cell r="A3486">
            <v>35280</v>
          </cell>
          <cell r="B3486" t="str">
            <v>CORPORATION</v>
          </cell>
          <cell r="C3486" t="str">
            <v>Comercial Smp Ltda - Epp</v>
          </cell>
          <cell r="D3486" t="str">
            <v>Comercial Smp</v>
          </cell>
          <cell r="E3486" t="str">
            <v>BR_CNPJ</v>
          </cell>
          <cell r="F3486" t="str">
            <v>02.636.302/0001-86</v>
          </cell>
        </row>
        <row r="3487">
          <cell r="A3487">
            <v>35283</v>
          </cell>
          <cell r="B3487" t="str">
            <v>CORPORATION</v>
          </cell>
          <cell r="C3487" t="str">
            <v>Gravena Ltda</v>
          </cell>
          <cell r="D3487" t="str">
            <v>Casa Dos Parafusos</v>
          </cell>
          <cell r="E3487" t="str">
            <v>BR_CNPJ</v>
          </cell>
          <cell r="F3487" t="str">
            <v>02.440.889/0001-53</v>
          </cell>
        </row>
        <row r="3488">
          <cell r="A3488">
            <v>35289</v>
          </cell>
          <cell r="B3488" t="str">
            <v>CORPORATION</v>
          </cell>
          <cell r="C3488" t="str">
            <v>Roberto Gomes De Araujo - Me</v>
          </cell>
          <cell r="D3488" t="str">
            <v>Tubos E Vergalhoes Araujo</v>
          </cell>
          <cell r="E3488" t="str">
            <v>BR_CNPJ</v>
          </cell>
          <cell r="F3488" t="str">
            <v>22.124.177/0001-32</v>
          </cell>
        </row>
        <row r="3489">
          <cell r="A3489">
            <v>35292</v>
          </cell>
          <cell r="B3489" t="str">
            <v>CORPORATION</v>
          </cell>
          <cell r="C3489" t="str">
            <v>Fercon Aco Industrial Ltda - Epp</v>
          </cell>
          <cell r="D3489" t="str">
            <v>Fercon</v>
          </cell>
          <cell r="E3489" t="str">
            <v>BR_CNPJ</v>
          </cell>
          <cell r="F3489" t="str">
            <v>18.819.478/0001-03</v>
          </cell>
        </row>
        <row r="3490">
          <cell r="A3490">
            <v>35293</v>
          </cell>
          <cell r="B3490" t="str">
            <v>CORPORATION</v>
          </cell>
          <cell r="C3490" t="str">
            <v>Gilton Lopes Da Silva</v>
          </cell>
          <cell r="D3490" t="str">
            <v>Suprema Ferramentas</v>
          </cell>
          <cell r="E3490" t="str">
            <v>BR_CNPJ</v>
          </cell>
          <cell r="F3490" t="str">
            <v>22.182.795/0001-39</v>
          </cell>
        </row>
        <row r="3491">
          <cell r="A3491">
            <v>35295</v>
          </cell>
          <cell r="B3491" t="str">
            <v>CORPORATION</v>
          </cell>
          <cell r="C3491" t="str">
            <v>Jota Materiais Seviços E Locações Eireli - Me</v>
          </cell>
          <cell r="D3491" t="str">
            <v>Jota Materiais Seviços E Locações Eireli - Me</v>
          </cell>
          <cell r="E3491" t="str">
            <v>BR_CNPJ</v>
          </cell>
          <cell r="F3491" t="str">
            <v>24.123.381/0001-64</v>
          </cell>
        </row>
        <row r="3492">
          <cell r="A3492">
            <v>35298</v>
          </cell>
          <cell r="B3492" t="str">
            <v>CORPORATION</v>
          </cell>
          <cell r="C3492" t="str">
            <v>Ouro Agricola Comercial Eireli - Epp</v>
          </cell>
          <cell r="D3492" t="str">
            <v>Parafusoecia.Com.Br</v>
          </cell>
          <cell r="E3492" t="str">
            <v>BR_CNPJ</v>
          </cell>
          <cell r="F3492" t="str">
            <v>04.197.962/0001-33</v>
          </cell>
        </row>
        <row r="3493">
          <cell r="A3493">
            <v>35304</v>
          </cell>
          <cell r="B3493" t="str">
            <v>CORPORATION</v>
          </cell>
          <cell r="C3493" t="str">
            <v>Vanessa Dos Santos Vilaca 33032372801</v>
          </cell>
          <cell r="D3493" t="str">
            <v>V.G Assistencia Tecnica Autorizada</v>
          </cell>
          <cell r="E3493" t="str">
            <v>BR_CNPJ</v>
          </cell>
          <cell r="F3493" t="str">
            <v>20.185.606/0001-56</v>
          </cell>
        </row>
        <row r="3494">
          <cell r="A3494">
            <v>35314</v>
          </cell>
          <cell r="B3494" t="str">
            <v>CORPORATION</v>
          </cell>
          <cell r="C3494" t="str">
            <v>Sonia Maria Bortholin Zanchetta</v>
          </cell>
          <cell r="D3494" t="str">
            <v>Porto Motores</v>
          </cell>
          <cell r="E3494" t="str">
            <v>BR_CNPJ</v>
          </cell>
          <cell r="F3494" t="str">
            <v>01.511.324/0001-57</v>
          </cell>
        </row>
        <row r="3495">
          <cell r="A3495">
            <v>35315</v>
          </cell>
          <cell r="B3495" t="str">
            <v>CORPORATION</v>
          </cell>
          <cell r="C3495" t="str">
            <v>A.Q. Soldas E Servicos Ltda - Epp</v>
          </cell>
          <cell r="D3495" t="str">
            <v>Mafersol</v>
          </cell>
          <cell r="E3495" t="str">
            <v>BR_CNPJ</v>
          </cell>
          <cell r="F3495" t="str">
            <v>03.736.200/0001-03</v>
          </cell>
        </row>
        <row r="3496">
          <cell r="A3496">
            <v>35319</v>
          </cell>
          <cell r="B3496" t="str">
            <v>CORPORATION</v>
          </cell>
          <cell r="C3496" t="str">
            <v>Estrela 10 Comercio Eletronico Ltda</v>
          </cell>
          <cell r="D3496" t="str">
            <v>Estrela 10</v>
          </cell>
          <cell r="E3496" t="str">
            <v>BR_CNPJ</v>
          </cell>
          <cell r="F3496" t="str">
            <v>10.368.118/0001-20</v>
          </cell>
        </row>
        <row r="3497">
          <cell r="A3497">
            <v>35324</v>
          </cell>
          <cell r="B3497" t="str">
            <v>CORPORATION</v>
          </cell>
          <cell r="C3497" t="str">
            <v>Jalomaq Locacao De Maquinas E Ferramentas Ltda - Me</v>
          </cell>
          <cell r="D3497" t="str">
            <v>Jalomaq</v>
          </cell>
          <cell r="E3497" t="str">
            <v>BR_CNPJ</v>
          </cell>
          <cell r="F3497" t="str">
            <v>10.837.898/0001-00</v>
          </cell>
        </row>
        <row r="3498">
          <cell r="A3498">
            <v>35326</v>
          </cell>
          <cell r="B3498" t="str">
            <v>CORPORATION</v>
          </cell>
          <cell r="C3498" t="str">
            <v>Formula Eletrica Ltda</v>
          </cell>
          <cell r="D3498" t="str">
            <v>Formula Eletrica</v>
          </cell>
          <cell r="E3498" t="str">
            <v>BR_CNPJ</v>
          </cell>
          <cell r="F3498" t="str">
            <v>34.956.963/0001-85</v>
          </cell>
          <cell r="G3498" t="str">
            <v>Formula eletrica</v>
          </cell>
        </row>
        <row r="3499">
          <cell r="A3499">
            <v>35328</v>
          </cell>
          <cell r="B3499" t="str">
            <v>CORPORATION</v>
          </cell>
          <cell r="C3499" t="str">
            <v>Catelli Comercio De Maquinas Ltda</v>
          </cell>
          <cell r="D3499" t="str">
            <v>Catelli</v>
          </cell>
          <cell r="E3499" t="str">
            <v>BR_CNPJ</v>
          </cell>
          <cell r="F3499" t="str">
            <v>43.464.361/0001-00</v>
          </cell>
        </row>
        <row r="3500">
          <cell r="A3500">
            <v>35329</v>
          </cell>
          <cell r="B3500" t="str">
            <v>CORPORATION</v>
          </cell>
          <cell r="C3500" t="str">
            <v>Sp Comercio Varejista De Ferragens E Ferramentas Ltda - Me</v>
          </cell>
          <cell r="D3500" t="str">
            <v>Sp Comercio Ferragens E Ferramentas</v>
          </cell>
          <cell r="E3500" t="str">
            <v>BR_CNPJ</v>
          </cell>
          <cell r="F3500" t="str">
            <v>06.286.194/0001-10</v>
          </cell>
        </row>
        <row r="3501">
          <cell r="A3501">
            <v>35334</v>
          </cell>
          <cell r="B3501" t="str">
            <v>CORPORATION</v>
          </cell>
          <cell r="C3501" t="str">
            <v>Antonio Carlos Dos Santos 17836960870</v>
          </cell>
          <cell r="D3501" t="str">
            <v>Demetal</v>
          </cell>
          <cell r="E3501" t="str">
            <v>BR_CNPJ</v>
          </cell>
          <cell r="F3501" t="str">
            <v>37.592.792/0001-40</v>
          </cell>
        </row>
        <row r="3502">
          <cell r="A3502">
            <v>35335</v>
          </cell>
          <cell r="B3502" t="str">
            <v>CORPORATION</v>
          </cell>
          <cell r="C3502" t="str">
            <v>Petrorocha Comercio E Servicos Ltda - Epp</v>
          </cell>
          <cell r="D3502" t="str">
            <v>Petrorocha</v>
          </cell>
          <cell r="E3502" t="str">
            <v>BR_CNPJ</v>
          </cell>
          <cell r="F3502" t="str">
            <v>02.762.361/0001-09</v>
          </cell>
        </row>
        <row r="3503">
          <cell r="A3503">
            <v>35337</v>
          </cell>
          <cell r="B3503" t="str">
            <v>CORPORATION</v>
          </cell>
          <cell r="C3503" t="str">
            <v>Comercial Bertin Ltda</v>
          </cell>
          <cell r="D3503" t="str">
            <v>Comercial Bertin</v>
          </cell>
          <cell r="E3503" t="str">
            <v>BR_CNPJ</v>
          </cell>
          <cell r="F3503" t="str">
            <v>64.993.074/0001-59</v>
          </cell>
        </row>
        <row r="3504">
          <cell r="A3504">
            <v>35340</v>
          </cell>
          <cell r="B3504" t="str">
            <v>CORPORATION</v>
          </cell>
          <cell r="C3504" t="str">
            <v>Parafusando Ferro, Aco E Ferramentas Ltda</v>
          </cell>
          <cell r="D3504" t="str">
            <v>Parafusando Home Center</v>
          </cell>
          <cell r="E3504" t="str">
            <v>BR_CNPJ</v>
          </cell>
          <cell r="F3504" t="str">
            <v>25.014.861/0001-50</v>
          </cell>
          <cell r="G3504" t="str">
            <v>HOME CENTER</v>
          </cell>
        </row>
        <row r="3505">
          <cell r="A3505">
            <v>35342</v>
          </cell>
          <cell r="B3505" t="str">
            <v>CORPORATION</v>
          </cell>
          <cell r="C3505" t="str">
            <v>Soferpa Ferramentaas E Parafusos</v>
          </cell>
          <cell r="D3505" t="str">
            <v>Soferpa</v>
          </cell>
          <cell r="E3505" t="str">
            <v>BR_CNPJ</v>
          </cell>
          <cell r="F3505" t="str">
            <v>01.222.805/0001-42</v>
          </cell>
        </row>
        <row r="3506">
          <cell r="A3506">
            <v>35345</v>
          </cell>
          <cell r="B3506" t="str">
            <v>CORPORATION</v>
          </cell>
          <cell r="C3506" t="str">
            <v>Sinfroniano Evangelista De Amorim Eireli - Me</v>
          </cell>
          <cell r="D3506" t="str">
            <v>Portal Ferramentas</v>
          </cell>
          <cell r="E3506" t="str">
            <v>BR_CNPJ</v>
          </cell>
          <cell r="F3506" t="str">
            <v>23.495.433/0001-60</v>
          </cell>
        </row>
        <row r="3507">
          <cell r="A3507">
            <v>35348</v>
          </cell>
          <cell r="B3507" t="str">
            <v>CORPORATION</v>
          </cell>
          <cell r="C3507" t="str">
            <v>Rafael Rodrigues De Lima - Me</v>
          </cell>
          <cell r="D3507" t="str">
            <v>Rafael Rodrigues De Lima - Me</v>
          </cell>
          <cell r="E3507" t="str">
            <v>BR_CNPJ</v>
          </cell>
          <cell r="F3507" t="str">
            <v>09.348.963/0001-55</v>
          </cell>
        </row>
        <row r="3508">
          <cell r="A3508">
            <v>35351</v>
          </cell>
          <cell r="B3508" t="str">
            <v>CORPORATION</v>
          </cell>
          <cell r="C3508" t="str">
            <v>Pereira Construcoes Ltda - Me</v>
          </cell>
          <cell r="D3508" t="str">
            <v>Pereira Construcoes</v>
          </cell>
          <cell r="E3508" t="str">
            <v>BR_CNPJ</v>
          </cell>
          <cell r="F3508" t="str">
            <v>06.051.332/0001-81</v>
          </cell>
        </row>
        <row r="3509">
          <cell r="A3509">
            <v>35354</v>
          </cell>
          <cell r="B3509" t="str">
            <v>CORPORATION</v>
          </cell>
          <cell r="C3509" t="str">
            <v>Ferraloc Ltda - Me</v>
          </cell>
          <cell r="D3509" t="str">
            <v>Ferraloc</v>
          </cell>
          <cell r="E3509" t="str">
            <v>BR_CNPJ</v>
          </cell>
          <cell r="F3509" t="str">
            <v>02.456.524/0001-17</v>
          </cell>
        </row>
        <row r="3510">
          <cell r="A3510">
            <v>35357</v>
          </cell>
          <cell r="B3510" t="str">
            <v>CORPORATION</v>
          </cell>
          <cell r="C3510" t="str">
            <v>Primo Materiais Eletricos Ltda - Me</v>
          </cell>
          <cell r="D3510" t="str">
            <v>Primo Materiais Eletricos</v>
          </cell>
          <cell r="E3510" t="str">
            <v>BR_CNPJ</v>
          </cell>
          <cell r="F3510" t="str">
            <v>41.810.623/0001-07</v>
          </cell>
        </row>
        <row r="3511">
          <cell r="A3511">
            <v>35359</v>
          </cell>
          <cell r="B3511" t="str">
            <v>CORPORATION</v>
          </cell>
          <cell r="C3511" t="str">
            <v>Saint-Gobain Distribuicao Brasil Ltda</v>
          </cell>
          <cell r="D3511" t="str">
            <v>Obra Ja</v>
          </cell>
          <cell r="E3511" t="str">
            <v>BR_CNPJ</v>
          </cell>
          <cell r="F3511" t="str">
            <v>03.840.986/0067-22</v>
          </cell>
          <cell r="G3511" t="str">
            <v>SAINT-GOBAIN</v>
          </cell>
        </row>
        <row r="3512">
          <cell r="A3512">
            <v>35361</v>
          </cell>
          <cell r="B3512" t="str">
            <v>CORPORATION</v>
          </cell>
          <cell r="C3512" t="str">
            <v>Samuel De Assis Pereira</v>
          </cell>
          <cell r="D3512" t="str">
            <v>Sinteprol Ferramentas A Acessorios</v>
          </cell>
          <cell r="E3512" t="str">
            <v>BR_CNPJ</v>
          </cell>
          <cell r="F3512" t="str">
            <v>06.020.434/0001-30</v>
          </cell>
          <cell r="G3512" t="str">
            <v>SINTEPROL</v>
          </cell>
        </row>
        <row r="3513">
          <cell r="A3513">
            <v>35364</v>
          </cell>
          <cell r="B3513" t="str">
            <v>CORPORATION</v>
          </cell>
          <cell r="C3513" t="str">
            <v>Barumaq - Comercio De Maquinas E Ferramentas Ltda - Me</v>
          </cell>
          <cell r="D3513" t="str">
            <v>Barumaq</v>
          </cell>
          <cell r="E3513" t="str">
            <v>BR_CNPJ</v>
          </cell>
          <cell r="F3513" t="str">
            <v>03.472.045/0001-57</v>
          </cell>
        </row>
        <row r="3514">
          <cell r="A3514">
            <v>35369</v>
          </cell>
          <cell r="B3514" t="str">
            <v>CORPORATION</v>
          </cell>
          <cell r="C3514" t="str">
            <v>Paulla'S Comercio De Pecas Para Ar Condicionado Ltda - Me</v>
          </cell>
          <cell r="D3514" t="str">
            <v>Atlantico Pecas</v>
          </cell>
          <cell r="E3514" t="str">
            <v>BR_CNPJ</v>
          </cell>
          <cell r="F3514" t="str">
            <v>01.152.996/0001-13</v>
          </cell>
        </row>
        <row r="3515">
          <cell r="A3515">
            <v>35375</v>
          </cell>
          <cell r="B3515" t="str">
            <v>CORPORATION</v>
          </cell>
          <cell r="C3515" t="str">
            <v>Esquadrias Tuparetama Ltda - Epp</v>
          </cell>
          <cell r="D3515" t="str">
            <v>Esquadrias Tuparetama</v>
          </cell>
          <cell r="E3515" t="str">
            <v>BR_CNPJ</v>
          </cell>
          <cell r="F3515" t="str">
            <v>10.651.628/0001-00</v>
          </cell>
        </row>
        <row r="3516">
          <cell r="A3516">
            <v>35377</v>
          </cell>
          <cell r="B3516" t="str">
            <v>CORPORATION</v>
          </cell>
          <cell r="C3516" t="str">
            <v>Elenilson Bezerra Da Silva - Me</v>
          </cell>
          <cell r="D3516" t="str">
            <v>Casa Dos Parafusos</v>
          </cell>
          <cell r="E3516" t="str">
            <v>BR_CNPJ</v>
          </cell>
          <cell r="F3516" t="str">
            <v>14.810.779/0001-15</v>
          </cell>
        </row>
        <row r="3517">
          <cell r="A3517">
            <v>35383</v>
          </cell>
          <cell r="B3517" t="str">
            <v>CORPORATION</v>
          </cell>
          <cell r="C3517" t="str">
            <v>Agromaq Agricola Ltda - Epp</v>
          </cell>
          <cell r="D3517" t="str">
            <v>Agromaq</v>
          </cell>
          <cell r="E3517" t="str">
            <v>BR_CNPJ</v>
          </cell>
          <cell r="F3517" t="str">
            <v>05.783.991/0001-40</v>
          </cell>
        </row>
        <row r="3518">
          <cell r="A3518">
            <v>35386</v>
          </cell>
          <cell r="B3518" t="str">
            <v>CORPORATION</v>
          </cell>
          <cell r="C3518" t="str">
            <v>Raf Maquinas E Acessorios Industriais Eireli - Me</v>
          </cell>
          <cell r="D3518" t="str">
            <v>Raf Maquinas</v>
          </cell>
          <cell r="E3518" t="str">
            <v>BR_CNPJ</v>
          </cell>
          <cell r="F3518" t="str">
            <v>13.824.331/0001-98</v>
          </cell>
        </row>
        <row r="3519">
          <cell r="A3519">
            <v>35389</v>
          </cell>
          <cell r="B3519" t="str">
            <v>CORPORATION</v>
          </cell>
          <cell r="C3519" t="str">
            <v>Fm Parafusos Ferramentas E Epi'S Ltda - Me</v>
          </cell>
          <cell r="D3519" t="str">
            <v>Fm Parafusos</v>
          </cell>
          <cell r="E3519" t="str">
            <v>BR_CNPJ</v>
          </cell>
          <cell r="F3519" t="str">
            <v>11.438.325/0001-77</v>
          </cell>
        </row>
        <row r="3520">
          <cell r="A3520">
            <v>35393</v>
          </cell>
          <cell r="B3520" t="str">
            <v>CORPORATION</v>
          </cell>
          <cell r="C3520" t="str">
            <v>Alves E Abreu Parafusos Ltda - Me</v>
          </cell>
          <cell r="D3520" t="str">
            <v>Lc Parafusos</v>
          </cell>
          <cell r="E3520" t="str">
            <v>BR_CNPJ</v>
          </cell>
          <cell r="F3520" t="str">
            <v>09.253.945/0001-90</v>
          </cell>
        </row>
        <row r="3521">
          <cell r="A3521">
            <v>35397</v>
          </cell>
          <cell r="B3521" t="str">
            <v>CORPORATION</v>
          </cell>
          <cell r="C3521" t="str">
            <v>Siga Comercio De Eletro Eletronicos Eireli - Me</v>
          </cell>
          <cell r="D3521" t="str">
            <v>Siga Tools Importados</v>
          </cell>
          <cell r="E3521" t="str">
            <v>BR_CNPJ</v>
          </cell>
          <cell r="F3521" t="str">
            <v>08.381.082/0001-73</v>
          </cell>
          <cell r="G3521" t="str">
            <v>QUALIDADE TOOLS</v>
          </cell>
        </row>
        <row r="3522">
          <cell r="A3522">
            <v>35400</v>
          </cell>
          <cell r="B3522" t="str">
            <v>CORPORATION</v>
          </cell>
          <cell r="C3522" t="str">
            <v>Amanda De Canuto Pereira 01513964690</v>
          </cell>
          <cell r="D3522" t="str">
            <v>Distak Ferramentas</v>
          </cell>
          <cell r="E3522" t="str">
            <v>BR_CNPJ</v>
          </cell>
          <cell r="F3522" t="str">
            <v>22.875.436/0001-67</v>
          </cell>
        </row>
        <row r="3523">
          <cell r="A3523">
            <v>35404</v>
          </cell>
          <cell r="B3523" t="str">
            <v>CORPORATION</v>
          </cell>
          <cell r="C3523" t="str">
            <v>S A Comercio De Ferramentas Em Geral Ltda - Epp</v>
          </cell>
          <cell r="D3523" t="str">
            <v>S A Comercio De Ferramentas</v>
          </cell>
          <cell r="E3523" t="str">
            <v>BR_CNPJ</v>
          </cell>
          <cell r="F3523" t="str">
            <v>08.306.597/0001-09</v>
          </cell>
          <cell r="G3523" t="str">
            <v>SA TOOLS</v>
          </cell>
        </row>
        <row r="3524">
          <cell r="A3524">
            <v>35407</v>
          </cell>
          <cell r="B3524" t="str">
            <v>CORPORATION</v>
          </cell>
          <cell r="C3524" t="str">
            <v>Valdir Belmiro De Almeida - Me</v>
          </cell>
          <cell r="D3524" t="str">
            <v>Stilo Ferramentas</v>
          </cell>
          <cell r="E3524" t="str">
            <v>BR_CNPJ</v>
          </cell>
          <cell r="F3524" t="str">
            <v>07.259.672/0001-65</v>
          </cell>
        </row>
        <row r="3525">
          <cell r="A3525">
            <v>35411</v>
          </cell>
          <cell r="B3525" t="str">
            <v>CORPORATION</v>
          </cell>
          <cell r="C3525" t="str">
            <v>Oliveira Comercio De Produtos Agricolas E Veterinarios Ltda - Me</v>
          </cell>
          <cell r="D3525" t="str">
            <v>Agropecuaria Oliveira</v>
          </cell>
          <cell r="E3525" t="str">
            <v>BR_CNPJ</v>
          </cell>
          <cell r="F3525" t="str">
            <v>22.653.652/0001-68</v>
          </cell>
        </row>
        <row r="3526">
          <cell r="A3526">
            <v>35412</v>
          </cell>
          <cell r="B3526" t="str">
            <v>CORPORATION</v>
          </cell>
          <cell r="C3526" t="str">
            <v>Heldt Comercio De Maquinas E Equipamentos Agricolas Ltda</v>
          </cell>
          <cell r="D3526" t="str">
            <v>Agro City</v>
          </cell>
          <cell r="E3526" t="str">
            <v>BR_CNPJ</v>
          </cell>
          <cell r="F3526" t="str">
            <v>18.036.190/0001-62</v>
          </cell>
        </row>
        <row r="3527">
          <cell r="A3527">
            <v>35414</v>
          </cell>
          <cell r="B3527" t="str">
            <v>CORPORATION</v>
          </cell>
          <cell r="C3527" t="str">
            <v>Bh Ferramentas Ltda - Me</v>
          </cell>
          <cell r="D3527" t="str">
            <v>Bh Ferramentas</v>
          </cell>
          <cell r="E3527" t="str">
            <v>BR_CNPJ</v>
          </cell>
          <cell r="F3527" t="str">
            <v>13.283.878/0001-23</v>
          </cell>
        </row>
        <row r="3528">
          <cell r="A3528">
            <v>35416</v>
          </cell>
          <cell r="B3528" t="str">
            <v>CORPORATION</v>
          </cell>
          <cell r="C3528" t="str">
            <v>51.056.761 Diego De Lira Tadau</v>
          </cell>
          <cell r="D3528" t="str">
            <v>Ws Ferramentas</v>
          </cell>
          <cell r="E3528" t="str">
            <v>BR_CNPJ</v>
          </cell>
          <cell r="F3528" t="str">
            <v>51.056.761/0001-04</v>
          </cell>
          <cell r="G3528" t="str">
            <v>WS FERRAMENTAS</v>
          </cell>
        </row>
        <row r="3529">
          <cell r="A3529">
            <v>35417</v>
          </cell>
          <cell r="B3529" t="str">
            <v>CORPORATION</v>
          </cell>
          <cell r="C3529" t="str">
            <v>Lourinho Ferramentas Ltda</v>
          </cell>
          <cell r="D3529" t="str">
            <v>Loirinho Ferramentas</v>
          </cell>
          <cell r="E3529" t="str">
            <v>BR_CNPJ</v>
          </cell>
          <cell r="F3529" t="str">
            <v>11.389.549/0001-36</v>
          </cell>
        </row>
        <row r="3530">
          <cell r="A3530">
            <v>35420</v>
          </cell>
          <cell r="B3530" t="str">
            <v>CORPORATION</v>
          </cell>
          <cell r="C3530" t="str">
            <v>Dalmaq Comercio De Maquinas E Equipamentos Agricola Ltda - Me</v>
          </cell>
          <cell r="D3530" t="str">
            <v>Dalmaq</v>
          </cell>
          <cell r="E3530" t="str">
            <v>BR_CNPJ</v>
          </cell>
          <cell r="F3530" t="str">
            <v>04.561.856/0001-97</v>
          </cell>
        </row>
        <row r="3531">
          <cell r="A3531">
            <v>35428</v>
          </cell>
          <cell r="B3531" t="str">
            <v>CORPORATION</v>
          </cell>
          <cell r="C3531" t="str">
            <v>Prime Marcenaria Tecnica Ltda.</v>
          </cell>
          <cell r="D3531" t="str">
            <v>Prime Marcenaria Tecnica</v>
          </cell>
          <cell r="E3531" t="str">
            <v>BR_CNPJ</v>
          </cell>
          <cell r="F3531" t="str">
            <v>28.974.967/0001-93</v>
          </cell>
        </row>
        <row r="3532">
          <cell r="A3532">
            <v>35430</v>
          </cell>
          <cell r="B3532" t="str">
            <v>CORPORATION</v>
          </cell>
          <cell r="C3532" t="str">
            <v>Ferramac Ferramentas E Equipamentos De Seguranca Ltda</v>
          </cell>
          <cell r="D3532" t="str">
            <v>Ferramac Ferramentas E Equipamentos De Seguranca Ltda</v>
          </cell>
          <cell r="E3532" t="str">
            <v>BR_CNPJ</v>
          </cell>
          <cell r="F3532" t="str">
            <v>11.685.924/0003-57</v>
          </cell>
          <cell r="G3532" t="str">
            <v>FERRAMAC</v>
          </cell>
        </row>
        <row r="3533">
          <cell r="A3533">
            <v>35432</v>
          </cell>
          <cell r="B3533" t="str">
            <v>CORPORATION</v>
          </cell>
          <cell r="C3533" t="str">
            <v>Uni Soldas Comercio E Servicos Ltda - Me</v>
          </cell>
          <cell r="D3533" t="str">
            <v>Uni Soldas</v>
          </cell>
          <cell r="E3533" t="str">
            <v>BR_CNPJ</v>
          </cell>
          <cell r="F3533" t="str">
            <v>97.541.871/0001-54</v>
          </cell>
        </row>
        <row r="3534">
          <cell r="A3534">
            <v>35435</v>
          </cell>
          <cell r="B3534" t="str">
            <v>CORPORATION</v>
          </cell>
          <cell r="C3534" t="str">
            <v>Tupinambas Ferramentas Ltda</v>
          </cell>
          <cell r="D3534" t="str">
            <v>Tupinambas Box 107 E 108</v>
          </cell>
          <cell r="E3534" t="str">
            <v>BR_CNPJ</v>
          </cell>
          <cell r="F3534" t="str">
            <v>11.516.957/0001-01</v>
          </cell>
        </row>
        <row r="3535">
          <cell r="A3535">
            <v>35439</v>
          </cell>
          <cell r="B3535" t="str">
            <v>CORPORATION</v>
          </cell>
          <cell r="C3535" t="str">
            <v>World Of Machine - Comercio De Ferramentas Eireli - Me</v>
          </cell>
          <cell r="D3535" t="str">
            <v>World Of Machine</v>
          </cell>
          <cell r="E3535" t="str">
            <v>BR_CNPJ</v>
          </cell>
          <cell r="F3535" t="str">
            <v>17.445.268/0001-30</v>
          </cell>
        </row>
        <row r="3536">
          <cell r="A3536">
            <v>35440</v>
          </cell>
          <cell r="B3536" t="str">
            <v>CORPORATION</v>
          </cell>
          <cell r="C3536" t="str">
            <v>Geisa Mara Bertoni Rodrigues 36811331828</v>
          </cell>
          <cell r="D3536" t="str">
            <v>Indutec Service</v>
          </cell>
          <cell r="E3536" t="str">
            <v>BR_CNPJ</v>
          </cell>
          <cell r="F3536" t="str">
            <v>38.090.906/0001-17</v>
          </cell>
        </row>
        <row r="3537">
          <cell r="A3537">
            <v>35442</v>
          </cell>
          <cell r="B3537" t="str">
            <v>CORPORATION</v>
          </cell>
          <cell r="C3537" t="str">
            <v>Columbia Comercial De Ferramentas Eletricas Ltda</v>
          </cell>
          <cell r="D3537" t="str">
            <v>Columbia</v>
          </cell>
          <cell r="E3537" t="str">
            <v>BR_CNPJ</v>
          </cell>
          <cell r="F3537" t="str">
            <v>08.188.029/0001-50</v>
          </cell>
        </row>
        <row r="3538">
          <cell r="A3538">
            <v>35445</v>
          </cell>
          <cell r="B3538" t="str">
            <v>CORPORATION</v>
          </cell>
          <cell r="C3538" t="str">
            <v>Ubuntu Marketing E Servicos Ltda - Me</v>
          </cell>
          <cell r="D3538" t="str">
            <v>Ubuntu Marketing E Servicos</v>
          </cell>
          <cell r="E3538" t="str">
            <v>BR_CNPJ</v>
          </cell>
          <cell r="F3538" t="str">
            <v>14.523.618/0001-40</v>
          </cell>
        </row>
        <row r="3539">
          <cell r="A3539">
            <v>35448</v>
          </cell>
          <cell r="B3539" t="str">
            <v>CORPORATION</v>
          </cell>
          <cell r="C3539" t="str">
            <v>F De A Marques - Me</v>
          </cell>
          <cell r="D3539" t="str">
            <v>Disbom</v>
          </cell>
          <cell r="E3539" t="str">
            <v>BR_CNPJ</v>
          </cell>
          <cell r="F3539" t="str">
            <v>02.263.967/0001-91</v>
          </cell>
        </row>
        <row r="3540">
          <cell r="A3540">
            <v>35452</v>
          </cell>
          <cell r="B3540" t="str">
            <v>CORPORATION</v>
          </cell>
          <cell r="C3540" t="str">
            <v>Adalberto Cremonini Bombarda &amp; Cia Ltda</v>
          </cell>
          <cell r="D3540" t="str">
            <v>Cofepar Ferramentas E Parafusos</v>
          </cell>
          <cell r="E3540" t="str">
            <v>BR_CNPJ</v>
          </cell>
          <cell r="F3540" t="str">
            <v>66.643.107/0001-66</v>
          </cell>
        </row>
        <row r="3541">
          <cell r="A3541">
            <v>35455</v>
          </cell>
          <cell r="B3541" t="str">
            <v>CORPORATION</v>
          </cell>
          <cell r="C3541" t="str">
            <v>Katzen Comercio, Serviços E Locações Ltda</v>
          </cell>
          <cell r="D3541" t="str">
            <v>Katzen Comercio, Serviços E Locações Ltda</v>
          </cell>
          <cell r="E3541" t="str">
            <v>BR_CNPJ</v>
          </cell>
          <cell r="F3541" t="str">
            <v>43.327.218/0001-68</v>
          </cell>
        </row>
        <row r="3542">
          <cell r="A3542">
            <v>35456</v>
          </cell>
          <cell r="B3542" t="str">
            <v>CORPORATION</v>
          </cell>
          <cell r="C3542" t="str">
            <v>A Soldas Jaguare Comercial Ltda - Epp</v>
          </cell>
          <cell r="D3542" t="str">
            <v>A Soldas Jaguare</v>
          </cell>
          <cell r="E3542" t="str">
            <v>BR_CNPJ</v>
          </cell>
          <cell r="F3542" t="str">
            <v>56.680.390/0001-42</v>
          </cell>
        </row>
        <row r="3543">
          <cell r="A3543">
            <v>35459</v>
          </cell>
          <cell r="B3543" t="str">
            <v>CORPORATION</v>
          </cell>
          <cell r="C3543" t="str">
            <v>Daniel Kerche Lobo - Me</v>
          </cell>
          <cell r="D3543" t="str">
            <v>Quatro Irmãos</v>
          </cell>
          <cell r="E3543" t="str">
            <v>BR_CNPJ</v>
          </cell>
          <cell r="F3543" t="str">
            <v>20.980.079/0001-71</v>
          </cell>
        </row>
        <row r="3544">
          <cell r="A3544">
            <v>35463</v>
          </cell>
          <cell r="B3544" t="str">
            <v>CORPORATION</v>
          </cell>
          <cell r="C3544" t="str">
            <v>Ciclo Cairu Comercio De Pecas Para Motocicletas Ltda</v>
          </cell>
          <cell r="D3544" t="str">
            <v>Ciclo Cairu</v>
          </cell>
          <cell r="E3544" t="str">
            <v>BR_CNPJ</v>
          </cell>
          <cell r="F3544" t="str">
            <v>08.948.270/0001-30</v>
          </cell>
        </row>
        <row r="3545">
          <cell r="A3545">
            <v>35466</v>
          </cell>
          <cell r="B3545" t="str">
            <v>CORPORATION</v>
          </cell>
          <cell r="C3545" t="str">
            <v>Daniel De Castro - Me</v>
          </cell>
          <cell r="D3545" t="str">
            <v>Dtec</v>
          </cell>
          <cell r="E3545" t="str">
            <v>BR_CNPJ</v>
          </cell>
          <cell r="F3545" t="str">
            <v>17.862.059/0001-91</v>
          </cell>
        </row>
        <row r="3546">
          <cell r="A3546">
            <v>35470</v>
          </cell>
          <cell r="B3546" t="str">
            <v>CORPORATION</v>
          </cell>
          <cell r="C3546" t="str">
            <v>M. F. A. Aguiar - Epp</v>
          </cell>
          <cell r="D3546" t="str">
            <v>M. F. A. Aguiar</v>
          </cell>
          <cell r="E3546" t="str">
            <v>BR_CNPJ</v>
          </cell>
          <cell r="F3546" t="str">
            <v>23.453.855/0001-73</v>
          </cell>
        </row>
        <row r="3547">
          <cell r="A3547">
            <v>35472</v>
          </cell>
          <cell r="B3547" t="str">
            <v>CORPORATION</v>
          </cell>
          <cell r="C3547" t="str">
            <v>Lucelia Ogawa Leite Buffani 02854887913</v>
          </cell>
          <cell r="D3547" t="str">
            <v>Tecnosoldas</v>
          </cell>
          <cell r="E3547" t="str">
            <v>BR_CNPJ</v>
          </cell>
          <cell r="F3547" t="str">
            <v>39.977.510/0001-59</v>
          </cell>
        </row>
        <row r="3548">
          <cell r="A3548">
            <v>35476</v>
          </cell>
          <cell r="B3548" t="str">
            <v>CORPORATION</v>
          </cell>
          <cell r="C3548" t="str">
            <v>Ferramentas.Com Comercio E Servicos Ltda - Me</v>
          </cell>
          <cell r="D3548" t="str">
            <v>Md Ferramentas</v>
          </cell>
          <cell r="E3548" t="str">
            <v>BR_CNPJ</v>
          </cell>
          <cell r="F3548" t="str">
            <v>14.782.414/0001-24</v>
          </cell>
        </row>
        <row r="3549">
          <cell r="A3549">
            <v>35478</v>
          </cell>
          <cell r="B3549" t="str">
            <v>CORPORATION</v>
          </cell>
          <cell r="C3549" t="str">
            <v>Agroleite Comercio De Produtos Agropecuarios Ltda</v>
          </cell>
          <cell r="D3549" t="str">
            <v>Agroleite</v>
          </cell>
          <cell r="E3549" t="str">
            <v>BR_CNPJ</v>
          </cell>
          <cell r="F3549" t="str">
            <v>26.820.838/0001-15</v>
          </cell>
        </row>
        <row r="3550">
          <cell r="A3550">
            <v>35479</v>
          </cell>
          <cell r="B3550" t="str">
            <v>CORPORATION</v>
          </cell>
          <cell r="C3550" t="str">
            <v>Flavio Eduardo Da Silva 74580175620</v>
          </cell>
          <cell r="D3550" t="str">
            <v>Eletronica Flavinho</v>
          </cell>
          <cell r="E3550" t="str">
            <v>BR_CNPJ</v>
          </cell>
          <cell r="F3550" t="str">
            <v>02.002.945/0001-78</v>
          </cell>
        </row>
        <row r="3551">
          <cell r="A3551">
            <v>35482</v>
          </cell>
          <cell r="B3551" t="str">
            <v>CORPORATION</v>
          </cell>
          <cell r="C3551" t="str">
            <v>Agro Cruz Alta Ltda - Me</v>
          </cell>
          <cell r="D3551" t="str">
            <v>Agro Cruz Alta</v>
          </cell>
          <cell r="E3551" t="str">
            <v>BR_CNPJ</v>
          </cell>
          <cell r="F3551" t="str">
            <v>01.618.298/0001-60</v>
          </cell>
        </row>
        <row r="3552">
          <cell r="A3552">
            <v>35485</v>
          </cell>
          <cell r="B3552" t="str">
            <v>CORPORATION</v>
          </cell>
          <cell r="C3552" t="str">
            <v>Vermei Comercio De Materiais Para Construcao - Eireli - Me</v>
          </cell>
          <cell r="D3552" t="str">
            <v>Vermei Comercio De Materiais Para Construcao</v>
          </cell>
          <cell r="E3552" t="str">
            <v>BR_CNPJ</v>
          </cell>
          <cell r="F3552" t="str">
            <v>13.281.499/0001-02</v>
          </cell>
        </row>
        <row r="3553">
          <cell r="A3553">
            <v>35489</v>
          </cell>
          <cell r="B3553" t="str">
            <v>CORPORATION</v>
          </cell>
          <cell r="C3553" t="str">
            <v>Aquarela Tintas E Ferramentas Ltda - Me</v>
          </cell>
          <cell r="D3553" t="str">
            <v>Aquarela Tintas</v>
          </cell>
          <cell r="E3553" t="str">
            <v>BR_CNPJ</v>
          </cell>
          <cell r="F3553" t="str">
            <v>09.305.904/0001-08</v>
          </cell>
        </row>
        <row r="3554">
          <cell r="A3554">
            <v>35490</v>
          </cell>
          <cell r="B3554" t="str">
            <v>CORPORATION</v>
          </cell>
          <cell r="C3554" t="str">
            <v>Lar Irma Terezinha</v>
          </cell>
          <cell r="D3554" t="str">
            <v>Lar Irma Terezinha</v>
          </cell>
          <cell r="E3554" t="str">
            <v>BR_CNPJ</v>
          </cell>
          <cell r="F3554" t="str">
            <v>54.122.031/0001-44</v>
          </cell>
        </row>
        <row r="3555">
          <cell r="A3555">
            <v>35491</v>
          </cell>
          <cell r="B3555" t="str">
            <v>CORPORATION</v>
          </cell>
          <cell r="C3555" t="str">
            <v>Comercial Ss Canberra Ltda</v>
          </cell>
          <cell r="D3555" t="str">
            <v>Eletro Lido</v>
          </cell>
          <cell r="E3555" t="str">
            <v>BR_CNPJ</v>
          </cell>
          <cell r="F3555" t="str">
            <v>17.932.102/0001-48</v>
          </cell>
        </row>
        <row r="3556">
          <cell r="A3556">
            <v>35492</v>
          </cell>
          <cell r="B3556" t="str">
            <v>CORPORATION</v>
          </cell>
          <cell r="C3556" t="str">
            <v>Brag Comercio De Parafusos Ltda - Me</v>
          </cell>
          <cell r="D3556" t="str">
            <v>Brag Parafusos</v>
          </cell>
          <cell r="E3556" t="str">
            <v>BR_CNPJ</v>
          </cell>
          <cell r="F3556" t="str">
            <v>08.762.181/0001-03</v>
          </cell>
        </row>
        <row r="3557">
          <cell r="A3557">
            <v>35495</v>
          </cell>
          <cell r="B3557" t="str">
            <v>CORPORATION</v>
          </cell>
          <cell r="C3557" t="str">
            <v>Chaverauto Confeccoes De Chaves Ltda - Me</v>
          </cell>
          <cell r="D3557" t="str">
            <v>Chaverauto Confeccoes De Chaves</v>
          </cell>
          <cell r="E3557" t="str">
            <v>BR_CNPJ</v>
          </cell>
          <cell r="F3557" t="str">
            <v>01.813.224/0001-85</v>
          </cell>
        </row>
        <row r="3558">
          <cell r="A3558">
            <v>35502</v>
          </cell>
          <cell r="B3558" t="str">
            <v>CORPORATION</v>
          </cell>
          <cell r="C3558" t="str">
            <v>Bhb Comercio Varejista Eireli - Epp</v>
          </cell>
          <cell r="D3558" t="str">
            <v>Bhb Comercio Varejista</v>
          </cell>
          <cell r="E3558" t="str">
            <v>BR_CNPJ</v>
          </cell>
          <cell r="F3558" t="str">
            <v>24.868.423/0001-96</v>
          </cell>
        </row>
        <row r="3559">
          <cell r="A3559">
            <v>35509</v>
          </cell>
          <cell r="B3559" t="str">
            <v>CORPORATION</v>
          </cell>
          <cell r="C3559" t="str">
            <v>Herdeny Di Carlly De Almeida Rocha - Me</v>
          </cell>
          <cell r="D3559" t="str">
            <v>Carlly Variedades</v>
          </cell>
          <cell r="E3559" t="str">
            <v>BR_CNPJ</v>
          </cell>
          <cell r="F3559" t="str">
            <v>08.636.964/0001-32</v>
          </cell>
        </row>
        <row r="3560">
          <cell r="A3560">
            <v>35512</v>
          </cell>
          <cell r="B3560" t="str">
            <v>CORPORATION</v>
          </cell>
          <cell r="C3560" t="str">
            <v>Jr Ferramentas Marilia Ltda - Me</v>
          </cell>
          <cell r="D3560" t="str">
            <v>Jr Ferramentas</v>
          </cell>
          <cell r="E3560" t="str">
            <v>BR_CNPJ</v>
          </cell>
          <cell r="F3560" t="str">
            <v>21.874.986/0001-07</v>
          </cell>
        </row>
        <row r="3561">
          <cell r="A3561">
            <v>35519</v>
          </cell>
          <cell r="B3561" t="str">
            <v>CORPORATION</v>
          </cell>
          <cell r="C3561" t="str">
            <v>Uniao Locacao E Comercio De Equipamentos Para Solda Ltda</v>
          </cell>
          <cell r="D3561" t="str">
            <v>Uniao Locacao</v>
          </cell>
          <cell r="E3561" t="str">
            <v>BR_CNPJ</v>
          </cell>
          <cell r="F3561" t="str">
            <v>07.693.903/0001-44</v>
          </cell>
        </row>
        <row r="3562">
          <cell r="A3562">
            <v>35522</v>
          </cell>
          <cell r="B3562" t="str">
            <v>CORPORATION</v>
          </cell>
          <cell r="C3562" t="str">
            <v>Marcelo Aparecido Momesso - Me</v>
          </cell>
          <cell r="D3562" t="str">
            <v>Momesso Motores E Materiais Eletricos</v>
          </cell>
          <cell r="E3562" t="str">
            <v>BR_CNPJ</v>
          </cell>
          <cell r="F3562" t="str">
            <v>13.084.997/0001-57</v>
          </cell>
        </row>
        <row r="3563">
          <cell r="A3563">
            <v>35526</v>
          </cell>
          <cell r="B3563" t="str">
            <v>CORPORATION</v>
          </cell>
          <cell r="C3563" t="str">
            <v>Pereira E Duarte Comercio De Ferramentas Ltda - Me</v>
          </cell>
          <cell r="D3563" t="str">
            <v>Casa Das Ferramentas</v>
          </cell>
          <cell r="E3563" t="str">
            <v>BR_CNPJ</v>
          </cell>
          <cell r="F3563" t="str">
            <v>06.246.758/0001-90</v>
          </cell>
        </row>
        <row r="3564">
          <cell r="A3564">
            <v>35529</v>
          </cell>
          <cell r="B3564" t="str">
            <v>CORPORATION</v>
          </cell>
          <cell r="C3564" t="str">
            <v>Comercio De Mat De Construcao Santa Rita Estiva Ltda - Epp</v>
          </cell>
          <cell r="D3564" t="str">
            <v>Comercio De Mat De Construcao Santa Rita Estiva</v>
          </cell>
          <cell r="E3564" t="str">
            <v>BR_CNPJ</v>
          </cell>
          <cell r="F3564" t="str">
            <v>67.299.099/0001-45</v>
          </cell>
        </row>
        <row r="3565">
          <cell r="A3565">
            <v>35532</v>
          </cell>
          <cell r="B3565" t="str">
            <v>CORPORATION</v>
          </cell>
          <cell r="C3565" t="str">
            <v>Antonio Carlos Aleixo - Me</v>
          </cell>
          <cell r="D3565" t="str">
            <v>Eletro Motores Aleixo</v>
          </cell>
          <cell r="E3565" t="str">
            <v>BR_CNPJ</v>
          </cell>
          <cell r="F3565" t="str">
            <v>57.546.509/0001-51</v>
          </cell>
        </row>
        <row r="3566">
          <cell r="A3566">
            <v>35534</v>
          </cell>
          <cell r="B3566" t="str">
            <v>CORPORATION</v>
          </cell>
          <cell r="C3566" t="str">
            <v>J A Da Silva Conceito Distribuidora</v>
          </cell>
          <cell r="D3566" t="str">
            <v>Conceito Distribuidora</v>
          </cell>
          <cell r="E3566" t="str">
            <v>BR_CNPJ</v>
          </cell>
          <cell r="F3566" t="str">
            <v>44.438.219/0001-42</v>
          </cell>
          <cell r="G3566" t="str">
            <v>ORAVES FERRAGISTA</v>
          </cell>
        </row>
        <row r="3567">
          <cell r="A3567">
            <v>35539</v>
          </cell>
          <cell r="B3567" t="str">
            <v>CORPORATION</v>
          </cell>
          <cell r="C3567" t="str">
            <v>Hidrofuso Comercio De Parafuso E Ferragens Ltda - Me</v>
          </cell>
          <cell r="D3567" t="str">
            <v>Maqfuso</v>
          </cell>
          <cell r="E3567" t="str">
            <v>BR_CNPJ</v>
          </cell>
          <cell r="F3567" t="str">
            <v>15.817.356/0001-90</v>
          </cell>
        </row>
        <row r="3568">
          <cell r="A3568">
            <v>35542</v>
          </cell>
          <cell r="B3568" t="str">
            <v>CORPORATION</v>
          </cell>
          <cell r="C3568" t="str">
            <v>Luiz Carlos Gravena Aracatuba - Epp</v>
          </cell>
          <cell r="D3568" t="str">
            <v>Aracapar Parafusos</v>
          </cell>
          <cell r="E3568" t="str">
            <v>BR_CNPJ</v>
          </cell>
          <cell r="F3568" t="str">
            <v>38.785.218/0001-71</v>
          </cell>
        </row>
        <row r="3569">
          <cell r="A3569">
            <v>35543</v>
          </cell>
          <cell r="B3569" t="str">
            <v>CORPORATION</v>
          </cell>
          <cell r="C3569" t="str">
            <v>R Maria Vieira Moreira</v>
          </cell>
          <cell r="D3569" t="str">
            <v>Lojao Das Ferramentas</v>
          </cell>
          <cell r="E3569" t="str">
            <v>BR_CNPJ</v>
          </cell>
          <cell r="F3569" t="str">
            <v>34.047.031/0001-10</v>
          </cell>
        </row>
        <row r="3570">
          <cell r="A3570">
            <v>35547</v>
          </cell>
          <cell r="B3570" t="str">
            <v>CORPORATION</v>
          </cell>
          <cell r="C3570" t="str">
            <v>J. P. C. Silva</v>
          </cell>
          <cell r="D3570" t="str">
            <v>Nego Pintor Construcoes</v>
          </cell>
          <cell r="E3570" t="str">
            <v>BR_CNPJ</v>
          </cell>
          <cell r="F3570" t="str">
            <v>13.047.739/0001-09</v>
          </cell>
        </row>
        <row r="3571">
          <cell r="A3571">
            <v>35548</v>
          </cell>
          <cell r="B3571" t="str">
            <v>CORPORATION</v>
          </cell>
          <cell r="C3571" t="str">
            <v>Armazem Do Ferro Ltda - Me</v>
          </cell>
          <cell r="D3571" t="str">
            <v>Castor Aço</v>
          </cell>
          <cell r="E3571" t="str">
            <v>BR_CNPJ</v>
          </cell>
          <cell r="F3571" t="str">
            <v>24.041.400/0001-03</v>
          </cell>
        </row>
        <row r="3572">
          <cell r="A3572">
            <v>35554</v>
          </cell>
          <cell r="B3572" t="str">
            <v>CORPORATION</v>
          </cell>
          <cell r="C3572" t="str">
            <v>Almar Parafusos E Pecas Ltda - Epp</v>
          </cell>
          <cell r="D3572" t="str">
            <v>Casa Do Parafuso</v>
          </cell>
          <cell r="E3572" t="str">
            <v>BR_CNPJ</v>
          </cell>
          <cell r="F3572" t="str">
            <v>07.694.741/0001-69</v>
          </cell>
        </row>
        <row r="3573">
          <cell r="A3573">
            <v>35558</v>
          </cell>
          <cell r="B3573" t="str">
            <v>CORPORATION</v>
          </cell>
          <cell r="C3573" t="str">
            <v>Daniel Bordignon</v>
          </cell>
          <cell r="D3573" t="str">
            <v>Lider Equipamentos</v>
          </cell>
          <cell r="E3573" t="str">
            <v>BR_CNPJ</v>
          </cell>
          <cell r="F3573" t="str">
            <v>12.514.841/0001-04</v>
          </cell>
        </row>
        <row r="3574">
          <cell r="A3574">
            <v>35561</v>
          </cell>
          <cell r="B3574" t="str">
            <v>CORPORATION</v>
          </cell>
          <cell r="C3574" t="str">
            <v>Fabiano Scherrer - Me</v>
          </cell>
          <cell r="D3574" t="str">
            <v>Fabiano Modas</v>
          </cell>
          <cell r="E3574" t="str">
            <v>BR_CNPJ</v>
          </cell>
          <cell r="F3574" t="str">
            <v>00.862.460/0001-29</v>
          </cell>
        </row>
        <row r="3575">
          <cell r="A3575">
            <v>35562</v>
          </cell>
          <cell r="B3575" t="str">
            <v>CORPORATION</v>
          </cell>
          <cell r="C3575" t="str">
            <v>Carvalho Comercio De Ferragens E Ferramentas Ltda</v>
          </cell>
          <cell r="D3575" t="str">
            <v>Sia Solda</v>
          </cell>
          <cell r="E3575" t="str">
            <v>BR_CNPJ</v>
          </cell>
          <cell r="F3575" t="str">
            <v>07.119.553/0001-07</v>
          </cell>
          <cell r="G3575" t="str">
            <v>SIA SOLDA</v>
          </cell>
        </row>
        <row r="3576">
          <cell r="A3576">
            <v>35570</v>
          </cell>
          <cell r="B3576" t="str">
            <v>CORPORATION</v>
          </cell>
          <cell r="C3576" t="str">
            <v>Priscila Do Nascimento Silva 01616808365</v>
          </cell>
          <cell r="D3576" t="str">
            <v>Comercial Silva</v>
          </cell>
          <cell r="E3576" t="str">
            <v>BR_CNPJ</v>
          </cell>
          <cell r="F3576" t="str">
            <v>22.996.576/0001-93</v>
          </cell>
        </row>
        <row r="3577">
          <cell r="A3577">
            <v>35572</v>
          </cell>
          <cell r="B3577" t="str">
            <v>CORPORATION</v>
          </cell>
          <cell r="C3577" t="str">
            <v>Alphaluga Locadora Ltda.</v>
          </cell>
          <cell r="D3577" t="str">
            <v>Alphaluga</v>
          </cell>
          <cell r="E3577" t="str">
            <v>BR_CNPJ</v>
          </cell>
          <cell r="F3577" t="str">
            <v>55.787.170/0001-50</v>
          </cell>
        </row>
        <row r="3578">
          <cell r="A3578">
            <v>35573</v>
          </cell>
          <cell r="B3578" t="str">
            <v>CORPORATION</v>
          </cell>
          <cell r="C3578" t="str">
            <v>Wady Net Comercio De Ferramentas Ltda</v>
          </cell>
          <cell r="D3578" t="str">
            <v>Wady Net Comercio De Ferramentas</v>
          </cell>
          <cell r="E3578" t="str">
            <v>BR_CNPJ</v>
          </cell>
          <cell r="F3578" t="str">
            <v>17.086.084/0001-20</v>
          </cell>
        </row>
        <row r="3579">
          <cell r="A3579">
            <v>35576</v>
          </cell>
          <cell r="B3579" t="str">
            <v>CORPORATION</v>
          </cell>
          <cell r="C3579" t="str">
            <v>Evangelista Representacoes Eireli - Me</v>
          </cell>
          <cell r="D3579" t="str">
            <v>Evangelista Representacoes</v>
          </cell>
          <cell r="E3579" t="str">
            <v>BR_CNPJ</v>
          </cell>
          <cell r="F3579" t="str">
            <v>01.401.403/0001-05</v>
          </cell>
        </row>
        <row r="3580">
          <cell r="A3580">
            <v>35579</v>
          </cell>
          <cell r="B3580" t="str">
            <v>CORPORATION</v>
          </cell>
          <cell r="C3580" t="str">
            <v>Ana Paula Aguiar Correia - Me</v>
          </cell>
          <cell r="D3580" t="str">
            <v>Atlantico Pecas</v>
          </cell>
          <cell r="E3580" t="str">
            <v>BR_CNPJ</v>
          </cell>
          <cell r="F3580" t="str">
            <v>08.806.936/0001-16</v>
          </cell>
        </row>
        <row r="3581">
          <cell r="A3581">
            <v>35582</v>
          </cell>
          <cell r="B3581" t="str">
            <v>CORPORATION</v>
          </cell>
          <cell r="C3581" t="str">
            <v>J. T. Aquino Costa - Me</v>
          </cell>
          <cell r="D3581" t="str">
            <v>Metalurgica Costa</v>
          </cell>
          <cell r="E3581" t="str">
            <v>BR_CNPJ</v>
          </cell>
          <cell r="F3581" t="str">
            <v>14.237.571/0001-59</v>
          </cell>
        </row>
        <row r="3582">
          <cell r="A3582">
            <v>35583</v>
          </cell>
          <cell r="B3582" t="str">
            <v>CORPORATION</v>
          </cell>
          <cell r="C3582" t="str">
            <v>Igma Maquinas E Ferramentas Ltda</v>
          </cell>
          <cell r="D3582" t="str">
            <v>Igma Maquinas E Ferramentas</v>
          </cell>
          <cell r="E3582" t="str">
            <v>BR_CNPJ</v>
          </cell>
          <cell r="F3582" t="str">
            <v>42.039.355/0001-34</v>
          </cell>
          <cell r="G3582" t="str">
            <v>GOYAS MAQUINAS</v>
          </cell>
        </row>
        <row r="3583">
          <cell r="A3583">
            <v>35588</v>
          </cell>
          <cell r="B3583" t="str">
            <v>CORPORATION</v>
          </cell>
          <cell r="C3583" t="str">
            <v>Comercial De Bombas E Motores Ltda</v>
          </cell>
          <cell r="D3583" t="str">
            <v>Casa Das Bombas Bh</v>
          </cell>
          <cell r="E3583" t="str">
            <v>BR_CNPJ</v>
          </cell>
          <cell r="F3583" t="str">
            <v>00.057.359/0002-86</v>
          </cell>
        </row>
        <row r="3584">
          <cell r="A3584">
            <v>35589</v>
          </cell>
          <cell r="B3584" t="str">
            <v>CORPORATION</v>
          </cell>
          <cell r="C3584" t="str">
            <v>Avila Distribuidora E Comercio Ltda</v>
          </cell>
          <cell r="D3584" t="str">
            <v>3a Distribuidora</v>
          </cell>
          <cell r="E3584" t="str">
            <v>BR_CNPJ</v>
          </cell>
          <cell r="F3584" t="str">
            <v>10.801.726/0001-87</v>
          </cell>
        </row>
        <row r="3585">
          <cell r="A3585">
            <v>35591</v>
          </cell>
          <cell r="B3585" t="str">
            <v>CORPORATION</v>
          </cell>
          <cell r="C3585" t="str">
            <v>Ana Paula Aguiar Correia - Me</v>
          </cell>
          <cell r="D3585" t="str">
            <v>Atlantico Pecas</v>
          </cell>
          <cell r="E3585" t="str">
            <v>BR_CNPJ</v>
          </cell>
          <cell r="F3585" t="str">
            <v>08.806.936/0002-05</v>
          </cell>
        </row>
        <row r="3586">
          <cell r="A3586">
            <v>35593</v>
          </cell>
          <cell r="B3586" t="str">
            <v>CORPORATION</v>
          </cell>
          <cell r="C3586" t="str">
            <v>Abrasoldas Comercial Ltda</v>
          </cell>
          <cell r="D3586" t="str">
            <v>Abrasoldas</v>
          </cell>
          <cell r="E3586" t="str">
            <v>BR_CNPJ</v>
          </cell>
          <cell r="F3586" t="str">
            <v>15.597.036/0001-71</v>
          </cell>
        </row>
        <row r="3587">
          <cell r="A3587">
            <v>35594</v>
          </cell>
          <cell r="B3587" t="str">
            <v>CORPORATION</v>
          </cell>
          <cell r="C3587" t="str">
            <v>Ultramar Industria E Comercio De Ferragens Ltda</v>
          </cell>
          <cell r="D3587" t="str">
            <v>Ultramar Industria E Comercio De Ferragens</v>
          </cell>
          <cell r="E3587" t="str">
            <v>BR_CNPJ</v>
          </cell>
          <cell r="F3587" t="str">
            <v>33.513.946/0001-00</v>
          </cell>
        </row>
        <row r="3588">
          <cell r="A3588">
            <v>35595</v>
          </cell>
          <cell r="B3588" t="str">
            <v>CORPORATION</v>
          </cell>
          <cell r="C3588" t="str">
            <v>Owl Producoes E Eventos Comercio E Licitacoes Eireli - Epp</v>
          </cell>
          <cell r="D3588" t="str">
            <v>Chaves Licitações</v>
          </cell>
          <cell r="E3588" t="str">
            <v>BR_CNPJ</v>
          </cell>
          <cell r="F3588" t="str">
            <v>18.599.915/0001-20</v>
          </cell>
        </row>
        <row r="3589">
          <cell r="A3589">
            <v>35599</v>
          </cell>
          <cell r="B3589" t="str">
            <v>CORPORATION</v>
          </cell>
          <cell r="C3589" t="str">
            <v>R E V Comercio E Representaoes Ltda - Me</v>
          </cell>
          <cell r="D3589" t="str">
            <v>Central Das Ferramentas</v>
          </cell>
          <cell r="E3589" t="str">
            <v>BR_CNPJ</v>
          </cell>
          <cell r="F3589" t="str">
            <v>00.389.727/0001-02</v>
          </cell>
        </row>
        <row r="3590">
          <cell r="A3590">
            <v>35600</v>
          </cell>
          <cell r="B3590" t="str">
            <v>CORPORATION</v>
          </cell>
          <cell r="C3590" t="str">
            <v>Agtec Eletrotecnica</v>
          </cell>
          <cell r="D3590" t="str">
            <v>Agtec Eletrotecnica</v>
          </cell>
          <cell r="E3590" t="str">
            <v>BR_CNPJ</v>
          </cell>
          <cell r="F3590" t="str">
            <v>14.360.344/0001-16</v>
          </cell>
        </row>
        <row r="3591">
          <cell r="A3591">
            <v>35608</v>
          </cell>
          <cell r="B3591" t="str">
            <v>CORPORATION</v>
          </cell>
          <cell r="C3591" t="str">
            <v>Rosangela Messias De Souza Macedo 10283301899</v>
          </cell>
          <cell r="D3591" t="str">
            <v>Campmaquinas</v>
          </cell>
          <cell r="E3591" t="str">
            <v>BR_CNPJ</v>
          </cell>
          <cell r="F3591" t="str">
            <v>18.232.305/0001-94</v>
          </cell>
        </row>
        <row r="3592">
          <cell r="A3592">
            <v>35611</v>
          </cell>
          <cell r="B3592" t="str">
            <v>CORPORATION</v>
          </cell>
          <cell r="C3592" t="str">
            <v>Reinaldo Fernandes</v>
          </cell>
          <cell r="D3592" t="str">
            <v>Refer Materiais Para Construcao</v>
          </cell>
          <cell r="E3592" t="str">
            <v>BR_CNPJ</v>
          </cell>
          <cell r="F3592" t="str">
            <v>45.363.918/0001-33</v>
          </cell>
        </row>
        <row r="3593">
          <cell r="A3593">
            <v>35614</v>
          </cell>
          <cell r="B3593" t="str">
            <v>CORPORATION</v>
          </cell>
          <cell r="C3593" t="str">
            <v>Weldspray Consultoria E Comercio Eireli</v>
          </cell>
          <cell r="D3593" t="str">
            <v>Weldspray Internacional</v>
          </cell>
          <cell r="E3593" t="str">
            <v>BR_CNPJ</v>
          </cell>
          <cell r="F3593" t="str">
            <v>08.879.369/0001-28</v>
          </cell>
        </row>
        <row r="3594">
          <cell r="A3594">
            <v>35615</v>
          </cell>
          <cell r="B3594" t="str">
            <v>CORPORATION</v>
          </cell>
          <cell r="C3594" t="str">
            <v>Cpl Distribuidora De Mateirias De Construcao Eireli</v>
          </cell>
          <cell r="D3594" t="str">
            <v>Cpl Distribuidora</v>
          </cell>
          <cell r="E3594" t="str">
            <v>BR_CNPJ</v>
          </cell>
          <cell r="F3594" t="str">
            <v>11.009.307/0001-70</v>
          </cell>
        </row>
        <row r="3595">
          <cell r="A3595">
            <v>35619</v>
          </cell>
          <cell r="B3595" t="str">
            <v>CORPORATION</v>
          </cell>
          <cell r="C3595" t="str">
            <v>M L Barroso Lima - Me</v>
          </cell>
          <cell r="D3595" t="str">
            <v>M L Barroso Lima</v>
          </cell>
          <cell r="E3595" t="str">
            <v>BR_CNPJ</v>
          </cell>
          <cell r="F3595" t="str">
            <v>05.976.215/0001-66</v>
          </cell>
        </row>
        <row r="3596">
          <cell r="A3596">
            <v>35623</v>
          </cell>
          <cell r="B3596" t="str">
            <v>CORPORATION</v>
          </cell>
          <cell r="C3596" t="str">
            <v>J M A Da Silva - Me</v>
          </cell>
          <cell r="D3596" t="str">
            <v>Super Fix Parafusos</v>
          </cell>
          <cell r="E3596" t="str">
            <v>BR_CNPJ</v>
          </cell>
          <cell r="F3596" t="str">
            <v>01.601.785/0001-10</v>
          </cell>
        </row>
        <row r="3597">
          <cell r="A3597">
            <v>35627</v>
          </cell>
          <cell r="B3597" t="str">
            <v>CORPORATION</v>
          </cell>
          <cell r="C3597" t="str">
            <v>Campos Comercio De Ferragens Ltda</v>
          </cell>
          <cell r="D3597" t="str">
            <v>Campos Ferramentas</v>
          </cell>
          <cell r="E3597" t="str">
            <v>BR_CNPJ</v>
          </cell>
          <cell r="F3597" t="str">
            <v>07.135.430/0001-60</v>
          </cell>
        </row>
        <row r="3598">
          <cell r="A3598">
            <v>35628</v>
          </cell>
          <cell r="B3598" t="str">
            <v>CORPORATION</v>
          </cell>
          <cell r="C3598" t="str">
            <v>Regional Comercio De Pecas Ltda</v>
          </cell>
          <cell r="D3598" t="str">
            <v>Regional Comercio De Pecas</v>
          </cell>
          <cell r="E3598" t="str">
            <v>BR_CNPJ</v>
          </cell>
          <cell r="F3598" t="str">
            <v>06.313.358/0001-50</v>
          </cell>
        </row>
        <row r="3599">
          <cell r="A3599">
            <v>35631</v>
          </cell>
          <cell r="B3599" t="str">
            <v>CORPORATION</v>
          </cell>
          <cell r="C3599" t="str">
            <v>C A Sofia Comercio De Gases Industriais - Me</v>
          </cell>
          <cell r="D3599" t="str">
            <v>Cmvg Gases</v>
          </cell>
          <cell r="E3599" t="str">
            <v>BR_CNPJ</v>
          </cell>
          <cell r="F3599" t="str">
            <v>19.607.108/0001-75</v>
          </cell>
        </row>
        <row r="3600">
          <cell r="A3600">
            <v>35632</v>
          </cell>
          <cell r="B3600" t="str">
            <v>CORPORATION</v>
          </cell>
          <cell r="C3600" t="str">
            <v>Imperasolda Torno E Solda Eireli</v>
          </cell>
          <cell r="D3600" t="str">
            <v>Imperasolda</v>
          </cell>
          <cell r="E3600" t="str">
            <v>BR_CNPJ</v>
          </cell>
          <cell r="F3600" t="str">
            <v>03.941.568/0001-03</v>
          </cell>
        </row>
        <row r="3601">
          <cell r="A3601">
            <v>35634</v>
          </cell>
          <cell r="B3601" t="str">
            <v>CORPORATION</v>
          </cell>
          <cell r="C3601" t="str">
            <v>Certa Ferragens E Ferramentas Eireli - Me</v>
          </cell>
          <cell r="D3601" t="str">
            <v>Solda Certa</v>
          </cell>
          <cell r="E3601" t="str">
            <v>BR_CNPJ</v>
          </cell>
          <cell r="F3601" t="str">
            <v>22.975.576/0001-07</v>
          </cell>
        </row>
        <row r="3602">
          <cell r="A3602">
            <v>35635</v>
          </cell>
          <cell r="B3602" t="str">
            <v>CORPORATION</v>
          </cell>
          <cell r="C3602" t="str">
            <v>Leite &amp; Monteiro Ltda</v>
          </cell>
          <cell r="D3602" t="str">
            <v>Grupo Plena</v>
          </cell>
          <cell r="E3602" t="str">
            <v>BR_CNPJ</v>
          </cell>
          <cell r="F3602" t="str">
            <v>12.304.282/0001-08</v>
          </cell>
          <cell r="G3602" t="str">
            <v>LEITE VASCONCELOS</v>
          </cell>
        </row>
        <row r="3603">
          <cell r="A3603">
            <v>35637</v>
          </cell>
          <cell r="B3603" t="str">
            <v>CORPORATION</v>
          </cell>
          <cell r="C3603" t="str">
            <v>Granmaxx Ferramentas Ltda - Me</v>
          </cell>
          <cell r="D3603" t="str">
            <v>Granmaxx Ferramentas</v>
          </cell>
          <cell r="E3603" t="str">
            <v>BR_CNPJ</v>
          </cell>
          <cell r="F3603" t="str">
            <v>23.718.326/0001-54</v>
          </cell>
        </row>
        <row r="3604">
          <cell r="A3604">
            <v>35642</v>
          </cell>
          <cell r="B3604" t="str">
            <v>CORPORATION</v>
          </cell>
          <cell r="C3604" t="str">
            <v>Distribuidora E Metalurgica Bicao Ltda</v>
          </cell>
          <cell r="D3604" t="str">
            <v>Bicao Produtos Metalurgicos</v>
          </cell>
          <cell r="E3604" t="str">
            <v>BR_CNPJ</v>
          </cell>
          <cell r="F3604" t="str">
            <v>07.149.955/0003-16</v>
          </cell>
          <cell r="G3604" t="str">
            <v>BICÃO/PARCEIRAÇO</v>
          </cell>
        </row>
        <row r="3605">
          <cell r="A3605">
            <v>35643</v>
          </cell>
          <cell r="B3605" t="str">
            <v>CORPORATION</v>
          </cell>
          <cell r="C3605" t="str">
            <v>S B Magazine Ltda - Me</v>
          </cell>
          <cell r="D3605" t="str">
            <v>S B Magazine</v>
          </cell>
          <cell r="E3605" t="str">
            <v>BR_CNPJ</v>
          </cell>
          <cell r="F3605" t="str">
            <v>19.112.833/0001-72</v>
          </cell>
        </row>
        <row r="3606">
          <cell r="A3606">
            <v>35649</v>
          </cell>
          <cell r="B3606" t="str">
            <v>CORPORATION</v>
          </cell>
          <cell r="C3606" t="str">
            <v>Portalmania Comercio E Importacao Ltda - Me</v>
          </cell>
          <cell r="D3606" t="str">
            <v>Portalmania.Com</v>
          </cell>
          <cell r="E3606" t="str">
            <v>BR_CNPJ</v>
          </cell>
          <cell r="F3606" t="str">
            <v>12.524.148/0001-04</v>
          </cell>
        </row>
        <row r="3607">
          <cell r="A3607">
            <v>35650</v>
          </cell>
          <cell r="B3607" t="str">
            <v>CORPORATION</v>
          </cell>
          <cell r="C3607" t="str">
            <v>T. Bergoli E Cia. Ltda.</v>
          </cell>
          <cell r="D3607" t="str">
            <v>Casa Da Borracha Universal</v>
          </cell>
          <cell r="E3607" t="str">
            <v>BR_CNPJ</v>
          </cell>
          <cell r="F3607" t="str">
            <v>11.210.830/0001-60</v>
          </cell>
        </row>
        <row r="3608">
          <cell r="A3608">
            <v>35674</v>
          </cell>
          <cell r="B3608" t="str">
            <v>CORPORATION</v>
          </cell>
          <cell r="C3608" t="str">
            <v>Mario Luiz Leite Da Silva Ferragens</v>
          </cell>
          <cell r="D3608" t="str">
            <v>Center Par</v>
          </cell>
          <cell r="E3608" t="str">
            <v>BR_CNPJ</v>
          </cell>
          <cell r="F3608" t="str">
            <v>22.383.211/0001-93</v>
          </cell>
        </row>
        <row r="3609">
          <cell r="A3609">
            <v>35675</v>
          </cell>
          <cell r="B3609" t="str">
            <v>CORPORATION</v>
          </cell>
          <cell r="C3609" t="str">
            <v>Socage Do Brasil Industria E Comercio De Equipamentos Ltda</v>
          </cell>
          <cell r="D3609" t="str">
            <v>Socage Do Brasil Industria E Comercio De Equipamentos Ltda</v>
          </cell>
          <cell r="E3609" t="str">
            <v>BR_CNPJ</v>
          </cell>
          <cell r="F3609" t="str">
            <v>15.006.369/0001-89</v>
          </cell>
        </row>
        <row r="3610">
          <cell r="A3610">
            <v>35677</v>
          </cell>
          <cell r="B3610" t="str">
            <v>CORPORATION</v>
          </cell>
          <cell r="C3610" t="str">
            <v>Blu Equipamentos Eireli - Me</v>
          </cell>
          <cell r="D3610" t="str">
            <v>Blu Equipamentos</v>
          </cell>
          <cell r="E3610" t="str">
            <v>BR_CNPJ</v>
          </cell>
          <cell r="F3610" t="str">
            <v>22.583.381/0001-11</v>
          </cell>
        </row>
        <row r="3611">
          <cell r="A3611">
            <v>35680</v>
          </cell>
          <cell r="B3611" t="str">
            <v>CORPORATION</v>
          </cell>
          <cell r="C3611" t="str">
            <v>Casa Camponeza Ltda - Me</v>
          </cell>
          <cell r="D3611" t="str">
            <v>Casa Camponeza</v>
          </cell>
          <cell r="E3611" t="str">
            <v>BR_CNPJ</v>
          </cell>
          <cell r="F3611" t="str">
            <v>09.813.479/0001-50</v>
          </cell>
        </row>
        <row r="3612">
          <cell r="A3612">
            <v>35682</v>
          </cell>
          <cell r="B3612" t="str">
            <v>CORPORATION</v>
          </cell>
          <cell r="C3612" t="str">
            <v>Agnaldo Oliveira Do Nascimento - Me</v>
          </cell>
          <cell r="D3612" t="str">
            <v>Rei Das Ferramentas E Maquinas</v>
          </cell>
          <cell r="E3612" t="str">
            <v>BR_CNPJ</v>
          </cell>
          <cell r="F3612" t="str">
            <v>20.758.028/0001-08</v>
          </cell>
        </row>
        <row r="3613">
          <cell r="A3613">
            <v>35684</v>
          </cell>
          <cell r="B3613" t="str">
            <v>CORPORATION</v>
          </cell>
          <cell r="C3613" t="str">
            <v>Bravo Industria Comercio E Servicos Automotivos Ltda</v>
          </cell>
          <cell r="D3613" t="str">
            <v>Bravo Industria Comercio E Servicos Automotivos Ltda</v>
          </cell>
          <cell r="E3613" t="str">
            <v>BR_CNPJ</v>
          </cell>
          <cell r="F3613" t="str">
            <v>22.831.715/0001-29</v>
          </cell>
        </row>
        <row r="3614">
          <cell r="A3614">
            <v>35685</v>
          </cell>
          <cell r="B3614" t="str">
            <v>CORPORATION</v>
          </cell>
          <cell r="C3614" t="str">
            <v>Salomao Bezerra Lopes</v>
          </cell>
          <cell r="D3614" t="str">
            <v>Salo Ferragens</v>
          </cell>
          <cell r="E3614" t="str">
            <v>BR_CNPJ</v>
          </cell>
          <cell r="F3614" t="str">
            <v>05.312.474/0001-92</v>
          </cell>
        </row>
        <row r="3615">
          <cell r="A3615">
            <v>35686</v>
          </cell>
          <cell r="B3615" t="str">
            <v>CORPORATION</v>
          </cell>
          <cell r="C3615" t="str">
            <v>Valmar Comercio De Pecas Ltda - Epp</v>
          </cell>
          <cell r="D3615" t="str">
            <v>Valmar Comercio</v>
          </cell>
          <cell r="E3615" t="str">
            <v>BR_CNPJ</v>
          </cell>
          <cell r="F3615" t="str">
            <v>00.639.406/0001-19</v>
          </cell>
        </row>
        <row r="3616">
          <cell r="A3616">
            <v>35688</v>
          </cell>
          <cell r="B3616" t="str">
            <v>CORPORATION</v>
          </cell>
          <cell r="C3616" t="str">
            <v>Murakami &amp; Murakami Ferragens Ltda - Me</v>
          </cell>
          <cell r="D3616" t="str">
            <v>Perola Do Vale</v>
          </cell>
          <cell r="E3616" t="str">
            <v>BR_CNPJ</v>
          </cell>
          <cell r="F3616" t="str">
            <v>69.231.777/0001-63</v>
          </cell>
        </row>
        <row r="3617">
          <cell r="A3617">
            <v>35694</v>
          </cell>
          <cell r="B3617" t="str">
            <v>CORPORATION</v>
          </cell>
          <cell r="C3617" t="str">
            <v>Comercial Torrezan Saltinho Ltda - Me</v>
          </cell>
          <cell r="D3617" t="str">
            <v>Comercial Torrezan</v>
          </cell>
          <cell r="E3617" t="str">
            <v>BR_CNPJ</v>
          </cell>
          <cell r="F3617" t="str">
            <v>54.977.517/0001-64</v>
          </cell>
        </row>
        <row r="3618">
          <cell r="A3618">
            <v>35697</v>
          </cell>
          <cell r="B3618" t="str">
            <v>CORPORATION</v>
          </cell>
          <cell r="C3618" t="str">
            <v>Uniao Agropecuaria Ltda - Epp</v>
          </cell>
          <cell r="D3618" t="str">
            <v>Uniao Agropecuaria</v>
          </cell>
          <cell r="E3618" t="str">
            <v>BR_CNPJ</v>
          </cell>
          <cell r="F3618" t="str">
            <v>00.842.760/0001-46</v>
          </cell>
        </row>
        <row r="3619">
          <cell r="A3619">
            <v>35699</v>
          </cell>
          <cell r="B3619" t="str">
            <v>CORPORATION</v>
          </cell>
          <cell r="C3619" t="str">
            <v>Gaveteiro Comercio, Importacao E Exportacao Ltda</v>
          </cell>
          <cell r="D3619" t="str">
            <v>Gaveteiro</v>
          </cell>
          <cell r="E3619" t="str">
            <v>BR_CNPJ</v>
          </cell>
          <cell r="F3619" t="str">
            <v>16.631.233/0001-22</v>
          </cell>
        </row>
        <row r="3620">
          <cell r="A3620">
            <v>35700</v>
          </cell>
          <cell r="B3620" t="str">
            <v>CORPORATION</v>
          </cell>
          <cell r="C3620" t="str">
            <v>Emporio Dos Metais Ltda</v>
          </cell>
          <cell r="D3620" t="str">
            <v>Ka Emporio Dos Metais</v>
          </cell>
          <cell r="E3620" t="str">
            <v>BR_CNPJ</v>
          </cell>
          <cell r="F3620" t="str">
            <v>06.698.751/0001-00</v>
          </cell>
        </row>
        <row r="3621">
          <cell r="A3621">
            <v>35708</v>
          </cell>
          <cell r="B3621" t="str">
            <v>CORPORATION</v>
          </cell>
          <cell r="C3621" t="str">
            <v>Lion Tools Equipamentos Industriais Ltda</v>
          </cell>
          <cell r="D3621" t="str">
            <v>Lion Tools</v>
          </cell>
          <cell r="E3621" t="str">
            <v>BR_CNPJ</v>
          </cell>
          <cell r="F3621" t="str">
            <v>11.608.145/0001-96</v>
          </cell>
        </row>
        <row r="3622">
          <cell r="A3622">
            <v>35711</v>
          </cell>
          <cell r="B3622" t="str">
            <v>CORPORATION</v>
          </cell>
          <cell r="C3622" t="str">
            <v>Sueli Ferreira Francisco - Epp</v>
          </cell>
          <cell r="D3622" t="str">
            <v>Agripecas Ms</v>
          </cell>
          <cell r="E3622" t="str">
            <v>BR_CNPJ</v>
          </cell>
          <cell r="F3622" t="str">
            <v>07.842.168/0001-93</v>
          </cell>
        </row>
        <row r="3623">
          <cell r="A3623">
            <v>35714</v>
          </cell>
          <cell r="B3623" t="str">
            <v>CORPORATION</v>
          </cell>
          <cell r="C3623" t="str">
            <v>Michelini &amp; Simao Ltda</v>
          </cell>
          <cell r="D3623" t="str">
            <v>Construmaco Materiais Para Construcao</v>
          </cell>
          <cell r="E3623" t="str">
            <v>BR_CNPJ</v>
          </cell>
          <cell r="F3623" t="str">
            <v>01.181.708/0001-59</v>
          </cell>
        </row>
        <row r="3624">
          <cell r="A3624">
            <v>35720</v>
          </cell>
          <cell r="B3624" t="str">
            <v>CORPORATION</v>
          </cell>
          <cell r="C3624" t="str">
            <v>Brasil Distribuidora De Maquinas E Equipamentos Ltda ­ Me</v>
          </cell>
          <cell r="D3624" t="str">
            <v>Brasil Distribuidora</v>
          </cell>
          <cell r="E3624" t="str">
            <v>BR_CNPJ</v>
          </cell>
          <cell r="F3624" t="str">
            <v>09.398.604/0001-02</v>
          </cell>
        </row>
        <row r="3625">
          <cell r="A3625">
            <v>35722</v>
          </cell>
          <cell r="B3625" t="str">
            <v>CORPORATION</v>
          </cell>
          <cell r="C3625" t="str">
            <v>Nitec Ltda</v>
          </cell>
          <cell r="D3625" t="str">
            <v>Nitec Ltda</v>
          </cell>
          <cell r="E3625" t="str">
            <v>BR_CNPJ</v>
          </cell>
          <cell r="F3625" t="str">
            <v>00.918.335/0001-93</v>
          </cell>
        </row>
        <row r="3626">
          <cell r="A3626">
            <v>35731</v>
          </cell>
          <cell r="B3626" t="str">
            <v>CORPORATION</v>
          </cell>
          <cell r="C3626" t="str">
            <v>Portal Distribuidora Ltda - Me</v>
          </cell>
          <cell r="D3626" t="str">
            <v>Portal Distribuidora</v>
          </cell>
          <cell r="E3626" t="str">
            <v>BR_CNPJ</v>
          </cell>
          <cell r="F3626" t="str">
            <v>15.127.478/0001-54</v>
          </cell>
        </row>
        <row r="3627">
          <cell r="A3627">
            <v>35734</v>
          </cell>
          <cell r="B3627" t="str">
            <v>CORPORATION</v>
          </cell>
          <cell r="C3627" t="str">
            <v>Arco De Pua Express Ltda</v>
          </cell>
          <cell r="D3627" t="str">
            <v>Armazem Casalar</v>
          </cell>
          <cell r="E3627" t="str">
            <v>BR_CNPJ</v>
          </cell>
          <cell r="F3627" t="str">
            <v>43.544.943/0001-98</v>
          </cell>
          <cell r="G3627" t="str">
            <v>ARCO DE PUA</v>
          </cell>
        </row>
        <row r="3628">
          <cell r="A3628">
            <v>35742</v>
          </cell>
          <cell r="B3628" t="str">
            <v>CORPORATION</v>
          </cell>
          <cell r="C3628" t="str">
            <v>Logus Com. De Ferramentas, Eletrodomesticos E Prods. Agro Alimenticios Ltda.</v>
          </cell>
          <cell r="D3628" t="str">
            <v>Logus Ferramentas</v>
          </cell>
          <cell r="E3628" t="str">
            <v>BR_CNPJ</v>
          </cell>
          <cell r="F3628" t="str">
            <v>08.399.950/0001-42</v>
          </cell>
        </row>
        <row r="3629">
          <cell r="A3629">
            <v>35747</v>
          </cell>
          <cell r="B3629" t="str">
            <v>CORPORATION</v>
          </cell>
          <cell r="C3629" t="str">
            <v>Reginaldo Jose Terni - Me</v>
          </cell>
          <cell r="D3629" t="str">
            <v>Casa De Material De Construcao 3r</v>
          </cell>
          <cell r="E3629" t="str">
            <v>BR_CNPJ</v>
          </cell>
          <cell r="F3629" t="str">
            <v>05.693.022/0001-06</v>
          </cell>
        </row>
        <row r="3630">
          <cell r="A3630">
            <v>35750</v>
          </cell>
          <cell r="B3630" t="str">
            <v>CORPORATION</v>
          </cell>
          <cell r="C3630" t="str">
            <v>Etis E Campelo Comercial E Distribuidora De Eletro Eletronica Ltda - Epp</v>
          </cell>
          <cell r="D3630" t="str">
            <v>Etis E Campelo</v>
          </cell>
          <cell r="E3630" t="str">
            <v>BR_CNPJ</v>
          </cell>
          <cell r="F3630" t="str">
            <v>25.206.860/0001-07</v>
          </cell>
        </row>
        <row r="3631">
          <cell r="A3631">
            <v>35758</v>
          </cell>
          <cell r="B3631" t="str">
            <v>CORPORATION</v>
          </cell>
          <cell r="C3631" t="str">
            <v>Jorge Correia Tinoco - Me</v>
          </cell>
          <cell r="D3631" t="str">
            <v>Conite</v>
          </cell>
          <cell r="E3631" t="str">
            <v>BR_CNPJ</v>
          </cell>
          <cell r="F3631" t="str">
            <v>15.798.918/0001-03</v>
          </cell>
        </row>
        <row r="3632">
          <cell r="A3632">
            <v>35760</v>
          </cell>
          <cell r="B3632" t="str">
            <v>CORPORATION</v>
          </cell>
          <cell r="C3632" t="str">
            <v>Renata Elias Dos Santos - Me</v>
          </cell>
          <cell r="D3632" t="str">
            <v>A Oficina Das Maquinas</v>
          </cell>
          <cell r="E3632" t="str">
            <v>BR_CNPJ</v>
          </cell>
          <cell r="F3632" t="str">
            <v>18.261.398/0001-85</v>
          </cell>
        </row>
        <row r="3633">
          <cell r="A3633">
            <v>35763</v>
          </cell>
          <cell r="B3633" t="str">
            <v>CORPORATION</v>
          </cell>
          <cell r="C3633" t="str">
            <v>M G Caramori - Me</v>
          </cell>
          <cell r="D3633" t="str">
            <v>Ar Clima</v>
          </cell>
          <cell r="E3633" t="str">
            <v>BR_CNPJ</v>
          </cell>
          <cell r="F3633" t="str">
            <v>21.716.565/0001-40</v>
          </cell>
        </row>
        <row r="3634">
          <cell r="A3634">
            <v>35764</v>
          </cell>
          <cell r="B3634" t="str">
            <v>CORPORATION</v>
          </cell>
          <cell r="C3634" t="str">
            <v>Vilma Bernardo De Castro Ltda</v>
          </cell>
          <cell r="D3634" t="str">
            <v>Pereira Construcao</v>
          </cell>
          <cell r="E3634" t="str">
            <v>BR_CNPJ</v>
          </cell>
          <cell r="F3634" t="str">
            <v>42.568.433/0001-98</v>
          </cell>
          <cell r="G3634" t="str">
            <v>AÇO PEREIRA</v>
          </cell>
        </row>
        <row r="3635">
          <cell r="A3635">
            <v>35766</v>
          </cell>
          <cell r="B3635" t="str">
            <v>CORPORATION</v>
          </cell>
          <cell r="C3635" t="str">
            <v>M G De L Figueiredo Comercio E Manutencao De Equipamentos - Me</v>
          </cell>
          <cell r="D3635" t="str">
            <v>Porto Tecnologia</v>
          </cell>
          <cell r="E3635" t="str">
            <v>BR_CNPJ</v>
          </cell>
          <cell r="F3635" t="str">
            <v>22.825.894/0001-91</v>
          </cell>
        </row>
        <row r="3636">
          <cell r="A3636">
            <v>35772</v>
          </cell>
          <cell r="B3636" t="str">
            <v>CORPORATION</v>
          </cell>
          <cell r="C3636" t="str">
            <v>Edson Carlos De Brito - Me</v>
          </cell>
          <cell r="D3636" t="str">
            <v>Del Motores Eletricos</v>
          </cell>
          <cell r="E3636" t="str">
            <v>BR_CNPJ</v>
          </cell>
          <cell r="F3636" t="str">
            <v>04.724.245/0001-12</v>
          </cell>
        </row>
        <row r="3637">
          <cell r="A3637">
            <v>35776</v>
          </cell>
          <cell r="B3637" t="str">
            <v>CORPORATION</v>
          </cell>
          <cell r="C3637" t="str">
            <v>Gabriella Cristina Lacerda 08029445660</v>
          </cell>
          <cell r="D3637" t="str">
            <v>Gb Ferramentas</v>
          </cell>
          <cell r="E3637" t="str">
            <v>BR_CNPJ</v>
          </cell>
          <cell r="F3637" t="str">
            <v>43.965.838/0001-22</v>
          </cell>
        </row>
        <row r="3638">
          <cell r="A3638">
            <v>35781</v>
          </cell>
          <cell r="B3638" t="str">
            <v>CORPORATION</v>
          </cell>
          <cell r="C3638" t="str">
            <v>Kadoshi Servicos E Comercio Da Construcao Ltda - Epp</v>
          </cell>
          <cell r="D3638" t="str">
            <v>Shopping Dos Materiais</v>
          </cell>
          <cell r="E3638" t="str">
            <v>BR_CNPJ</v>
          </cell>
          <cell r="F3638" t="str">
            <v>05.407.528/0001-01</v>
          </cell>
        </row>
        <row r="3639">
          <cell r="A3639">
            <v>35783</v>
          </cell>
          <cell r="B3639" t="str">
            <v>CORPORATION</v>
          </cell>
          <cell r="C3639" t="str">
            <v>Fusion Comercio E Importadora De Ferramentas Ltda. - Epp</v>
          </cell>
          <cell r="D3639" t="str">
            <v>Fusion Ferramentas</v>
          </cell>
          <cell r="E3639" t="str">
            <v>BR_CNPJ</v>
          </cell>
          <cell r="F3639" t="str">
            <v>17.595.686/0001-03</v>
          </cell>
        </row>
        <row r="3640">
          <cell r="A3640">
            <v>35785</v>
          </cell>
          <cell r="B3640" t="str">
            <v>CORPORATION</v>
          </cell>
          <cell r="C3640" t="str">
            <v>Pereira &amp; Nascimento Material De Construcao Ltda</v>
          </cell>
          <cell r="D3640" t="str">
            <v>Pereira Aco</v>
          </cell>
          <cell r="E3640" t="str">
            <v>BR_CNPJ</v>
          </cell>
          <cell r="F3640" t="str">
            <v>29.135.179/0001-76</v>
          </cell>
          <cell r="G3640" t="str">
            <v>AÇO PEREIRA</v>
          </cell>
        </row>
        <row r="3641">
          <cell r="A3641">
            <v>35787</v>
          </cell>
          <cell r="B3641" t="str">
            <v>CORPORATION</v>
          </cell>
          <cell r="C3641" t="str">
            <v>Kildary Araujo De Carvalho - Me</v>
          </cell>
          <cell r="D3641" t="str">
            <v>Kildary Home Center</v>
          </cell>
          <cell r="E3641" t="str">
            <v>BR_CNPJ</v>
          </cell>
          <cell r="F3641" t="str">
            <v>00.216.155/0001-60</v>
          </cell>
        </row>
        <row r="3642">
          <cell r="A3642">
            <v>35793</v>
          </cell>
          <cell r="B3642" t="str">
            <v>CORPORATION</v>
          </cell>
          <cell r="C3642" t="str">
            <v>Covisa - Comercial De Ferramentas E Parafusos Ltda - Me</v>
          </cell>
          <cell r="D3642" t="str">
            <v>Covisa</v>
          </cell>
          <cell r="E3642" t="str">
            <v>BR_CNPJ</v>
          </cell>
          <cell r="F3642" t="str">
            <v>14.060.019/0001-38</v>
          </cell>
        </row>
        <row r="3643">
          <cell r="A3643">
            <v>35796</v>
          </cell>
          <cell r="B3643" t="str">
            <v>CORPORATION</v>
          </cell>
          <cell r="C3643" t="str">
            <v>Somaq Limitada - Epp</v>
          </cell>
          <cell r="D3643" t="str">
            <v>Somaq</v>
          </cell>
          <cell r="E3643" t="str">
            <v>BR_CNPJ</v>
          </cell>
          <cell r="F3643" t="str">
            <v>24.268.294/0001-03</v>
          </cell>
        </row>
        <row r="3644">
          <cell r="A3644">
            <v>35801</v>
          </cell>
          <cell r="B3644" t="str">
            <v>CORPORATION</v>
          </cell>
          <cell r="C3644" t="str">
            <v>Ejd Ferragens &amp; Ferramentas Ltda</v>
          </cell>
          <cell r="D3644" t="str">
            <v>Ejd Ferragens &amp; Ferramentas</v>
          </cell>
          <cell r="E3644" t="str">
            <v>BR_CNPJ</v>
          </cell>
          <cell r="F3644" t="str">
            <v>15.108.242/0001-70</v>
          </cell>
        </row>
        <row r="3645">
          <cell r="A3645">
            <v>35808</v>
          </cell>
          <cell r="B3645" t="str">
            <v>CORPORATION</v>
          </cell>
          <cell r="C3645" t="str">
            <v>J &amp; P Comercio Atacadista Da Construcao Ltda.</v>
          </cell>
          <cell r="D3645" t="str">
            <v>Atacadao Da Construcao</v>
          </cell>
          <cell r="E3645" t="str">
            <v>BR_CNPJ</v>
          </cell>
          <cell r="F3645" t="str">
            <v>17.360.497/0001-51</v>
          </cell>
        </row>
        <row r="3646">
          <cell r="A3646">
            <v>35817</v>
          </cell>
          <cell r="B3646" t="str">
            <v>CORPORATION</v>
          </cell>
          <cell r="C3646" t="str">
            <v>R Alexandre Nascimento Da Silva Me</v>
          </cell>
          <cell r="D3646" t="str">
            <v>Motomaq - Motores E Maquinas</v>
          </cell>
          <cell r="E3646" t="str">
            <v>BR_CNPJ</v>
          </cell>
          <cell r="F3646" t="str">
            <v>08.021.147/0001-70</v>
          </cell>
        </row>
        <row r="3647">
          <cell r="A3647">
            <v>35818</v>
          </cell>
          <cell r="B3647" t="str">
            <v>CORPORATION</v>
          </cell>
          <cell r="C3647" t="str">
            <v>Mg Loc Ltda</v>
          </cell>
          <cell r="D3647" t="str">
            <v>Mg Loc</v>
          </cell>
          <cell r="E3647" t="str">
            <v>BR_CNPJ</v>
          </cell>
          <cell r="F3647" t="str">
            <v>46.024.788/0001-77</v>
          </cell>
        </row>
        <row r="3648">
          <cell r="A3648">
            <v>35820</v>
          </cell>
          <cell r="B3648" t="str">
            <v>CORPORATION</v>
          </cell>
          <cell r="C3648" t="str">
            <v>Itest - Medição E Automação Ltda - Epp</v>
          </cell>
          <cell r="D3648" t="str">
            <v>Itest</v>
          </cell>
          <cell r="E3648" t="str">
            <v>BR_CNPJ</v>
          </cell>
          <cell r="F3648" t="str">
            <v>05.415.327/0001-48</v>
          </cell>
        </row>
        <row r="3649">
          <cell r="A3649">
            <v>35821</v>
          </cell>
          <cell r="B3649" t="str">
            <v>CORPORATION</v>
          </cell>
          <cell r="C3649" t="str">
            <v>Vmd - Maquinas E Ferramentas Ltda</v>
          </cell>
          <cell r="D3649" t="str">
            <v>A Casa Do Soldador</v>
          </cell>
          <cell r="E3649" t="str">
            <v>BR_CNPJ</v>
          </cell>
          <cell r="F3649" t="str">
            <v>72.295.793/0001-24</v>
          </cell>
          <cell r="G3649" t="str">
            <v>CASA DO SOLDADOR</v>
          </cell>
        </row>
        <row r="3650">
          <cell r="A3650">
            <v>35822</v>
          </cell>
          <cell r="B3650" t="str">
            <v>CORPORATION</v>
          </cell>
          <cell r="C3650" t="str">
            <v>Rvm Estetic Car Servicos Automotivos Ltda.</v>
          </cell>
          <cell r="D3650" t="str">
            <v>Estetic Car</v>
          </cell>
          <cell r="E3650" t="str">
            <v>BR_CNPJ</v>
          </cell>
          <cell r="F3650" t="str">
            <v>24.487.883/0001-74</v>
          </cell>
        </row>
        <row r="3651">
          <cell r="A3651">
            <v>35825</v>
          </cell>
          <cell r="B3651" t="str">
            <v>CORPORATION</v>
          </cell>
          <cell r="C3651" t="str">
            <v>Village Materiais De Acabamento Ltda</v>
          </cell>
          <cell r="D3651" t="str">
            <v>Village (Remédios)</v>
          </cell>
          <cell r="E3651" t="str">
            <v>BR_CNPJ</v>
          </cell>
          <cell r="F3651" t="str">
            <v>61.082.491/0009-09</v>
          </cell>
          <cell r="G3651" t="str">
            <v>VILLAGE</v>
          </cell>
        </row>
        <row r="3652">
          <cell r="A3652">
            <v>35826</v>
          </cell>
          <cell r="B3652" t="str">
            <v>CORPORATION</v>
          </cell>
          <cell r="C3652" t="str">
            <v>M. T. Sampaio Ltda</v>
          </cell>
          <cell r="D3652" t="str">
            <v>Mt Sampaio</v>
          </cell>
          <cell r="E3652" t="str">
            <v>BR_CNPJ</v>
          </cell>
          <cell r="F3652" t="str">
            <v>43.566.192/0001-00</v>
          </cell>
          <cell r="G3652" t="str">
            <v>JV SAMPAIO</v>
          </cell>
        </row>
        <row r="3653">
          <cell r="A3653">
            <v>35828</v>
          </cell>
          <cell r="B3653" t="str">
            <v>CORPORATION</v>
          </cell>
          <cell r="C3653" t="str">
            <v>Village Materiais De Acabamento Ltda</v>
          </cell>
          <cell r="D3653" t="str">
            <v>Village (Joao Batista)</v>
          </cell>
          <cell r="E3653" t="str">
            <v>BR_CNPJ</v>
          </cell>
          <cell r="F3653" t="str">
            <v>61.082.491/0001-51</v>
          </cell>
          <cell r="G3653" t="str">
            <v>VILLAGE</v>
          </cell>
        </row>
        <row r="3654">
          <cell r="A3654">
            <v>35831</v>
          </cell>
          <cell r="B3654" t="str">
            <v>CORPORATION</v>
          </cell>
          <cell r="C3654" t="str">
            <v>Village Materiais De Acabamento Ltda</v>
          </cell>
          <cell r="D3654" t="str">
            <v>Village (Loja Taipas)</v>
          </cell>
          <cell r="E3654" t="str">
            <v>BR_CNPJ</v>
          </cell>
          <cell r="F3654" t="str">
            <v>61.082.491/0018-08</v>
          </cell>
          <cell r="G3654" t="str">
            <v>VILLAGE</v>
          </cell>
        </row>
        <row r="3655">
          <cell r="A3655">
            <v>35832</v>
          </cell>
          <cell r="B3655" t="str">
            <v>CORPORATION</v>
          </cell>
          <cell r="C3655" t="str">
            <v>Indusloc Comercio E Locacao De Maquinas Ltda</v>
          </cell>
          <cell r="D3655" t="str">
            <v>Indusloc</v>
          </cell>
          <cell r="E3655" t="str">
            <v>BR_CNPJ</v>
          </cell>
          <cell r="F3655" t="str">
            <v>29.946.564/0001-01</v>
          </cell>
        </row>
        <row r="3656">
          <cell r="A3656">
            <v>35834</v>
          </cell>
          <cell r="B3656" t="str">
            <v>CORPORATION</v>
          </cell>
          <cell r="C3656" t="str">
            <v>Village Materiais De Acabamento Ltda</v>
          </cell>
          <cell r="D3656" t="str">
            <v>Village (Loja Vl. Silviania)</v>
          </cell>
          <cell r="E3656" t="str">
            <v>BR_CNPJ</v>
          </cell>
          <cell r="F3656" t="str">
            <v>61.082.491/0004-02</v>
          </cell>
          <cell r="G3656" t="str">
            <v>VILLAGE</v>
          </cell>
        </row>
        <row r="3657">
          <cell r="A3657">
            <v>35838</v>
          </cell>
          <cell r="B3657" t="str">
            <v>CORPORATION</v>
          </cell>
          <cell r="C3657" t="str">
            <v>Village Materiais De Acabamento Ltda</v>
          </cell>
          <cell r="D3657" t="str">
            <v>Village (Loja Itapevi)</v>
          </cell>
          <cell r="E3657" t="str">
            <v>BR_CNPJ</v>
          </cell>
          <cell r="F3657" t="str">
            <v>61.082.491/0006-66</v>
          </cell>
          <cell r="G3657" t="str">
            <v>VILLAGE</v>
          </cell>
        </row>
        <row r="3658">
          <cell r="A3658">
            <v>35840</v>
          </cell>
          <cell r="B3658" t="str">
            <v>CORPORATION</v>
          </cell>
          <cell r="C3658" t="str">
            <v>Brandao E Sena Ferragista Ltda</v>
          </cell>
          <cell r="D3658" t="str">
            <v>Br Ferragista</v>
          </cell>
          <cell r="E3658" t="str">
            <v>BR_CNPJ</v>
          </cell>
          <cell r="F3658" t="str">
            <v>44.226.409/0001-04</v>
          </cell>
        </row>
        <row r="3659">
          <cell r="A3659">
            <v>35841</v>
          </cell>
          <cell r="B3659" t="str">
            <v>CORPORATION</v>
          </cell>
          <cell r="C3659" t="str">
            <v>Village Materiais De Acabamento Ltda</v>
          </cell>
          <cell r="D3659" t="str">
            <v>Village (Quitauna)</v>
          </cell>
          <cell r="E3659" t="str">
            <v>BR_CNPJ</v>
          </cell>
          <cell r="F3659" t="str">
            <v>61.082.491/0010-42</v>
          </cell>
          <cell r="G3659" t="str">
            <v>VILLAGE</v>
          </cell>
        </row>
        <row r="3660">
          <cell r="A3660">
            <v>35843</v>
          </cell>
          <cell r="B3660" t="str">
            <v>CORPORATION</v>
          </cell>
          <cell r="C3660" t="str">
            <v>Village Materiais De Acabamento Ltda</v>
          </cell>
          <cell r="D3660" t="str">
            <v>Village (Loja Limão)</v>
          </cell>
          <cell r="E3660" t="str">
            <v>BR_CNPJ</v>
          </cell>
          <cell r="F3660" t="str">
            <v>61.082.491/0012-04</v>
          </cell>
          <cell r="G3660" t="str">
            <v>VILLAGE</v>
          </cell>
        </row>
        <row r="3661">
          <cell r="A3661">
            <v>35844</v>
          </cell>
          <cell r="B3661" t="str">
            <v>CORPORATION</v>
          </cell>
          <cell r="C3661" t="str">
            <v>49.214.826 Marcone Silva Dos Santos</v>
          </cell>
          <cell r="D3661" t="str">
            <v>Shopping Das Ferramentas</v>
          </cell>
          <cell r="E3661" t="str">
            <v>BR_CNPJ</v>
          </cell>
          <cell r="F3661" t="str">
            <v>49.214.826/0001-42</v>
          </cell>
        </row>
        <row r="3662">
          <cell r="A3662">
            <v>35848</v>
          </cell>
          <cell r="B3662" t="str">
            <v>CORPORATION</v>
          </cell>
          <cell r="C3662" t="str">
            <v>Campeao Comercio De Parafusos E Ferramentas Ltda</v>
          </cell>
          <cell r="D3662" t="str">
            <v>Campeao Parafusos</v>
          </cell>
          <cell r="E3662" t="str">
            <v>BR_CNPJ</v>
          </cell>
          <cell r="F3662" t="str">
            <v>40.517.535/0001-59</v>
          </cell>
        </row>
        <row r="3663">
          <cell r="A3663">
            <v>35850</v>
          </cell>
          <cell r="B3663" t="str">
            <v>CORPORATION</v>
          </cell>
          <cell r="C3663" t="str">
            <v>Village Materiais De Acabamento Ltda</v>
          </cell>
          <cell r="D3663" t="str">
            <v>Village (Loja B. Coutinho)</v>
          </cell>
          <cell r="E3663" t="str">
            <v>BR_CNPJ</v>
          </cell>
          <cell r="F3663" t="str">
            <v>61.082.491/0013-95</v>
          </cell>
          <cell r="G3663" t="str">
            <v>VILLAGE</v>
          </cell>
        </row>
        <row r="3664">
          <cell r="A3664">
            <v>35853</v>
          </cell>
          <cell r="B3664" t="str">
            <v>CORPORATION</v>
          </cell>
          <cell r="C3664" t="str">
            <v>Village Materiais De Acabamento Ltda</v>
          </cell>
          <cell r="D3664" t="str">
            <v>Village (Carapicuiba/V.Caldas)</v>
          </cell>
          <cell r="E3664" t="str">
            <v>BR_CNPJ</v>
          </cell>
          <cell r="F3664" t="str">
            <v>61.082.491/0011-23</v>
          </cell>
          <cell r="G3664" t="str">
            <v>VILLAGE</v>
          </cell>
        </row>
        <row r="3665">
          <cell r="A3665">
            <v>35859</v>
          </cell>
          <cell r="B3665" t="str">
            <v>CORPORATION</v>
          </cell>
          <cell r="C3665" t="str">
            <v>Village Materiais De Acabamento Ltda</v>
          </cell>
          <cell r="D3665" t="str">
            <v>Village (Loja Xi- B. Coutinho)</v>
          </cell>
          <cell r="E3665" t="str">
            <v>BR_CNPJ</v>
          </cell>
          <cell r="F3665" t="str">
            <v>61.082.491/0014-76</v>
          </cell>
          <cell r="G3665" t="str">
            <v>VILLAGE</v>
          </cell>
        </row>
        <row r="3666">
          <cell r="A3666">
            <v>35861</v>
          </cell>
          <cell r="B3666" t="str">
            <v>CORPORATION</v>
          </cell>
          <cell r="C3666" t="str">
            <v>Agnus Comercio De Ferramentas Ltda</v>
          </cell>
          <cell r="D3666" t="str">
            <v>Agnus Comercio De Ferramentas Ltda</v>
          </cell>
          <cell r="E3666" t="str">
            <v>BR_CNPJ</v>
          </cell>
          <cell r="F3666" t="str">
            <v>31.330.247/0001-08</v>
          </cell>
          <cell r="G3666" t="str">
            <v>AGNUS ABRASIVOS</v>
          </cell>
        </row>
        <row r="3667">
          <cell r="A3667">
            <v>35862</v>
          </cell>
          <cell r="B3667" t="str">
            <v>CORPORATION</v>
          </cell>
          <cell r="C3667" t="str">
            <v>Village Materiais De Acabamento Ltda</v>
          </cell>
          <cell r="D3667" t="str">
            <v>Viillage (Santana Parnaiba)</v>
          </cell>
          <cell r="E3667" t="str">
            <v>BR_CNPJ</v>
          </cell>
          <cell r="F3667" t="str">
            <v>61.082.491/0017-19</v>
          </cell>
          <cell r="G3667" t="str">
            <v>VILLAGE</v>
          </cell>
        </row>
        <row r="3668">
          <cell r="A3668">
            <v>35866</v>
          </cell>
          <cell r="B3668" t="str">
            <v>CORPORATION</v>
          </cell>
          <cell r="C3668" t="str">
            <v>Village Materiais De Acabamento Ltda</v>
          </cell>
          <cell r="D3668" t="str">
            <v>Village (Jandira)</v>
          </cell>
          <cell r="E3668" t="str">
            <v>BR_CNPJ</v>
          </cell>
          <cell r="F3668" t="str">
            <v>61.082.491/0019-80</v>
          </cell>
          <cell r="G3668" t="str">
            <v>VILLAGE</v>
          </cell>
        </row>
        <row r="3669">
          <cell r="A3669">
            <v>35868</v>
          </cell>
          <cell r="B3669" t="str">
            <v>CORPORATION</v>
          </cell>
          <cell r="C3669" t="str">
            <v>Village Materiais De Acabamento Ltda</v>
          </cell>
          <cell r="D3669" t="str">
            <v>Village (Cotia)</v>
          </cell>
          <cell r="E3669" t="str">
            <v>BR_CNPJ</v>
          </cell>
          <cell r="F3669" t="str">
            <v>61.082.491/0020-14</v>
          </cell>
          <cell r="G3669" t="str">
            <v>VILLAGE</v>
          </cell>
        </row>
        <row r="3670">
          <cell r="A3670">
            <v>35870</v>
          </cell>
          <cell r="B3670" t="str">
            <v>CORPORATION</v>
          </cell>
          <cell r="C3670" t="str">
            <v>F.E.G &amp; L.E.G Sistemas Motores Automacao Ltda</v>
          </cell>
          <cell r="D3670" t="str">
            <v>F.E.G &amp; L.E.G Motores</v>
          </cell>
          <cell r="E3670" t="str">
            <v>BR_CNPJ</v>
          </cell>
          <cell r="F3670" t="str">
            <v>47.772.526/0001-53</v>
          </cell>
        </row>
        <row r="3671">
          <cell r="A3671">
            <v>35871</v>
          </cell>
          <cell r="B3671" t="str">
            <v>CORPORATION</v>
          </cell>
          <cell r="C3671" t="str">
            <v>Village Materiais De Acabamento Ltda</v>
          </cell>
          <cell r="D3671" t="str">
            <v>Village (Loja Vl. Dirce)</v>
          </cell>
          <cell r="E3671" t="str">
            <v>BR_CNPJ</v>
          </cell>
          <cell r="F3671" t="str">
            <v>61.082.491/0021-03</v>
          </cell>
          <cell r="G3671" t="str">
            <v>VILLAGE</v>
          </cell>
        </row>
        <row r="3672">
          <cell r="A3672">
            <v>35872</v>
          </cell>
          <cell r="B3672" t="str">
            <v>CORPORATION</v>
          </cell>
          <cell r="C3672" t="str">
            <v>Polgas Distribuidora De Gas Ltda</v>
          </cell>
          <cell r="D3672" t="str">
            <v>Polgas</v>
          </cell>
          <cell r="E3672" t="str">
            <v>BR_CNPJ</v>
          </cell>
          <cell r="F3672" t="str">
            <v>10.229.737/0001-34</v>
          </cell>
        </row>
        <row r="3673">
          <cell r="A3673">
            <v>35874</v>
          </cell>
          <cell r="B3673" t="str">
            <v>CORPORATION</v>
          </cell>
          <cell r="C3673" t="str">
            <v>Village Materiais De Acabamento Ltda (Cd)</v>
          </cell>
          <cell r="D3673" t="str">
            <v>Village (Centro Logistico E Setor Administrativo)</v>
          </cell>
          <cell r="E3673" t="str">
            <v>BR_CNPJ</v>
          </cell>
          <cell r="F3673" t="str">
            <v>61.082.491/0015-57</v>
          </cell>
          <cell r="G3673" t="str">
            <v>VILLAGE</v>
          </cell>
        </row>
        <row r="3674">
          <cell r="A3674">
            <v>35879</v>
          </cell>
          <cell r="B3674" t="str">
            <v>CORPORATION</v>
          </cell>
          <cell r="C3674" t="str">
            <v>Village Materiais De Acabamento Ltda</v>
          </cell>
          <cell r="D3674" t="str">
            <v>Village (Polvilho)</v>
          </cell>
          <cell r="E3674" t="str">
            <v>BR_CNPJ</v>
          </cell>
          <cell r="F3674" t="str">
            <v>61.082.491/0016-38</v>
          </cell>
          <cell r="G3674" t="str">
            <v>VILLAGE</v>
          </cell>
        </row>
        <row r="3675">
          <cell r="A3675">
            <v>35882</v>
          </cell>
          <cell r="B3675" t="str">
            <v>CORPORATION</v>
          </cell>
          <cell r="C3675" t="str">
            <v>Mundial Maquinas Ferramentas E Tintas Eireli - Me</v>
          </cell>
          <cell r="D3675" t="str">
            <v>Mundial Maquinas</v>
          </cell>
          <cell r="E3675" t="str">
            <v>BR_CNPJ</v>
          </cell>
          <cell r="F3675" t="str">
            <v>17.855.162/0001-04</v>
          </cell>
        </row>
        <row r="3676">
          <cell r="A3676">
            <v>35888</v>
          </cell>
          <cell r="B3676" t="str">
            <v>CORPORATION</v>
          </cell>
          <cell r="C3676" t="str">
            <v>Alicio Rodrigues Pereira Materiais De Construcao - Me</v>
          </cell>
          <cell r="D3676" t="str">
            <v>Anderlux</v>
          </cell>
          <cell r="E3676" t="str">
            <v>BR_CNPJ</v>
          </cell>
          <cell r="F3676" t="str">
            <v>09.459.915/0001-34</v>
          </cell>
        </row>
        <row r="3677">
          <cell r="A3677">
            <v>35891</v>
          </cell>
          <cell r="B3677" t="str">
            <v>CORPORATION</v>
          </cell>
          <cell r="C3677" t="str">
            <v>Paulo Rodrigues Da Silva - Me</v>
          </cell>
          <cell r="D3677" t="str">
            <v>P Mangueiras</v>
          </cell>
          <cell r="E3677" t="str">
            <v>BR_CNPJ</v>
          </cell>
          <cell r="F3677" t="str">
            <v>08.864.005/0001-74</v>
          </cell>
        </row>
        <row r="3678">
          <cell r="A3678">
            <v>35894</v>
          </cell>
          <cell r="B3678" t="str">
            <v>CORPORATION</v>
          </cell>
          <cell r="C3678" t="str">
            <v>Super Fix Maquinas E Ferramentas Ltda - Me</v>
          </cell>
          <cell r="D3678" t="str">
            <v>Superfix</v>
          </cell>
          <cell r="E3678" t="str">
            <v>BR_CNPJ</v>
          </cell>
          <cell r="F3678" t="str">
            <v>20.241.837/0001-30</v>
          </cell>
        </row>
        <row r="3679">
          <cell r="A3679">
            <v>35895</v>
          </cell>
          <cell r="B3679" t="str">
            <v>CORPORATION</v>
          </cell>
          <cell r="C3679" t="str">
            <v>Casa Da Solda Araucária Ltda</v>
          </cell>
          <cell r="D3679" t="str">
            <v>Casa Da Solda</v>
          </cell>
          <cell r="E3679" t="str">
            <v>BR_CNPJ</v>
          </cell>
          <cell r="F3679" t="str">
            <v>44.652.142/0001-09</v>
          </cell>
          <cell r="G3679" t="str">
            <v>CASA DA SOLDA</v>
          </cell>
        </row>
        <row r="3680">
          <cell r="A3680">
            <v>35903</v>
          </cell>
          <cell r="B3680" t="str">
            <v>CORPORATION</v>
          </cell>
          <cell r="C3680" t="str">
            <v>Arg Mangueiras Ltda</v>
          </cell>
          <cell r="D3680" t="str">
            <v>Arg</v>
          </cell>
          <cell r="E3680" t="str">
            <v>BR_CNPJ</v>
          </cell>
          <cell r="F3680" t="str">
            <v>03.778.921/0001-78</v>
          </cell>
        </row>
        <row r="3681">
          <cell r="A3681">
            <v>35905</v>
          </cell>
          <cell r="B3681" t="str">
            <v>CORPORATION</v>
          </cell>
          <cell r="C3681" t="str">
            <v>Gomes &amp; Fernandes Irrigacao Maquinas E Ferramentas Ltda - Me</v>
          </cell>
          <cell r="D3681" t="str">
            <v>Markfort</v>
          </cell>
          <cell r="E3681" t="str">
            <v>BR_CNPJ</v>
          </cell>
          <cell r="F3681" t="str">
            <v>06.695.943/0001-62</v>
          </cell>
          <cell r="G3681" t="str">
            <v>MC CAVALCANTE</v>
          </cell>
        </row>
        <row r="3682">
          <cell r="A3682">
            <v>35909</v>
          </cell>
          <cell r="B3682" t="str">
            <v>CORPORATION</v>
          </cell>
          <cell r="C3682" t="str">
            <v>Comercial Eletrica P.J.Ltda</v>
          </cell>
          <cell r="D3682" t="str">
            <v>Comercial Eletrica P.J.Ltda</v>
          </cell>
          <cell r="E3682" t="str">
            <v>BR_CNPJ</v>
          </cell>
          <cell r="F3682" t="str">
            <v>57.158.057/0009-98</v>
          </cell>
          <cell r="G3682" t="str">
            <v>Formula eletrica</v>
          </cell>
        </row>
        <row r="3683">
          <cell r="A3683">
            <v>35911</v>
          </cell>
          <cell r="B3683" t="str">
            <v>CORPORATION</v>
          </cell>
          <cell r="C3683" t="str">
            <v>Leonel Lopes De Almeida &amp; Irmao Ltda - Epp</v>
          </cell>
          <cell r="D3683" t="str">
            <v>Deposito Alvorada</v>
          </cell>
          <cell r="E3683" t="str">
            <v>BR_CNPJ</v>
          </cell>
          <cell r="F3683" t="str">
            <v>04.458.898/0001-05</v>
          </cell>
        </row>
        <row r="3684">
          <cell r="A3684">
            <v>35913</v>
          </cell>
          <cell r="B3684" t="str">
            <v>CORPORATION</v>
          </cell>
          <cell r="C3684" t="str">
            <v>Ronaldo Alves Angelo - Me</v>
          </cell>
          <cell r="D3684" t="str">
            <v>Univenda Parafusos</v>
          </cell>
          <cell r="E3684" t="str">
            <v>BR_CNPJ</v>
          </cell>
          <cell r="F3684" t="str">
            <v>06.968.429/0001-53</v>
          </cell>
        </row>
        <row r="3685">
          <cell r="A3685">
            <v>35916</v>
          </cell>
          <cell r="B3685" t="str">
            <v>CORPORATION</v>
          </cell>
          <cell r="C3685" t="str">
            <v>Jorge De Oliveira Fonseca - Me</v>
          </cell>
          <cell r="D3685" t="str">
            <v>Jorge De Oliveira Fonseca</v>
          </cell>
          <cell r="E3685" t="str">
            <v>BR_CNPJ</v>
          </cell>
          <cell r="F3685" t="str">
            <v>04.491.655/0001-60</v>
          </cell>
        </row>
        <row r="3686">
          <cell r="A3686">
            <v>35920</v>
          </cell>
          <cell r="B3686" t="str">
            <v>CORPORATION</v>
          </cell>
          <cell r="C3686" t="str">
            <v>Coelho E Silva Ltda - Me</v>
          </cell>
          <cell r="D3686" t="str">
            <v>Coelho Maquinas</v>
          </cell>
          <cell r="E3686" t="str">
            <v>BR_CNPJ</v>
          </cell>
          <cell r="F3686" t="str">
            <v>07.423.868/0001-43</v>
          </cell>
        </row>
        <row r="3687">
          <cell r="A3687">
            <v>35922</v>
          </cell>
          <cell r="B3687" t="str">
            <v>CORPORATION</v>
          </cell>
          <cell r="C3687" t="str">
            <v>Dias &amp; Batista Materiais Para Construcao Ltda</v>
          </cell>
          <cell r="D3687" t="str">
            <v>Dias &amp; Batista Materiais Para Construcao</v>
          </cell>
          <cell r="E3687" t="str">
            <v>BR_CNPJ</v>
          </cell>
          <cell r="F3687" t="str">
            <v>44.668.775/0001-05</v>
          </cell>
        </row>
        <row r="3688">
          <cell r="A3688">
            <v>35923</v>
          </cell>
          <cell r="B3688" t="str">
            <v>CORPORATION</v>
          </cell>
          <cell r="C3688" t="str">
            <v>Comercio De Pecas E Acessorios Avallone Ltda - Epp</v>
          </cell>
          <cell r="D3688" t="str">
            <v>Tapemag Acessorios</v>
          </cell>
          <cell r="E3688" t="str">
            <v>BR_CNPJ</v>
          </cell>
          <cell r="F3688" t="str">
            <v>01.435.651/0001-77</v>
          </cell>
          <cell r="G3688" t="str">
            <v>TAPEMAG</v>
          </cell>
        </row>
        <row r="3689">
          <cell r="A3689">
            <v>35927</v>
          </cell>
          <cell r="B3689" t="str">
            <v>CORPORATION</v>
          </cell>
          <cell r="C3689" t="str">
            <v>Cooperativa Dos Plantadores De Cana Do Estado Sao Paulo</v>
          </cell>
          <cell r="D3689" t="str">
            <v>Coplacana (Piracicaba)</v>
          </cell>
          <cell r="E3689" t="str">
            <v>BR_CNPJ</v>
          </cell>
          <cell r="F3689" t="str">
            <v>54.366.547/0001-34</v>
          </cell>
          <cell r="G3689" t="str">
            <v>COPLACANA</v>
          </cell>
        </row>
        <row r="3690">
          <cell r="A3690">
            <v>35928</v>
          </cell>
          <cell r="B3690" t="str">
            <v>CORPORATION</v>
          </cell>
          <cell r="C3690" t="str">
            <v>Remax Materiais Eletricos Ltda</v>
          </cell>
          <cell r="D3690" t="str">
            <v>Remax</v>
          </cell>
          <cell r="E3690" t="str">
            <v>BR_CNPJ</v>
          </cell>
          <cell r="F3690" t="str">
            <v>05.401.535/0001-98</v>
          </cell>
        </row>
        <row r="3691">
          <cell r="A3691">
            <v>35933</v>
          </cell>
          <cell r="B3691" t="str">
            <v>CORPORATION</v>
          </cell>
          <cell r="C3691" t="str">
            <v>Brasferma Ltda</v>
          </cell>
          <cell r="D3691" t="str">
            <v>Brasferma</v>
          </cell>
          <cell r="E3691" t="str">
            <v>BR_CNPJ</v>
          </cell>
          <cell r="F3691" t="str">
            <v>00.503.644/0001-00</v>
          </cell>
          <cell r="G3691" t="str">
            <v>BRASFERMA</v>
          </cell>
        </row>
        <row r="3692">
          <cell r="A3692">
            <v>35935</v>
          </cell>
          <cell r="B3692" t="str">
            <v>CORPORATION</v>
          </cell>
          <cell r="C3692" t="str">
            <v>Cooperativa Dos Plantadores De Cana Do Estado Sao Paulo</v>
          </cell>
          <cell r="D3692" t="str">
            <v>Coplacana (Barra Bonita)</v>
          </cell>
          <cell r="E3692" t="str">
            <v>BR_CNPJ</v>
          </cell>
          <cell r="F3692" t="str">
            <v>54.366.547/0004-87</v>
          </cell>
          <cell r="G3692" t="str">
            <v>COPLACANA</v>
          </cell>
        </row>
        <row r="3693">
          <cell r="A3693">
            <v>35936</v>
          </cell>
          <cell r="B3693" t="str">
            <v>CORPORATION</v>
          </cell>
          <cell r="C3693" t="str">
            <v>Gabriel De Souza 42869608896</v>
          </cell>
          <cell r="D3693" t="str">
            <v>Gadu Multifer Ferragens E Ferramentas</v>
          </cell>
          <cell r="E3693" t="str">
            <v>BR_CNPJ</v>
          </cell>
          <cell r="F3693" t="str">
            <v>43.679.645/0001-05</v>
          </cell>
        </row>
        <row r="3694">
          <cell r="A3694">
            <v>35940</v>
          </cell>
          <cell r="B3694" t="str">
            <v>CORPORATION</v>
          </cell>
          <cell r="C3694" t="str">
            <v>G.V. Comercio De Materiais De Ferragens Ltda - Me</v>
          </cell>
          <cell r="D3694" t="str">
            <v>Gv Ferragens</v>
          </cell>
          <cell r="E3694" t="str">
            <v>BR_CNPJ</v>
          </cell>
          <cell r="F3694" t="str">
            <v>07.575.527/0001-93</v>
          </cell>
        </row>
        <row r="3695">
          <cell r="A3695">
            <v>35945</v>
          </cell>
          <cell r="B3695" t="str">
            <v>CORPORATION</v>
          </cell>
          <cell r="C3695" t="str">
            <v>J C Da Silva Junior Servicos De Motores Eletricos</v>
          </cell>
          <cell r="D3695" t="str">
            <v>J C Servicos Motores Eletrico</v>
          </cell>
          <cell r="E3695" t="str">
            <v>BR_CNPJ</v>
          </cell>
          <cell r="F3695" t="str">
            <v>20.354.736/0001-75</v>
          </cell>
          <cell r="G3695" t="str">
            <v>J C MOTORES</v>
          </cell>
        </row>
        <row r="3696">
          <cell r="A3696">
            <v>35946</v>
          </cell>
          <cell r="B3696" t="str">
            <v>CORPORATION</v>
          </cell>
          <cell r="C3696" t="str">
            <v>A. Pandolfi Comercial E Fornecedora Ltda - Epp</v>
          </cell>
          <cell r="D3696" t="str">
            <v>Calpan</v>
          </cell>
          <cell r="E3696" t="str">
            <v>BR_CNPJ</v>
          </cell>
          <cell r="F3696" t="str">
            <v>08.613.905/0001-49</v>
          </cell>
        </row>
        <row r="3697">
          <cell r="A3697">
            <v>35949</v>
          </cell>
          <cell r="B3697" t="str">
            <v>CORPORATION</v>
          </cell>
          <cell r="C3697" t="str">
            <v>J C Motores Comercio E Servicos Ltda</v>
          </cell>
          <cell r="D3697" t="str">
            <v>J C Servicos Motores Eletrico (Loja 02)</v>
          </cell>
          <cell r="E3697" t="str">
            <v>BR_CNPJ</v>
          </cell>
          <cell r="F3697" t="str">
            <v>20.354.736/0002-56</v>
          </cell>
          <cell r="G3697" t="str">
            <v>J C MOTORES</v>
          </cell>
        </row>
        <row r="3698">
          <cell r="A3698">
            <v>35955</v>
          </cell>
          <cell r="B3698" t="str">
            <v>CORPORATION</v>
          </cell>
          <cell r="C3698" t="str">
            <v>Cataratas Comercio De Ferragens Ltda</v>
          </cell>
          <cell r="D3698" t="str">
            <v>Cataratas Comercio De Ferragens</v>
          </cell>
          <cell r="E3698" t="str">
            <v>BR_CNPJ</v>
          </cell>
          <cell r="F3698" t="str">
            <v>17.238.231/0001-30</v>
          </cell>
        </row>
        <row r="3699">
          <cell r="A3699">
            <v>35958</v>
          </cell>
          <cell r="B3699" t="str">
            <v>CORPORATION</v>
          </cell>
          <cell r="C3699" t="str">
            <v>Safira Brasil Comercio De Produtos Metaurgicos Eireli - Epp</v>
          </cell>
          <cell r="D3699" t="str">
            <v>Safira Comercial</v>
          </cell>
          <cell r="E3699" t="str">
            <v>BR_CNPJ</v>
          </cell>
          <cell r="F3699" t="str">
            <v>21.896.007/0001-03</v>
          </cell>
        </row>
        <row r="3700">
          <cell r="A3700">
            <v>35959</v>
          </cell>
          <cell r="B3700" t="str">
            <v>CORPORATION</v>
          </cell>
          <cell r="C3700" t="str">
            <v>Suhel Eletrica E Automacao Ltda</v>
          </cell>
          <cell r="D3700" t="str">
            <v>Suhel Eletrica E Automação</v>
          </cell>
          <cell r="E3700" t="str">
            <v>BR_CNPJ</v>
          </cell>
          <cell r="F3700" t="str">
            <v>15.233.452/0001-90</v>
          </cell>
        </row>
        <row r="3701">
          <cell r="A3701">
            <v>35960</v>
          </cell>
          <cell r="B3701" t="str">
            <v>CORPORATION</v>
          </cell>
          <cell r="C3701" t="str">
            <v>Cosae Comercio E Manutencao Ltda</v>
          </cell>
          <cell r="D3701" t="str">
            <v>Cosae Comercio E Manutencao Ltda</v>
          </cell>
          <cell r="E3701" t="str">
            <v>BR_CNPJ</v>
          </cell>
          <cell r="F3701" t="str">
            <v>39.272.338/0001-38</v>
          </cell>
        </row>
        <row r="3702">
          <cell r="A3702">
            <v>35965</v>
          </cell>
          <cell r="B3702" t="str">
            <v>CORPORATION</v>
          </cell>
          <cell r="C3702" t="str">
            <v>Cooperativa Dos Plantadores De Cana Do Estado Sao Paulo</v>
          </cell>
          <cell r="D3702" t="str">
            <v>Coplacana (Costa Rica)</v>
          </cell>
          <cell r="E3702" t="str">
            <v>BR_CNPJ</v>
          </cell>
          <cell r="F3702" t="str">
            <v>54.366.547/0046-36</v>
          </cell>
          <cell r="G3702" t="str">
            <v>COPLACANA</v>
          </cell>
        </row>
        <row r="3703">
          <cell r="A3703">
            <v>35971</v>
          </cell>
          <cell r="B3703" t="str">
            <v>CORPORATION</v>
          </cell>
          <cell r="C3703" t="str">
            <v>Comercial Rabelo &amp; Carvalho Ltda - Me</v>
          </cell>
          <cell r="D3703" t="str">
            <v>Eletromac</v>
          </cell>
          <cell r="E3703" t="str">
            <v>BR_CNPJ</v>
          </cell>
          <cell r="F3703" t="str">
            <v>25.940.198/0001-14</v>
          </cell>
        </row>
        <row r="3704">
          <cell r="A3704">
            <v>35972</v>
          </cell>
          <cell r="B3704" t="str">
            <v>CORPORATION</v>
          </cell>
          <cell r="C3704" t="str">
            <v>Jobson Luiz Franca De Jesus Ltda</v>
          </cell>
          <cell r="D3704" t="str">
            <v>Meta Representacoes</v>
          </cell>
          <cell r="E3704" t="str">
            <v>BR_CNPJ</v>
          </cell>
          <cell r="F3704" t="str">
            <v>21.719.164/0001-43</v>
          </cell>
        </row>
        <row r="3705">
          <cell r="A3705">
            <v>35978</v>
          </cell>
          <cell r="B3705" t="str">
            <v>CORPORATION</v>
          </cell>
          <cell r="C3705" t="str">
            <v>Ts Comercio E Servicos Ltda - Me</v>
          </cell>
          <cell r="D3705" t="str">
            <v>Vilafer</v>
          </cell>
          <cell r="E3705" t="str">
            <v>BR_CNPJ</v>
          </cell>
          <cell r="F3705" t="str">
            <v>04.996.519/0001-22</v>
          </cell>
        </row>
        <row r="3706">
          <cell r="A3706">
            <v>35980</v>
          </cell>
          <cell r="B3706" t="str">
            <v>CORPORATION</v>
          </cell>
          <cell r="C3706" t="str">
            <v>Maq Serv Ferramentas Ltda</v>
          </cell>
          <cell r="D3706" t="str">
            <v>Maq Serv</v>
          </cell>
          <cell r="E3706" t="str">
            <v>BR_CNPJ</v>
          </cell>
          <cell r="F3706" t="str">
            <v>07.324.332/0001-70</v>
          </cell>
        </row>
        <row r="3707">
          <cell r="A3707">
            <v>35982</v>
          </cell>
          <cell r="B3707" t="str">
            <v>CORPORATION</v>
          </cell>
          <cell r="C3707" t="str">
            <v>Fixpar Comercial Ltda Me</v>
          </cell>
          <cell r="D3707" t="str">
            <v>Fixpar</v>
          </cell>
          <cell r="E3707" t="str">
            <v>BR_CNPJ</v>
          </cell>
          <cell r="F3707" t="str">
            <v>04.695.993/0001-14</v>
          </cell>
        </row>
        <row r="3708">
          <cell r="A3708">
            <v>35985</v>
          </cell>
          <cell r="B3708" t="str">
            <v>CORPORATION</v>
          </cell>
          <cell r="C3708" t="str">
            <v>Santa Fe Agromaquinas Ltda</v>
          </cell>
          <cell r="D3708" t="str">
            <v>Santa Fe Agromaquinas</v>
          </cell>
          <cell r="E3708" t="str">
            <v>BR_CNPJ</v>
          </cell>
          <cell r="F3708" t="str">
            <v>13.127.334/0001-72</v>
          </cell>
          <cell r="G3708" t="str">
            <v>FERRAMENTAS MATO GROSSO</v>
          </cell>
        </row>
        <row r="3709">
          <cell r="A3709">
            <v>35986</v>
          </cell>
          <cell r="B3709" t="str">
            <v>CORPORATION</v>
          </cell>
          <cell r="C3709" t="str">
            <v>Paulo Cesar Bertolim - Me</v>
          </cell>
          <cell r="D3709" t="str">
            <v>Campao Ferragens</v>
          </cell>
          <cell r="E3709" t="str">
            <v>BR_CNPJ</v>
          </cell>
          <cell r="F3709" t="str">
            <v>03.606.067/0001-62</v>
          </cell>
        </row>
        <row r="3710">
          <cell r="A3710">
            <v>35990</v>
          </cell>
          <cell r="B3710" t="str">
            <v>CORPORATION</v>
          </cell>
          <cell r="C3710" t="str">
            <v>G Batista Dos Santos Comerciante - Me</v>
          </cell>
          <cell r="D3710" t="str">
            <v>Ferrauto E Equipamentos</v>
          </cell>
          <cell r="E3710" t="str">
            <v>BR_CNPJ</v>
          </cell>
          <cell r="F3710" t="str">
            <v>14.442.045/0001-20</v>
          </cell>
        </row>
        <row r="3711">
          <cell r="A3711">
            <v>35991</v>
          </cell>
          <cell r="B3711" t="str">
            <v>CORPORATION</v>
          </cell>
          <cell r="C3711" t="str">
            <v>Defreitas Metal Ferragens Ltda</v>
          </cell>
          <cell r="D3711" t="str">
            <v>Defreitas Metal Ferragens</v>
          </cell>
          <cell r="E3711" t="str">
            <v>BR_CNPJ</v>
          </cell>
          <cell r="F3711" t="str">
            <v>05.136.088/0001-97</v>
          </cell>
        </row>
        <row r="3712">
          <cell r="A3712">
            <v>35999</v>
          </cell>
          <cell r="B3712" t="str">
            <v>CORPORATION</v>
          </cell>
          <cell r="C3712" t="str">
            <v>George Luiz Barreiros - Me</v>
          </cell>
          <cell r="D3712" t="str">
            <v>Central De Ferramentas E Maquinas</v>
          </cell>
          <cell r="E3712" t="str">
            <v>BR_CNPJ</v>
          </cell>
          <cell r="F3712" t="str">
            <v>11.636.570/0001-99</v>
          </cell>
        </row>
        <row r="3713">
          <cell r="A3713">
            <v>36008</v>
          </cell>
          <cell r="B3713" t="str">
            <v>CORPORATION</v>
          </cell>
          <cell r="C3713" t="str">
            <v>Jacob Maquinas, Ferramentas E Serviços Ltda</v>
          </cell>
          <cell r="D3713" t="str">
            <v>Jacob Maquinas E Ferramentas</v>
          </cell>
          <cell r="E3713" t="str">
            <v>BR_CNPJ</v>
          </cell>
          <cell r="F3713" t="str">
            <v>03.339.779/0001-62</v>
          </cell>
        </row>
        <row r="3714">
          <cell r="A3714">
            <v>36012</v>
          </cell>
          <cell r="B3714" t="str">
            <v>CORPORATION</v>
          </cell>
          <cell r="C3714" t="str">
            <v>Oseias Carlo Lemos Viana - Me</v>
          </cell>
          <cell r="D3714" t="str">
            <v>Casa Do Criador</v>
          </cell>
          <cell r="E3714" t="str">
            <v>BR_CNPJ</v>
          </cell>
          <cell r="F3714" t="str">
            <v>06.281.180/0001-03</v>
          </cell>
        </row>
        <row r="3715">
          <cell r="A3715">
            <v>36014</v>
          </cell>
          <cell r="B3715" t="str">
            <v>CORPORATION</v>
          </cell>
          <cell r="C3715" t="str">
            <v>Ivam Ferragens Nepomuceno Ltda</v>
          </cell>
          <cell r="D3715" t="str">
            <v>Ivam Ferragens Nepomuceno</v>
          </cell>
          <cell r="E3715" t="str">
            <v>BR_CNPJ</v>
          </cell>
          <cell r="F3715" t="str">
            <v>47.643.702/0001-57</v>
          </cell>
          <cell r="G3715" t="str">
            <v>IVAM FERRAGENS</v>
          </cell>
        </row>
        <row r="3716">
          <cell r="A3716">
            <v>36015</v>
          </cell>
          <cell r="B3716" t="str">
            <v>CORPORATION</v>
          </cell>
          <cell r="C3716" t="str">
            <v>Luiz Carlos Sossai</v>
          </cell>
          <cell r="D3716" t="str">
            <v>Grupo Sossai Shopping</v>
          </cell>
          <cell r="E3716" t="str">
            <v>BR_CNPJ</v>
          </cell>
          <cell r="F3716" t="str">
            <v>49.032.410/0001-03</v>
          </cell>
        </row>
        <row r="3717">
          <cell r="A3717">
            <v>36016</v>
          </cell>
          <cell r="B3717" t="str">
            <v>CORPORATION</v>
          </cell>
          <cell r="C3717" t="str">
            <v>Charret Equipamentos Pecas E Ferramentas Ltda</v>
          </cell>
          <cell r="D3717" t="str">
            <v>Charret(Makifer)</v>
          </cell>
          <cell r="E3717" t="str">
            <v>BR_CNPJ</v>
          </cell>
          <cell r="F3717" t="str">
            <v>23.841.985/0002-64</v>
          </cell>
          <cell r="G3717" t="str">
            <v>MAKIFER</v>
          </cell>
        </row>
        <row r="3718">
          <cell r="A3718">
            <v>36019</v>
          </cell>
          <cell r="B3718" t="str">
            <v>CORPORATION</v>
          </cell>
          <cell r="C3718" t="str">
            <v>Vladimir Da Silva Souza - Epp</v>
          </cell>
          <cell r="D3718" t="str">
            <v>Imperio Ferragens</v>
          </cell>
          <cell r="E3718" t="str">
            <v>BR_CNPJ</v>
          </cell>
          <cell r="F3718" t="str">
            <v>11.083.098/0001-04</v>
          </cell>
        </row>
        <row r="3719">
          <cell r="A3719">
            <v>36024</v>
          </cell>
          <cell r="B3719" t="str">
            <v>CORPORATION</v>
          </cell>
          <cell r="C3719" t="str">
            <v>Viviane Andrade Dos Santos 02913187544</v>
          </cell>
          <cell r="D3719" t="str">
            <v>Gm Varejista</v>
          </cell>
          <cell r="E3719" t="str">
            <v>BR_CNPJ</v>
          </cell>
          <cell r="F3719" t="str">
            <v>23.660.083/0001-40</v>
          </cell>
        </row>
        <row r="3720">
          <cell r="A3720">
            <v>36028</v>
          </cell>
          <cell r="B3720" t="str">
            <v>CORPORATION</v>
          </cell>
          <cell r="C3720" t="str">
            <v>Ferragista Ltda - Epp</v>
          </cell>
          <cell r="D3720" t="str">
            <v>Ferragista</v>
          </cell>
          <cell r="E3720" t="str">
            <v>BR_CNPJ</v>
          </cell>
          <cell r="F3720" t="str">
            <v>66.361.130/0001-68</v>
          </cell>
          <cell r="G3720" t="str">
            <v>FERRAGISTA</v>
          </cell>
        </row>
        <row r="3721">
          <cell r="A3721">
            <v>36032</v>
          </cell>
          <cell r="B3721" t="str">
            <v>CORPORATION</v>
          </cell>
          <cell r="C3721" t="str">
            <v>Casa Issa Ltda - Epp</v>
          </cell>
          <cell r="D3721" t="str">
            <v>Casa Issa</v>
          </cell>
          <cell r="E3721" t="str">
            <v>BR_CNPJ</v>
          </cell>
          <cell r="F3721" t="str">
            <v>23.452.345/0001-81</v>
          </cell>
        </row>
        <row r="3722">
          <cell r="A3722">
            <v>36037</v>
          </cell>
          <cell r="B3722" t="str">
            <v>CORPORATION</v>
          </cell>
          <cell r="C3722" t="str">
            <v>Ademir Calvo - Materiais De Construcao</v>
          </cell>
          <cell r="D3722" t="str">
            <v>Ademir Calvo</v>
          </cell>
          <cell r="E3722" t="str">
            <v>BR_CNPJ</v>
          </cell>
          <cell r="F3722" t="str">
            <v>08.397.182/0001-98</v>
          </cell>
        </row>
        <row r="3723">
          <cell r="A3723">
            <v>36039</v>
          </cell>
          <cell r="B3723" t="str">
            <v>CORPORATION</v>
          </cell>
          <cell r="C3723" t="str">
            <v>Comercial De Farpados E Grampos Ltda</v>
          </cell>
          <cell r="D3723" t="str">
            <v>Cofagra</v>
          </cell>
          <cell r="E3723" t="str">
            <v>BR_CNPJ</v>
          </cell>
          <cell r="F3723" t="str">
            <v>35.417.260/0001-41</v>
          </cell>
        </row>
        <row r="3724">
          <cell r="A3724">
            <v>36043</v>
          </cell>
          <cell r="B3724" t="str">
            <v>CORPORATION</v>
          </cell>
          <cell r="C3724" t="str">
            <v>Andifer Comercio De Ferragens Ltda</v>
          </cell>
          <cell r="D3724" t="str">
            <v>Andifer Ferramentas</v>
          </cell>
          <cell r="E3724" t="str">
            <v>BR_CNPJ</v>
          </cell>
          <cell r="F3724" t="str">
            <v>40.122.032/0001-84</v>
          </cell>
        </row>
        <row r="3725">
          <cell r="A3725">
            <v>36045</v>
          </cell>
          <cell r="B3725" t="str">
            <v>CORPORATION</v>
          </cell>
          <cell r="C3725" t="str">
            <v>Vernez-Comercio De Ferragens E Ferramentas Ltda</v>
          </cell>
          <cell r="D3725" t="str">
            <v>Vernez</v>
          </cell>
          <cell r="E3725" t="str">
            <v>BR_CNPJ</v>
          </cell>
          <cell r="F3725" t="str">
            <v>26.698.817/0001-79</v>
          </cell>
        </row>
        <row r="3726">
          <cell r="A3726">
            <v>36048</v>
          </cell>
          <cell r="B3726" t="str">
            <v>CORPORATION</v>
          </cell>
          <cell r="C3726" t="str">
            <v>Casa Aragao Distribuidora Ltda - Me</v>
          </cell>
          <cell r="D3726" t="str">
            <v>Casa Aragao</v>
          </cell>
          <cell r="E3726" t="str">
            <v>BR_CNPJ</v>
          </cell>
          <cell r="F3726" t="str">
            <v>10.926.853/0001-02</v>
          </cell>
        </row>
        <row r="3727">
          <cell r="A3727">
            <v>36052</v>
          </cell>
          <cell r="B3727" t="str">
            <v>CORPORATION</v>
          </cell>
          <cell r="C3727" t="str">
            <v>Coisas &amp; Ferramentas Ltda - Me</v>
          </cell>
          <cell r="D3727" t="str">
            <v>Coisas &amp; Ferramentas</v>
          </cell>
          <cell r="E3727" t="str">
            <v>BR_CNPJ</v>
          </cell>
          <cell r="F3727" t="str">
            <v>62.621.263/0001-75</v>
          </cell>
        </row>
        <row r="3728">
          <cell r="A3728">
            <v>36053</v>
          </cell>
          <cell r="B3728" t="str">
            <v>CORPORATION</v>
          </cell>
          <cell r="C3728" t="str">
            <v>Comercio De Ferragens Agrofer Eireli</v>
          </cell>
          <cell r="D3728" t="str">
            <v>Agrofer</v>
          </cell>
          <cell r="E3728" t="str">
            <v>BR_CNPJ</v>
          </cell>
          <cell r="F3728" t="str">
            <v>49.635.931/0001-55</v>
          </cell>
        </row>
        <row r="3729">
          <cell r="A3729">
            <v>36054</v>
          </cell>
          <cell r="B3729" t="str">
            <v>CORPORATION</v>
          </cell>
          <cell r="C3729" t="str">
            <v>Cafayate Comercial Ltda</v>
          </cell>
          <cell r="D3729" t="str">
            <v>Cafayate Comercial</v>
          </cell>
          <cell r="E3729" t="str">
            <v>BR_CNPJ</v>
          </cell>
          <cell r="F3729" t="str">
            <v>47.504.653/0001-71</v>
          </cell>
        </row>
        <row r="3730">
          <cell r="A3730">
            <v>36055</v>
          </cell>
          <cell r="B3730" t="str">
            <v>CORPORATION</v>
          </cell>
          <cell r="C3730" t="str">
            <v>Dirceu Longo &amp; Cia Ltda</v>
          </cell>
          <cell r="D3730" t="str">
            <v>Egide</v>
          </cell>
          <cell r="E3730" t="str">
            <v>BR_CNPJ</v>
          </cell>
          <cell r="F3730" t="str">
            <v>92.823.764/0001-03</v>
          </cell>
        </row>
        <row r="3731">
          <cell r="A3731">
            <v>36058</v>
          </cell>
          <cell r="B3731" t="str">
            <v>CORPORATION</v>
          </cell>
          <cell r="C3731" t="str">
            <v>Jv Containers Ltda</v>
          </cell>
          <cell r="D3731" t="str">
            <v>Jv Containers</v>
          </cell>
          <cell r="E3731" t="str">
            <v>BR_CNPJ</v>
          </cell>
          <cell r="F3731" t="str">
            <v>47.941.756/0001-07</v>
          </cell>
        </row>
        <row r="3732">
          <cell r="A3732">
            <v>36059</v>
          </cell>
          <cell r="B3732" t="str">
            <v>CORPORATION</v>
          </cell>
          <cell r="C3732" t="str">
            <v>Rogere Comercio E Distribuidora De Pecas Automotivas Eireli</v>
          </cell>
          <cell r="D3732" t="str">
            <v>Rogere Comercio E Distribuidora De Pecas Automotivas</v>
          </cell>
          <cell r="E3732" t="str">
            <v>BR_CNPJ</v>
          </cell>
          <cell r="F3732" t="str">
            <v>94.126.752/0001-47</v>
          </cell>
        </row>
        <row r="3733">
          <cell r="A3733">
            <v>36061</v>
          </cell>
          <cell r="B3733" t="str">
            <v>CORPORATION</v>
          </cell>
          <cell r="C3733" t="str">
            <v>Antonio Moraes Da Silva - Me</v>
          </cell>
          <cell r="D3733" t="str">
            <v>Antonio Moraes Da Silva</v>
          </cell>
          <cell r="E3733" t="str">
            <v>BR_CNPJ</v>
          </cell>
          <cell r="F3733" t="str">
            <v>11.321.510/0001-87</v>
          </cell>
        </row>
        <row r="3734">
          <cell r="A3734">
            <v>36066</v>
          </cell>
          <cell r="B3734" t="str">
            <v>CORPORATION</v>
          </cell>
          <cell r="C3734" t="str">
            <v>G M Cruz - Epp</v>
          </cell>
          <cell r="D3734" t="str">
            <v>E C Incendio</v>
          </cell>
          <cell r="E3734" t="str">
            <v>BR_CNPJ</v>
          </cell>
          <cell r="F3734" t="str">
            <v>35.210.897/0001-62</v>
          </cell>
        </row>
        <row r="3735">
          <cell r="A3735">
            <v>36069</v>
          </cell>
          <cell r="B3735" t="str">
            <v>CORPORATION</v>
          </cell>
          <cell r="C3735" t="str">
            <v>Agrohidro Comercio Varejista De Material Agricola Ltda - Me</v>
          </cell>
          <cell r="D3735" t="str">
            <v>Agrohidro</v>
          </cell>
          <cell r="E3735" t="str">
            <v>BR_CNPJ</v>
          </cell>
          <cell r="F3735" t="str">
            <v>19.171.607/0001-62</v>
          </cell>
        </row>
        <row r="3736">
          <cell r="A3736">
            <v>36072</v>
          </cell>
          <cell r="B3736" t="str">
            <v>CORPORATION</v>
          </cell>
          <cell r="C3736" t="str">
            <v>Distribuidora Plamax Eireli - Epp</v>
          </cell>
          <cell r="D3736" t="str">
            <v>Distribuidora Plamax</v>
          </cell>
          <cell r="E3736" t="str">
            <v>BR_CNPJ</v>
          </cell>
          <cell r="F3736" t="str">
            <v>07.918.483/0001-57</v>
          </cell>
        </row>
        <row r="3737">
          <cell r="A3737">
            <v>36073</v>
          </cell>
          <cell r="B3737" t="str">
            <v>CORPORATION</v>
          </cell>
          <cell r="C3737" t="str">
            <v>Eux - Maquinas E Ferramentas Eireli</v>
          </cell>
          <cell r="D3737" t="str">
            <v>Eux - Maquinas E Ferramentas</v>
          </cell>
          <cell r="E3737" t="str">
            <v>BR_CNPJ</v>
          </cell>
          <cell r="F3737" t="str">
            <v>32.638.366/0001-87</v>
          </cell>
        </row>
        <row r="3738">
          <cell r="A3738">
            <v>36081</v>
          </cell>
          <cell r="B3738" t="str">
            <v>CORPORATION</v>
          </cell>
          <cell r="C3738" t="str">
            <v>Andrea Baldo Jatoba - Me</v>
          </cell>
          <cell r="D3738" t="str">
            <v>Jatoba Magazine</v>
          </cell>
          <cell r="E3738" t="str">
            <v>BR_CNPJ</v>
          </cell>
          <cell r="F3738" t="str">
            <v>11.286.971/0001-66</v>
          </cell>
        </row>
        <row r="3739">
          <cell r="A3739">
            <v>36083</v>
          </cell>
          <cell r="B3739" t="str">
            <v>CORPORATION</v>
          </cell>
          <cell r="C3739" t="str">
            <v>Emerson Antonio Carraro - Me</v>
          </cell>
          <cell r="D3739" t="str">
            <v>Bosque Dos Pires Terraplenagem E Locacao De Maquinas</v>
          </cell>
          <cell r="E3739" t="str">
            <v>BR_CNPJ</v>
          </cell>
          <cell r="F3739" t="str">
            <v>01.516.770/0001-54</v>
          </cell>
        </row>
        <row r="3740">
          <cell r="A3740">
            <v>36087</v>
          </cell>
          <cell r="B3740" t="str">
            <v>CORPORATION</v>
          </cell>
          <cell r="C3740" t="str">
            <v>Aracruz Borrachas Ltda - Epp</v>
          </cell>
          <cell r="D3740" t="str">
            <v>Hidrauflux - Casa Da Borracha</v>
          </cell>
          <cell r="E3740" t="str">
            <v>BR_CNPJ</v>
          </cell>
          <cell r="F3740" t="str">
            <v>36.011.328/0001-50</v>
          </cell>
        </row>
        <row r="3741">
          <cell r="A3741">
            <v>36089</v>
          </cell>
          <cell r="B3741" t="str">
            <v>CORPORATION</v>
          </cell>
          <cell r="C3741" t="str">
            <v>Mailton Cosme Negreiros</v>
          </cell>
          <cell r="D3741" t="str">
            <v>Mc Ferramentas</v>
          </cell>
          <cell r="E3741" t="str">
            <v>BR_CNPJ</v>
          </cell>
          <cell r="F3741" t="str">
            <v>39.466.060/0001-30</v>
          </cell>
        </row>
        <row r="3742">
          <cell r="A3742">
            <v>36090</v>
          </cell>
          <cell r="B3742" t="str">
            <v>CORPORATION</v>
          </cell>
          <cell r="C3742" t="str">
            <v>Itadeu Marques Soares - Me</v>
          </cell>
          <cell r="D3742" t="str">
            <v>Itadeu Marques Soares</v>
          </cell>
          <cell r="E3742" t="str">
            <v>BR_CNPJ</v>
          </cell>
          <cell r="F3742" t="str">
            <v>04.998.801/0001-49</v>
          </cell>
        </row>
        <row r="3743">
          <cell r="A3743">
            <v>36095</v>
          </cell>
          <cell r="B3743" t="str">
            <v>CORPORATION</v>
          </cell>
          <cell r="C3743" t="str">
            <v>Soldaforte Comercio De Maquinas Ltda - Epp</v>
          </cell>
          <cell r="D3743" t="str">
            <v>Soldaforte</v>
          </cell>
          <cell r="E3743" t="str">
            <v>BR_CNPJ</v>
          </cell>
          <cell r="F3743" t="str">
            <v>62.984.885/0001-68</v>
          </cell>
          <cell r="G3743" t="str">
            <v>SOLDAFORTE</v>
          </cell>
        </row>
        <row r="3744">
          <cell r="A3744">
            <v>36096</v>
          </cell>
          <cell r="B3744" t="str">
            <v>CORPORATION</v>
          </cell>
          <cell r="C3744" t="str">
            <v>Geral Ferramentas Ltda</v>
          </cell>
          <cell r="D3744" t="str">
            <v>Geral Ferramentas</v>
          </cell>
          <cell r="E3744" t="str">
            <v>BR_CNPJ</v>
          </cell>
          <cell r="F3744" t="str">
            <v>04.519.318/0001-34</v>
          </cell>
        </row>
        <row r="3745">
          <cell r="A3745">
            <v>36097</v>
          </cell>
          <cell r="B3745" t="str">
            <v>CORPORATION</v>
          </cell>
          <cell r="C3745" t="str">
            <v>A V Santana Comercio Ltda</v>
          </cell>
          <cell r="D3745" t="str">
            <v>Diferro Ferro E Aco</v>
          </cell>
          <cell r="E3745" t="str">
            <v>BR_CNPJ</v>
          </cell>
          <cell r="F3745" t="str">
            <v>41.686.948/0001-20</v>
          </cell>
          <cell r="G3745" t="str">
            <v>DIFERRO</v>
          </cell>
        </row>
        <row r="3746">
          <cell r="A3746">
            <v>36098</v>
          </cell>
          <cell r="B3746" t="str">
            <v>CORPORATION</v>
          </cell>
          <cell r="C3746" t="str">
            <v>Edson Donizete Furtado 11610734858</v>
          </cell>
          <cell r="D3746" t="str">
            <v>Guaritec</v>
          </cell>
          <cell r="E3746" t="str">
            <v>BR_CNPJ</v>
          </cell>
          <cell r="F3746" t="str">
            <v>18.998.669/0001-80</v>
          </cell>
        </row>
        <row r="3747">
          <cell r="A3747">
            <v>36104</v>
          </cell>
          <cell r="B3747" t="str">
            <v>CORPORATION</v>
          </cell>
          <cell r="C3747" t="str">
            <v>A. C. C. De Souza - Me</v>
          </cell>
          <cell r="D3747" t="str">
            <v>Souza Pecas</v>
          </cell>
          <cell r="E3747" t="str">
            <v>BR_CNPJ</v>
          </cell>
          <cell r="F3747" t="str">
            <v>10.375.429/0001-17</v>
          </cell>
        </row>
        <row r="3748">
          <cell r="A3748">
            <v>36105</v>
          </cell>
          <cell r="B3748" t="str">
            <v>CORPORATION</v>
          </cell>
          <cell r="C3748" t="str">
            <v>Assisteck Maquinas E Ferramentas Ltda</v>
          </cell>
          <cell r="D3748" t="str">
            <v>Assisteck</v>
          </cell>
          <cell r="E3748" t="str">
            <v>BR_CNPJ</v>
          </cell>
          <cell r="F3748" t="str">
            <v>36.530.098/0001-36</v>
          </cell>
        </row>
        <row r="3749">
          <cell r="A3749">
            <v>36112</v>
          </cell>
          <cell r="B3749" t="str">
            <v>CORPORATION</v>
          </cell>
          <cell r="C3749" t="str">
            <v>D &amp; C Comercio E Servicos Ltda - Epp</v>
          </cell>
          <cell r="D3749" t="str">
            <v>D &amp; C</v>
          </cell>
          <cell r="E3749" t="str">
            <v>BR_CNPJ</v>
          </cell>
          <cell r="F3749" t="str">
            <v>10.567.947/0001-32</v>
          </cell>
        </row>
        <row r="3750">
          <cell r="A3750">
            <v>36115</v>
          </cell>
          <cell r="B3750" t="str">
            <v>CORPORATION</v>
          </cell>
          <cell r="C3750" t="str">
            <v>Ana Carolina Custodio Furtado 37511558801</v>
          </cell>
          <cell r="D3750" t="str">
            <v>Guaritec</v>
          </cell>
          <cell r="E3750" t="str">
            <v>BR_CNPJ</v>
          </cell>
          <cell r="F3750" t="str">
            <v>24.404.650/0001-60</v>
          </cell>
        </row>
        <row r="3751">
          <cell r="A3751">
            <v>36125</v>
          </cell>
          <cell r="B3751" t="str">
            <v>CORPORATION</v>
          </cell>
          <cell r="C3751" t="str">
            <v>Cavmaq Maquinas E Equipamentos Ltda - Epp</v>
          </cell>
          <cell r="D3751" t="str">
            <v>Cavmaq</v>
          </cell>
          <cell r="E3751" t="str">
            <v>BR_CNPJ</v>
          </cell>
          <cell r="F3751" t="str">
            <v>12.397.583/0001-15</v>
          </cell>
          <cell r="G3751" t="str">
            <v>CAVMAQ</v>
          </cell>
        </row>
        <row r="3752">
          <cell r="A3752">
            <v>36132</v>
          </cell>
          <cell r="B3752" t="str">
            <v>CORPORATION</v>
          </cell>
          <cell r="C3752" t="str">
            <v>A. M. De Morais - Equipamentos De Solda E Corte</v>
          </cell>
          <cell r="D3752" t="str">
            <v>Eletrus</v>
          </cell>
          <cell r="E3752" t="str">
            <v>BR_CNPJ</v>
          </cell>
          <cell r="F3752" t="str">
            <v>25.224.545/0001-02</v>
          </cell>
        </row>
        <row r="3753">
          <cell r="A3753">
            <v>36138</v>
          </cell>
          <cell r="B3753" t="str">
            <v>CORPORATION</v>
          </cell>
          <cell r="C3753" t="str">
            <v>J. D. Comercio De Maquinas Ltda</v>
          </cell>
          <cell r="D3753" t="str">
            <v>J. D. Comercio</v>
          </cell>
          <cell r="E3753" t="str">
            <v>BR_CNPJ</v>
          </cell>
          <cell r="F3753" t="str">
            <v>11.830.645/0001-78</v>
          </cell>
        </row>
        <row r="3754">
          <cell r="A3754">
            <v>36141</v>
          </cell>
          <cell r="B3754" t="str">
            <v>CORPORATION</v>
          </cell>
          <cell r="C3754" t="str">
            <v>Rafael De Faria Pereira 42186652811</v>
          </cell>
          <cell r="D3754" t="str">
            <v>Mirai Empreendimentos Ltda</v>
          </cell>
          <cell r="E3754" t="str">
            <v>BR_CNPJ</v>
          </cell>
          <cell r="F3754" t="str">
            <v>26.189.006/0001-42</v>
          </cell>
        </row>
        <row r="3755">
          <cell r="A3755">
            <v>36144</v>
          </cell>
          <cell r="B3755" t="str">
            <v>CORPORATION</v>
          </cell>
          <cell r="C3755" t="str">
            <v>Colorado Equipamentos Ltda - Epp</v>
          </cell>
          <cell r="D3755" t="str">
            <v>Equipar Equipamentos Comerciais</v>
          </cell>
          <cell r="E3755" t="str">
            <v>BR_CNPJ</v>
          </cell>
          <cell r="F3755" t="str">
            <v>11.791.820/0001-65</v>
          </cell>
        </row>
        <row r="3756">
          <cell r="A3756">
            <v>36152</v>
          </cell>
          <cell r="B3756" t="str">
            <v>CORPORATION</v>
          </cell>
          <cell r="C3756" t="str">
            <v>Macuxi Comercio De Armarinho Ltda - Me</v>
          </cell>
          <cell r="D3756" t="str">
            <v>Macuxi Comercio E Represntações</v>
          </cell>
          <cell r="E3756" t="str">
            <v>BR_CNPJ</v>
          </cell>
          <cell r="F3756" t="str">
            <v>04.945.399/0001-34</v>
          </cell>
        </row>
        <row r="3757">
          <cell r="A3757">
            <v>36155</v>
          </cell>
          <cell r="B3757" t="str">
            <v>CORPORATION</v>
          </cell>
          <cell r="C3757" t="str">
            <v>Piratini Ltda - Epp</v>
          </cell>
          <cell r="D3757" t="str">
            <v>Piratini</v>
          </cell>
          <cell r="E3757" t="str">
            <v>BR_CNPJ</v>
          </cell>
          <cell r="F3757" t="str">
            <v>24.653.180/0001-79</v>
          </cell>
        </row>
        <row r="3758">
          <cell r="A3758">
            <v>36157</v>
          </cell>
          <cell r="B3758" t="str">
            <v>CORPORATION</v>
          </cell>
          <cell r="C3758" t="str">
            <v>Naoki Comercio De Eletro Eletronicos Importacao E Exportacao Ltda</v>
          </cell>
          <cell r="D3758" t="str">
            <v>Naoki Importados</v>
          </cell>
          <cell r="E3758" t="str">
            <v>BR_CNPJ</v>
          </cell>
          <cell r="F3758" t="str">
            <v>39.155.154/0001-98</v>
          </cell>
        </row>
        <row r="3759">
          <cell r="A3759">
            <v>36158</v>
          </cell>
          <cell r="B3759" t="str">
            <v>CORPORATION</v>
          </cell>
          <cell r="C3759" t="str">
            <v>Wv Aruja Ferramentas Ltda</v>
          </cell>
          <cell r="D3759" t="str">
            <v>Wv Ferramentas</v>
          </cell>
          <cell r="E3759" t="str">
            <v>BR_CNPJ</v>
          </cell>
          <cell r="F3759" t="str">
            <v>25.116.267/0001-70</v>
          </cell>
        </row>
        <row r="3760">
          <cell r="A3760">
            <v>36160</v>
          </cell>
          <cell r="B3760" t="str">
            <v>CORPORATION</v>
          </cell>
          <cell r="C3760" t="str">
            <v>Weldsystem Solda E Corte Ltda</v>
          </cell>
          <cell r="D3760" t="str">
            <v>Weldsystem Solda E Corte</v>
          </cell>
          <cell r="E3760" t="str">
            <v>BR_CNPJ</v>
          </cell>
          <cell r="F3760" t="str">
            <v>40.684.768/0001-46</v>
          </cell>
        </row>
        <row r="3761">
          <cell r="A3761">
            <v>36161</v>
          </cell>
          <cell r="B3761" t="str">
            <v>CORPORATION</v>
          </cell>
          <cell r="C3761" t="str">
            <v>Cooperativa Agricola De Paraguacu Paulista E Regiao - Coappar</v>
          </cell>
          <cell r="D3761" t="str">
            <v>Coappar Cooperativa Agricola</v>
          </cell>
          <cell r="E3761" t="str">
            <v>BR_CNPJ</v>
          </cell>
          <cell r="F3761" t="str">
            <v>26.642.939/0001-43</v>
          </cell>
        </row>
        <row r="3762">
          <cell r="A3762">
            <v>36163</v>
          </cell>
          <cell r="B3762" t="str">
            <v>CORPORATION</v>
          </cell>
          <cell r="C3762" t="str">
            <v>Crm Produtos E Servicos Industriais Ltda</v>
          </cell>
          <cell r="D3762" t="str">
            <v>Crm Produtos E Servicos Industriais Ltda</v>
          </cell>
          <cell r="E3762" t="str">
            <v>BR_CNPJ</v>
          </cell>
          <cell r="F3762" t="str">
            <v>06.023.566/0008-91</v>
          </cell>
          <cell r="G3762" t="str">
            <v>MUCHIUTT</v>
          </cell>
        </row>
        <row r="3763">
          <cell r="A3763">
            <v>36164</v>
          </cell>
          <cell r="B3763" t="str">
            <v>CORPORATION</v>
          </cell>
          <cell r="C3763" t="str">
            <v>Soldax Equipamentos Ltda</v>
          </cell>
          <cell r="D3763" t="str">
            <v>Soldax</v>
          </cell>
          <cell r="E3763" t="str">
            <v>BR_CNPJ</v>
          </cell>
          <cell r="F3763" t="str">
            <v>35.181.510/0001-97</v>
          </cell>
        </row>
        <row r="3764">
          <cell r="A3764">
            <v>36172</v>
          </cell>
          <cell r="B3764" t="str">
            <v>CORPORATION</v>
          </cell>
          <cell r="C3764" t="str">
            <v>Oxirio Comercio De Equipamentos Para Soldas Ltda.</v>
          </cell>
          <cell r="D3764" t="str">
            <v>Oxirio</v>
          </cell>
          <cell r="E3764" t="str">
            <v>BR_CNPJ</v>
          </cell>
          <cell r="F3764" t="str">
            <v>57.894.164/0001-27</v>
          </cell>
        </row>
        <row r="3765">
          <cell r="A3765">
            <v>36176</v>
          </cell>
          <cell r="B3765" t="str">
            <v>CORPORATION</v>
          </cell>
          <cell r="C3765" t="str">
            <v>Tremocoldi &amp; Cia Ltda</v>
          </cell>
          <cell r="D3765" t="str">
            <v>Tremocoldi</v>
          </cell>
          <cell r="E3765" t="str">
            <v>BR_CNPJ</v>
          </cell>
          <cell r="F3765" t="str">
            <v>46.243.986/0001-21</v>
          </cell>
        </row>
        <row r="3766">
          <cell r="A3766">
            <v>36178</v>
          </cell>
          <cell r="B3766" t="str">
            <v>CORPORATION</v>
          </cell>
          <cell r="C3766" t="str">
            <v>Aserferro Distribuidora De Ferro E Aco Ltda</v>
          </cell>
          <cell r="D3766" t="str">
            <v>Aserferro</v>
          </cell>
          <cell r="E3766" t="str">
            <v>BR_CNPJ</v>
          </cell>
          <cell r="F3766" t="str">
            <v>21.200.098/0001-09</v>
          </cell>
        </row>
        <row r="3767">
          <cell r="A3767">
            <v>36179</v>
          </cell>
          <cell r="B3767" t="str">
            <v>CORPORATION</v>
          </cell>
          <cell r="C3767" t="str">
            <v>Antonio Carlos Nascimento</v>
          </cell>
          <cell r="D3767" t="str">
            <v>Caboclo</v>
          </cell>
          <cell r="E3767" t="str">
            <v>BR_CNPJ</v>
          </cell>
          <cell r="F3767" t="str">
            <v>49.005.382/0001-35</v>
          </cell>
        </row>
        <row r="3768">
          <cell r="A3768">
            <v>36181</v>
          </cell>
          <cell r="B3768" t="str">
            <v>CORPORATION</v>
          </cell>
          <cell r="C3768" t="str">
            <v>Comercial Lufega Ltda - Epp</v>
          </cell>
          <cell r="D3768" t="str">
            <v>Lufega</v>
          </cell>
          <cell r="E3768" t="str">
            <v>BR_CNPJ</v>
          </cell>
          <cell r="F3768" t="str">
            <v>64.708.571/0001-68</v>
          </cell>
        </row>
        <row r="3769">
          <cell r="A3769">
            <v>36183</v>
          </cell>
          <cell r="B3769" t="str">
            <v>CORPORATION</v>
          </cell>
          <cell r="C3769" t="str">
            <v>Mizolin Ferragens E Acessorios Para Serralheria Ltda</v>
          </cell>
          <cell r="D3769" t="str">
            <v>Mizolin Ferragens</v>
          </cell>
          <cell r="E3769" t="str">
            <v>BR_CNPJ</v>
          </cell>
          <cell r="F3769" t="str">
            <v>39.332.539/0001-83</v>
          </cell>
        </row>
        <row r="3770">
          <cell r="A3770">
            <v>36185</v>
          </cell>
          <cell r="B3770" t="str">
            <v>CORPORATION</v>
          </cell>
          <cell r="C3770" t="str">
            <v>Isoforte Distribuidora Ltda Me</v>
          </cell>
          <cell r="D3770" t="str">
            <v>Isoforte</v>
          </cell>
          <cell r="E3770" t="str">
            <v>BR_CNPJ</v>
          </cell>
          <cell r="F3770" t="str">
            <v>13.246.140/0001-96</v>
          </cell>
        </row>
        <row r="3771">
          <cell r="A3771">
            <v>36186</v>
          </cell>
          <cell r="B3771" t="str">
            <v>CORPORATION</v>
          </cell>
          <cell r="C3771" t="str">
            <v>Rei Dos Parafusos E Materiais Eletricos Ltda</v>
          </cell>
          <cell r="D3771" t="str">
            <v>Rei Dos Parafusos E Materiais Eletricos</v>
          </cell>
          <cell r="E3771" t="str">
            <v>BR_CNPJ</v>
          </cell>
          <cell r="F3771" t="str">
            <v>17.639.072/0001-86</v>
          </cell>
        </row>
        <row r="3772">
          <cell r="A3772">
            <v>36188</v>
          </cell>
          <cell r="B3772" t="str">
            <v>CORPORATION</v>
          </cell>
          <cell r="C3772" t="str">
            <v>Somasete Automação Industrial Ltda</v>
          </cell>
          <cell r="D3772" t="str">
            <v>Somasete Automacao</v>
          </cell>
          <cell r="E3772" t="str">
            <v>BR_CNPJ</v>
          </cell>
          <cell r="F3772" t="str">
            <v>31.406.826/0001-89</v>
          </cell>
        </row>
        <row r="3773">
          <cell r="A3773">
            <v>36190</v>
          </cell>
          <cell r="B3773" t="str">
            <v>CORPORATION</v>
          </cell>
          <cell r="C3773" t="str">
            <v>Vethor Engenharia E Comercio Ltda</v>
          </cell>
          <cell r="D3773" t="str">
            <v>Vethor Comercio</v>
          </cell>
          <cell r="E3773" t="str">
            <v>BR_CNPJ</v>
          </cell>
          <cell r="F3773" t="str">
            <v>18.018.880/0001-99</v>
          </cell>
        </row>
        <row r="3774">
          <cell r="A3774">
            <v>36196</v>
          </cell>
          <cell r="B3774" t="str">
            <v>CORPORATION</v>
          </cell>
          <cell r="C3774" t="str">
            <v>O Tijolao Material De Construcao Ltda</v>
          </cell>
          <cell r="D3774" t="str">
            <v>O Tijolao Material De Construcao Ltda</v>
          </cell>
          <cell r="E3774" t="str">
            <v>BR_CNPJ</v>
          </cell>
          <cell r="F3774" t="str">
            <v>69.406.932/0001-35</v>
          </cell>
          <cell r="G3774" t="str">
            <v>ORIZA</v>
          </cell>
        </row>
        <row r="3775">
          <cell r="A3775">
            <v>36201</v>
          </cell>
          <cell r="B3775" t="str">
            <v>CORPORATION</v>
          </cell>
          <cell r="C3775" t="str">
            <v>Comercial Da Construcao Nossa Terra Ltda - Epp</v>
          </cell>
          <cell r="D3775" t="str">
            <v>Cnt Construção</v>
          </cell>
          <cell r="E3775" t="str">
            <v>BR_CNPJ</v>
          </cell>
          <cell r="F3775" t="str">
            <v>01.790.630/0001-70</v>
          </cell>
        </row>
        <row r="3776">
          <cell r="A3776">
            <v>36218</v>
          </cell>
          <cell r="B3776" t="str">
            <v>CORPORATION</v>
          </cell>
          <cell r="C3776" t="str">
            <v>Francisco Pinheiro Do Nascimento - Me</v>
          </cell>
          <cell r="D3776" t="str">
            <v>Bombasmaq</v>
          </cell>
          <cell r="E3776" t="str">
            <v>BR_CNPJ</v>
          </cell>
          <cell r="F3776" t="str">
            <v>13.975.699/0001-57</v>
          </cell>
        </row>
        <row r="3777">
          <cell r="A3777">
            <v>36221</v>
          </cell>
          <cell r="B3777" t="str">
            <v>CORPORATION</v>
          </cell>
          <cell r="C3777" t="str">
            <v>Masifer Comércio De Ferros Limitada - Epp</v>
          </cell>
          <cell r="D3777" t="str">
            <v>Masifer</v>
          </cell>
          <cell r="E3777" t="str">
            <v>BR_CNPJ</v>
          </cell>
          <cell r="F3777" t="str">
            <v>05.652.262/0001-54</v>
          </cell>
        </row>
        <row r="3778">
          <cell r="A3778">
            <v>36227</v>
          </cell>
          <cell r="B3778" t="str">
            <v>CORPORATION</v>
          </cell>
          <cell r="C3778" t="str">
            <v>Mineiro &amp; Mineiro Ltda - Me</v>
          </cell>
          <cell r="D3778" t="str">
            <v>Casa Do Construtor</v>
          </cell>
          <cell r="E3778" t="str">
            <v>BR_CNPJ</v>
          </cell>
          <cell r="F3778" t="str">
            <v>13.252.398/0001-03</v>
          </cell>
        </row>
        <row r="3779">
          <cell r="A3779">
            <v>36230</v>
          </cell>
          <cell r="B3779" t="str">
            <v>CORPORATION</v>
          </cell>
          <cell r="C3779" t="str">
            <v>Tarcysio Magno Dos Anjos Pinto 00818411406</v>
          </cell>
          <cell r="D3779" t="str">
            <v>Lider Parafusos</v>
          </cell>
          <cell r="E3779" t="str">
            <v>BR_CNPJ</v>
          </cell>
          <cell r="F3779" t="str">
            <v>24.068.228/0001-81</v>
          </cell>
        </row>
        <row r="3780">
          <cell r="A3780">
            <v>36235</v>
          </cell>
          <cell r="B3780" t="str">
            <v>CORPORATION</v>
          </cell>
          <cell r="C3780" t="str">
            <v>Espaço Solda Comercio E Serviço Eireli - Me</v>
          </cell>
          <cell r="D3780" t="str">
            <v>Espaco Solda</v>
          </cell>
          <cell r="E3780" t="str">
            <v>BR_CNPJ</v>
          </cell>
          <cell r="F3780" t="str">
            <v>18.760.984/0001-74</v>
          </cell>
          <cell r="G3780" t="str">
            <v>ESPAÇO SOLDA</v>
          </cell>
        </row>
        <row r="3781">
          <cell r="A3781">
            <v>36245</v>
          </cell>
          <cell r="B3781" t="str">
            <v>CORPORATION</v>
          </cell>
          <cell r="C3781" t="str">
            <v>S.R. Dos Santos</v>
          </cell>
          <cell r="D3781" t="str">
            <v>S.R. Dos Santos</v>
          </cell>
          <cell r="E3781" t="str">
            <v>BR_CNPJ</v>
          </cell>
          <cell r="F3781" t="str">
            <v>10.429.158/0001-35</v>
          </cell>
        </row>
        <row r="3782">
          <cell r="A3782">
            <v>36246</v>
          </cell>
          <cell r="B3782" t="str">
            <v>CORPORATION</v>
          </cell>
          <cell r="C3782" t="str">
            <v>Chapisco Ferramentas Ltda - Me</v>
          </cell>
          <cell r="D3782" t="str">
            <v>Chapisco Ferramentas</v>
          </cell>
          <cell r="E3782" t="str">
            <v>BR_CNPJ</v>
          </cell>
          <cell r="F3782" t="str">
            <v>13.222.910/0001-60</v>
          </cell>
        </row>
        <row r="3783">
          <cell r="A3783">
            <v>36249</v>
          </cell>
          <cell r="B3783" t="str">
            <v>CORPORATION</v>
          </cell>
          <cell r="C3783" t="str">
            <v>Jrs - Comercio De Maquinas Ltda - Me</v>
          </cell>
          <cell r="D3783" t="str">
            <v>Jrs - Comercio De Maquinas</v>
          </cell>
          <cell r="E3783" t="str">
            <v>BR_CNPJ</v>
          </cell>
          <cell r="F3783" t="str">
            <v>02.764.589/0001-20</v>
          </cell>
        </row>
        <row r="3784">
          <cell r="A3784">
            <v>36254</v>
          </cell>
          <cell r="B3784" t="str">
            <v>CORPORATION</v>
          </cell>
          <cell r="C3784" t="str">
            <v>G J M De L Foggiato Ferragens</v>
          </cell>
          <cell r="D3784" t="str">
            <v>Machado Ferragens</v>
          </cell>
          <cell r="E3784" t="str">
            <v>BR_CNPJ</v>
          </cell>
          <cell r="F3784" t="str">
            <v>20.912.005/0001-06</v>
          </cell>
        </row>
        <row r="3785">
          <cell r="A3785">
            <v>36258</v>
          </cell>
          <cell r="B3785" t="str">
            <v>CORPORATION</v>
          </cell>
          <cell r="C3785" t="str">
            <v>Charleno Breno Carvalho Magalhaes</v>
          </cell>
          <cell r="D3785" t="str">
            <v>Br Eletro</v>
          </cell>
          <cell r="E3785" t="str">
            <v>BR_CNPJ</v>
          </cell>
          <cell r="F3785" t="str">
            <v>07.097.119/0001-73</v>
          </cell>
        </row>
        <row r="3786">
          <cell r="A3786">
            <v>36260</v>
          </cell>
          <cell r="B3786" t="str">
            <v>CORPORATION</v>
          </cell>
          <cell r="C3786" t="str">
            <v>A P Com De Soldas E Gases Ltda - Me</v>
          </cell>
          <cell r="D3786" t="str">
            <v>A P Com De Soldas</v>
          </cell>
          <cell r="E3786" t="str">
            <v>BR_CNPJ</v>
          </cell>
          <cell r="F3786" t="str">
            <v>38.988.911/0001-41</v>
          </cell>
        </row>
        <row r="3787">
          <cell r="A3787">
            <v>36262</v>
          </cell>
          <cell r="B3787" t="str">
            <v>CORPORATION</v>
          </cell>
          <cell r="C3787" t="str">
            <v>Armarinho Sendy Ltda</v>
          </cell>
          <cell r="D3787" t="str">
            <v>Construsendy</v>
          </cell>
          <cell r="E3787" t="str">
            <v>BR_CNPJ</v>
          </cell>
          <cell r="F3787" t="str">
            <v>06.370.776/0001-80</v>
          </cell>
        </row>
        <row r="3788">
          <cell r="A3788">
            <v>36263</v>
          </cell>
          <cell r="B3788" t="str">
            <v>CORPORATION</v>
          </cell>
          <cell r="C3788" t="str">
            <v>Casa Coradi Materiais De Construcao Ltda - Epp</v>
          </cell>
          <cell r="D3788" t="str">
            <v>Casa Coradi</v>
          </cell>
          <cell r="E3788" t="str">
            <v>BR_CNPJ</v>
          </cell>
          <cell r="F3788" t="str">
            <v>04.228.252/0001-23</v>
          </cell>
        </row>
        <row r="3789">
          <cell r="A3789">
            <v>36265</v>
          </cell>
          <cell r="B3789" t="str">
            <v>CORPORATION</v>
          </cell>
          <cell r="C3789" t="str">
            <v>Comercial Belinato &amp; Ribeiro Eireli - Me</v>
          </cell>
          <cell r="D3789" t="str">
            <v>Comercial Belinato &amp; Ribeiro</v>
          </cell>
          <cell r="E3789" t="str">
            <v>BR_CNPJ</v>
          </cell>
          <cell r="F3789" t="str">
            <v>05.124.062/0001-29</v>
          </cell>
        </row>
        <row r="3790">
          <cell r="A3790">
            <v>36269</v>
          </cell>
          <cell r="B3790" t="str">
            <v>CORPORATION</v>
          </cell>
          <cell r="C3790" t="str">
            <v>52.047.984 Gabriel Fernando De Azevedo</v>
          </cell>
          <cell r="D3790" t="str">
            <v>G-Tec Inverter</v>
          </cell>
          <cell r="E3790" t="str">
            <v>BR_CNPJ</v>
          </cell>
          <cell r="F3790" t="str">
            <v>52.047.984/0001-60</v>
          </cell>
        </row>
        <row r="3791">
          <cell r="A3791">
            <v>36270</v>
          </cell>
          <cell r="B3791" t="str">
            <v>CORPORATION</v>
          </cell>
          <cell r="C3791" t="str">
            <v>Uma Aluminium Ltda</v>
          </cell>
          <cell r="D3791" t="str">
            <v>Uma Aluminium - Solucoes Em Esquadrias</v>
          </cell>
          <cell r="E3791" t="str">
            <v>BR_CNPJ</v>
          </cell>
          <cell r="F3791" t="str">
            <v>29.936.718/0001-76</v>
          </cell>
          <cell r="G3791" t="str">
            <v>ORIGINAL GARAGE</v>
          </cell>
        </row>
        <row r="3792">
          <cell r="A3792">
            <v>36275</v>
          </cell>
          <cell r="B3792" t="str">
            <v>CORPORATION</v>
          </cell>
          <cell r="C3792" t="str">
            <v>Tiburcio Paulo Cavalcante - Me</v>
          </cell>
          <cell r="D3792" t="str">
            <v>Central Do Aluminio</v>
          </cell>
          <cell r="E3792" t="str">
            <v>BR_CNPJ</v>
          </cell>
          <cell r="F3792" t="str">
            <v>41.427.022/0001-10</v>
          </cell>
        </row>
        <row r="3793">
          <cell r="A3793">
            <v>36278</v>
          </cell>
          <cell r="B3793" t="str">
            <v>CORPORATION</v>
          </cell>
          <cell r="C3793" t="str">
            <v>Theodora Asteria Moreira &amp; Cia Ltda - Epp</v>
          </cell>
          <cell r="D3793" t="str">
            <v>Casa Das Tintas</v>
          </cell>
          <cell r="E3793" t="str">
            <v>BR_CNPJ</v>
          </cell>
          <cell r="F3793" t="str">
            <v>82.391.012/0001-59</v>
          </cell>
        </row>
        <row r="3794">
          <cell r="A3794">
            <v>36279</v>
          </cell>
          <cell r="B3794" t="str">
            <v>CORPORATION</v>
          </cell>
          <cell r="C3794" t="str">
            <v>M C Comercio De Ferragens E Ferramentas Ltda</v>
          </cell>
          <cell r="D3794" t="str">
            <v>Mc Ferragens</v>
          </cell>
          <cell r="E3794" t="str">
            <v>BR_CNPJ</v>
          </cell>
          <cell r="F3794" t="str">
            <v>12.989.726/0001-88</v>
          </cell>
        </row>
        <row r="3795">
          <cell r="A3795">
            <v>36281</v>
          </cell>
          <cell r="B3795" t="str">
            <v>CORPORATION</v>
          </cell>
          <cell r="C3795" t="str">
            <v>Floresta Maquinas E Motores Ltda</v>
          </cell>
          <cell r="D3795" t="str">
            <v>Floresta Maquinas E Motores Ltda</v>
          </cell>
          <cell r="E3795" t="str">
            <v>BR_CNPJ</v>
          </cell>
          <cell r="F3795" t="str">
            <v>09.197.203/0001-94</v>
          </cell>
        </row>
        <row r="3796">
          <cell r="A3796">
            <v>36286</v>
          </cell>
          <cell r="B3796" t="str">
            <v>CORPORATION</v>
          </cell>
          <cell r="C3796" t="str">
            <v>Jj. Comercio De Borracha Ltda</v>
          </cell>
          <cell r="D3796" t="str">
            <v>Sg Borracha</v>
          </cell>
          <cell r="E3796" t="str">
            <v>BR_CNPJ</v>
          </cell>
          <cell r="F3796" t="str">
            <v>07.989.847/0001-90</v>
          </cell>
        </row>
        <row r="3797">
          <cell r="A3797">
            <v>36289</v>
          </cell>
          <cell r="B3797" t="str">
            <v>CORPORATION</v>
          </cell>
          <cell r="C3797" t="str">
            <v>R.P Da Silva ­ Me</v>
          </cell>
          <cell r="D3797" t="str">
            <v>Hidroluz Materias Para Construcao</v>
          </cell>
          <cell r="E3797" t="str">
            <v>BR_CNPJ</v>
          </cell>
          <cell r="F3797" t="str">
            <v>23.828.381/0001-05</v>
          </cell>
        </row>
        <row r="3798">
          <cell r="A3798">
            <v>36294</v>
          </cell>
          <cell r="B3798" t="str">
            <v>CORPORATION</v>
          </cell>
          <cell r="C3798" t="str">
            <v>G. De O. Carvalho Ltda</v>
          </cell>
          <cell r="D3798" t="str">
            <v>Cia Solda E Ferramentas (Sia Solda)</v>
          </cell>
          <cell r="E3798" t="str">
            <v>BR_CNPJ</v>
          </cell>
          <cell r="F3798" t="str">
            <v>52.005.934/0001-10</v>
          </cell>
          <cell r="G3798" t="str">
            <v>SIA SOLDA</v>
          </cell>
        </row>
        <row r="3799">
          <cell r="A3799">
            <v>36298</v>
          </cell>
          <cell r="B3799" t="str">
            <v>CORPORATION</v>
          </cell>
          <cell r="C3799" t="str">
            <v>E.M Expansao Franquia E Consultoria Eireli</v>
          </cell>
          <cell r="D3799" t="str">
            <v>Escola Do Mecanico (Funileiro)</v>
          </cell>
          <cell r="E3799" t="str">
            <v>BR_CNPJ</v>
          </cell>
          <cell r="F3799" t="str">
            <v>27.139.634/0001-86</v>
          </cell>
          <cell r="G3799" t="str">
            <v>ESCOLA FUNILEIRO/ MECANICO</v>
          </cell>
        </row>
        <row r="3800">
          <cell r="A3800">
            <v>36299</v>
          </cell>
          <cell r="B3800" t="str">
            <v>CORPORATION</v>
          </cell>
          <cell r="C3800" t="str">
            <v>Nacional Atacadista Brasil Ltda</v>
          </cell>
          <cell r="D3800" t="str">
            <v>A. Brasil Public Sales</v>
          </cell>
          <cell r="E3800" t="str">
            <v>BR_CNPJ</v>
          </cell>
          <cell r="F3800" t="str">
            <v>19.302.995/0001-73</v>
          </cell>
        </row>
        <row r="3801">
          <cell r="A3801">
            <v>36301</v>
          </cell>
          <cell r="B3801" t="str">
            <v>CORPORATION</v>
          </cell>
          <cell r="C3801" t="str">
            <v>Angelo Antonio Germosgeschi</v>
          </cell>
          <cell r="D3801" t="str">
            <v>Oxitan Oxigenio Tangara (Soldamig)</v>
          </cell>
          <cell r="E3801" t="str">
            <v>BR_CNPJ</v>
          </cell>
          <cell r="F3801" t="str">
            <v>26.292.108/0001-99</v>
          </cell>
          <cell r="G3801" t="str">
            <v>SOLDAMIG</v>
          </cell>
        </row>
        <row r="3802">
          <cell r="A3802">
            <v>36302</v>
          </cell>
          <cell r="B3802" t="str">
            <v>CORPORATION</v>
          </cell>
          <cell r="C3802" t="str">
            <v>Cpv Acessorios Industriais Ltda</v>
          </cell>
          <cell r="D3802" t="str">
            <v>Rocar Comercio, Importacao De Acessorios Industriais</v>
          </cell>
          <cell r="E3802" t="str">
            <v>BR_CNPJ</v>
          </cell>
          <cell r="F3802" t="str">
            <v>10.637.347/0001-01</v>
          </cell>
        </row>
        <row r="3803">
          <cell r="A3803">
            <v>36305</v>
          </cell>
          <cell r="B3803" t="str">
            <v>CORPORATION</v>
          </cell>
          <cell r="C3803" t="str">
            <v>Eriberto Ferreira Porto - Me</v>
          </cell>
          <cell r="D3803" t="str">
            <v>Construcenter</v>
          </cell>
          <cell r="E3803" t="str">
            <v>BR_CNPJ</v>
          </cell>
          <cell r="F3803" t="str">
            <v>02.990.162/0001-40</v>
          </cell>
        </row>
        <row r="3804">
          <cell r="A3804">
            <v>36309</v>
          </cell>
          <cell r="B3804" t="str">
            <v>CORPORATION</v>
          </cell>
          <cell r="C3804" t="str">
            <v>Joao Lima Industria Mecanica E Fundicao Ltda - Me</v>
          </cell>
          <cell r="D3804" t="str">
            <v>Maquinas Vulcano</v>
          </cell>
          <cell r="E3804" t="str">
            <v>BR_CNPJ</v>
          </cell>
          <cell r="F3804" t="str">
            <v>07.248.821/0001-90</v>
          </cell>
        </row>
        <row r="3805">
          <cell r="A3805">
            <v>36323</v>
          </cell>
          <cell r="B3805" t="str">
            <v>CORPORATION</v>
          </cell>
          <cell r="C3805" t="str">
            <v>Scor Severino Comercio De Pecas Ltda</v>
          </cell>
          <cell r="D3805" t="str">
            <v>Scor Severino Comercio De Pecas Ltda</v>
          </cell>
          <cell r="E3805" t="str">
            <v>BR_CNPJ</v>
          </cell>
          <cell r="F3805" t="str">
            <v>56.284.995/0001-14</v>
          </cell>
        </row>
        <row r="3806">
          <cell r="A3806">
            <v>36329</v>
          </cell>
          <cell r="B3806" t="str">
            <v>CORPORATION</v>
          </cell>
          <cell r="C3806" t="str">
            <v>T A Dos Santos Tavares Comercio - Me</v>
          </cell>
          <cell r="D3806" t="str">
            <v>Tavares</v>
          </cell>
          <cell r="E3806" t="str">
            <v>BR_CNPJ</v>
          </cell>
          <cell r="F3806" t="str">
            <v>06.197.430/0001-21</v>
          </cell>
        </row>
        <row r="3807">
          <cell r="A3807">
            <v>36330</v>
          </cell>
          <cell r="B3807" t="str">
            <v>CORPORATION</v>
          </cell>
          <cell r="C3807" t="str">
            <v>Ferragista Bom Jesus Eireli</v>
          </cell>
          <cell r="D3807" t="str">
            <v>Ferragista Bom Jesus</v>
          </cell>
          <cell r="E3807" t="str">
            <v>BR_CNPJ</v>
          </cell>
          <cell r="F3807" t="str">
            <v>22.938.332/0001-54</v>
          </cell>
        </row>
        <row r="3808">
          <cell r="A3808">
            <v>36331</v>
          </cell>
          <cell r="B3808" t="str">
            <v>CORPORATION</v>
          </cell>
          <cell r="C3808" t="str">
            <v>C B R Gomes Aluguel De Equipamentos</v>
          </cell>
          <cell r="D3808" t="str">
            <v>Casa Do Construtor Anchieta</v>
          </cell>
          <cell r="E3808" t="str">
            <v>BR_CNPJ</v>
          </cell>
          <cell r="F3808" t="str">
            <v>49.177.933/0001-48</v>
          </cell>
        </row>
        <row r="3809">
          <cell r="A3809">
            <v>36336</v>
          </cell>
          <cell r="B3809" t="str">
            <v>CORPORATION</v>
          </cell>
          <cell r="C3809" t="str">
            <v>Troia Comercio De Equipamentos Diversos Eireli</v>
          </cell>
          <cell r="D3809" t="str">
            <v>Troia Equipamentos</v>
          </cell>
          <cell r="E3809" t="str">
            <v>BR_CNPJ</v>
          </cell>
          <cell r="F3809" t="str">
            <v>30.059.238/0001-53</v>
          </cell>
          <cell r="G3809" t="str">
            <v>TOP LICITA</v>
          </cell>
        </row>
        <row r="3810">
          <cell r="A3810">
            <v>36338</v>
          </cell>
          <cell r="B3810" t="str">
            <v>CORPORATION</v>
          </cell>
          <cell r="C3810" t="str">
            <v>M &amp; F Comercial Ltda</v>
          </cell>
          <cell r="D3810" t="str">
            <v>Mf Comercial Ltda</v>
          </cell>
          <cell r="E3810" t="str">
            <v>BR_CNPJ</v>
          </cell>
          <cell r="F3810" t="str">
            <v>02.287.394/0001-36</v>
          </cell>
        </row>
        <row r="3811">
          <cell r="A3811">
            <v>36343</v>
          </cell>
          <cell r="B3811" t="str">
            <v>CORPORATION</v>
          </cell>
          <cell r="C3811" t="str">
            <v>Safira Comercial Eireli - Me</v>
          </cell>
          <cell r="D3811" t="str">
            <v>Safira Comercial</v>
          </cell>
          <cell r="E3811" t="str">
            <v>BR_CNPJ</v>
          </cell>
          <cell r="F3811" t="str">
            <v>26.746.569/0001-94</v>
          </cell>
        </row>
        <row r="3812">
          <cell r="A3812">
            <v>36346</v>
          </cell>
          <cell r="B3812" t="str">
            <v>CORPORATION</v>
          </cell>
          <cell r="C3812" t="str">
            <v>Nobremaq Comercio De Maquinas E Ferramentas Limitada - Me</v>
          </cell>
          <cell r="D3812" t="str">
            <v>Nobremaq</v>
          </cell>
          <cell r="E3812" t="str">
            <v>BR_CNPJ</v>
          </cell>
          <cell r="F3812" t="str">
            <v>01.057.869/0001-35</v>
          </cell>
        </row>
        <row r="3813">
          <cell r="A3813">
            <v>36349</v>
          </cell>
          <cell r="B3813" t="str">
            <v>CORPORATION</v>
          </cell>
          <cell r="C3813" t="str">
            <v>Gomafe Goias Maquinas E Ferramentas Ltda</v>
          </cell>
          <cell r="D3813" t="str">
            <v>Gomafe</v>
          </cell>
          <cell r="E3813" t="str">
            <v>BR_CNPJ</v>
          </cell>
          <cell r="F3813" t="str">
            <v>01.541.192/0001-06</v>
          </cell>
        </row>
        <row r="3814">
          <cell r="A3814">
            <v>36355</v>
          </cell>
          <cell r="B3814" t="str">
            <v>CORPORATION</v>
          </cell>
          <cell r="C3814" t="str">
            <v>Constroi Petrolina Aluguel De Equipamentos Ltda - Me</v>
          </cell>
          <cell r="D3814" t="str">
            <v>Casa Do Construtor Aluguel De Equipamentos</v>
          </cell>
          <cell r="E3814" t="str">
            <v>BR_CNPJ</v>
          </cell>
          <cell r="F3814" t="str">
            <v>17.103.120/0001-17</v>
          </cell>
        </row>
        <row r="3815">
          <cell r="A3815">
            <v>36361</v>
          </cell>
          <cell r="B3815" t="str">
            <v>CORPORATION</v>
          </cell>
          <cell r="C3815" t="str">
            <v>Pissinini &amp; Pissinini Ltda - Epp</v>
          </cell>
          <cell r="D3815" t="str">
            <v>Ge Ge Casa &amp; Construcao</v>
          </cell>
          <cell r="E3815" t="str">
            <v>BR_CNPJ</v>
          </cell>
          <cell r="F3815" t="str">
            <v>03.734.169/0001-63</v>
          </cell>
          <cell r="G3815" t="str">
            <v>GG</v>
          </cell>
        </row>
        <row r="3816">
          <cell r="A3816">
            <v>36362</v>
          </cell>
          <cell r="B3816" t="str">
            <v>CORPORATION</v>
          </cell>
          <cell r="C3816" t="str">
            <v>Ciotto E Ferro Ltda.</v>
          </cell>
          <cell r="D3816" t="str">
            <v>L.B. Ferramentas, Parafusos E Ferragens</v>
          </cell>
          <cell r="E3816" t="str">
            <v>BR_CNPJ</v>
          </cell>
          <cell r="F3816" t="str">
            <v>00.943.750/0002-88</v>
          </cell>
        </row>
        <row r="3817">
          <cell r="A3817">
            <v>36363</v>
          </cell>
          <cell r="B3817" t="str">
            <v>CORPORATION</v>
          </cell>
          <cell r="C3817" t="str">
            <v>Soldas Rosense</v>
          </cell>
          <cell r="D3817" t="str">
            <v>Soldas Rosense Ltda</v>
          </cell>
          <cell r="E3817" t="str">
            <v>BR_CNPJ</v>
          </cell>
          <cell r="F3817" t="str">
            <v>94.330.230/0001-62</v>
          </cell>
        </row>
        <row r="3818">
          <cell r="A3818">
            <v>36364</v>
          </cell>
          <cell r="B3818" t="str">
            <v>CORPORATION</v>
          </cell>
          <cell r="C3818" t="str">
            <v>Edsomilson Oliveira De Souza 92498817549</v>
          </cell>
          <cell r="D3818" t="str">
            <v>Feira Solda</v>
          </cell>
          <cell r="E3818" t="str">
            <v>BR_CNPJ</v>
          </cell>
          <cell r="F3818" t="str">
            <v>24.169.082/0001-60</v>
          </cell>
        </row>
        <row r="3819">
          <cell r="A3819">
            <v>36368</v>
          </cell>
          <cell r="B3819" t="str">
            <v>CORPORATION</v>
          </cell>
          <cell r="C3819" t="str">
            <v>Ferraltec Comercio De Ferramentas Ltda. - Epp</v>
          </cell>
          <cell r="D3819" t="str">
            <v>Ferraltec</v>
          </cell>
          <cell r="E3819" t="str">
            <v>BR_CNPJ</v>
          </cell>
          <cell r="F3819" t="str">
            <v>66.676.982/0001-44</v>
          </cell>
        </row>
        <row r="3820">
          <cell r="A3820">
            <v>36372</v>
          </cell>
          <cell r="B3820" t="str">
            <v>CORPORATION</v>
          </cell>
          <cell r="C3820" t="str">
            <v>Graziella Campo Dall Orto Brunetti 05515864786</v>
          </cell>
          <cell r="D3820" t="str">
            <v>Colafer</v>
          </cell>
          <cell r="E3820" t="str">
            <v>BR_CNPJ</v>
          </cell>
          <cell r="F3820" t="str">
            <v>26.727.717/0001-23</v>
          </cell>
        </row>
        <row r="3821">
          <cell r="A3821">
            <v>36375</v>
          </cell>
          <cell r="B3821" t="str">
            <v>CORPORATION</v>
          </cell>
          <cell r="C3821" t="str">
            <v>Bruno Zaneti Camilo - Me</v>
          </cell>
          <cell r="D3821" t="str">
            <v>Agromix Auto Pecas</v>
          </cell>
          <cell r="E3821" t="str">
            <v>BR_CNPJ</v>
          </cell>
          <cell r="F3821" t="str">
            <v>14.413.022/0001-98</v>
          </cell>
        </row>
        <row r="3822">
          <cell r="A3822">
            <v>36384</v>
          </cell>
          <cell r="B3822" t="str">
            <v>CORPORATION</v>
          </cell>
          <cell r="C3822" t="str">
            <v>Samuel De S. Ferreira - Me</v>
          </cell>
          <cell r="D3822" t="str">
            <v>Construsim</v>
          </cell>
          <cell r="E3822" t="str">
            <v>BR_CNPJ</v>
          </cell>
          <cell r="F3822" t="str">
            <v>05.944.030/0001-70</v>
          </cell>
        </row>
        <row r="3823">
          <cell r="A3823">
            <v>36385</v>
          </cell>
          <cell r="B3823" t="str">
            <v>CORPORATION</v>
          </cell>
          <cell r="C3823" t="str">
            <v>Ishikawa A. K. Ferragens, Hidraulica E Eletrica Ltda</v>
          </cell>
          <cell r="D3823" t="str">
            <v>Ishikawa Ferragens</v>
          </cell>
          <cell r="E3823" t="str">
            <v>BR_CNPJ</v>
          </cell>
          <cell r="F3823" t="str">
            <v>42.845.624/0001-50</v>
          </cell>
          <cell r="G3823" t="str">
            <v>ISHIKAWA</v>
          </cell>
        </row>
        <row r="3824">
          <cell r="A3824">
            <v>36386</v>
          </cell>
          <cell r="B3824" t="str">
            <v>CORPORATION</v>
          </cell>
          <cell r="C3824" t="str">
            <v>H &amp; T Comercio De Autopecas E Servicos Ltda</v>
          </cell>
          <cell r="D3824" t="str">
            <v>Tratorsan</v>
          </cell>
          <cell r="E3824" t="str">
            <v>BR_CNPJ</v>
          </cell>
          <cell r="F3824" t="str">
            <v>22.949.796/0001-66</v>
          </cell>
        </row>
        <row r="3825">
          <cell r="A3825">
            <v>36390</v>
          </cell>
          <cell r="B3825" t="str">
            <v>CORPORATION</v>
          </cell>
          <cell r="C3825" t="str">
            <v>Jose Apoliano Costa - Me</v>
          </cell>
          <cell r="D3825" t="str">
            <v>Depósito São José</v>
          </cell>
          <cell r="E3825" t="str">
            <v>BR_CNPJ</v>
          </cell>
          <cell r="F3825" t="str">
            <v>23.704.588/0001-60</v>
          </cell>
        </row>
        <row r="3826">
          <cell r="A3826">
            <v>36396</v>
          </cell>
          <cell r="B3826" t="str">
            <v>CORPORATION</v>
          </cell>
          <cell r="C3826" t="str">
            <v>Lojao Da Borracha Ltda - Me</v>
          </cell>
          <cell r="D3826" t="str">
            <v>Lojao Da Borracha</v>
          </cell>
          <cell r="E3826" t="str">
            <v>BR_CNPJ</v>
          </cell>
          <cell r="F3826" t="str">
            <v>26.323.569/0001-81</v>
          </cell>
        </row>
        <row r="3827">
          <cell r="A3827">
            <v>36399</v>
          </cell>
          <cell r="B3827" t="str">
            <v>CORPORATION</v>
          </cell>
          <cell r="C3827" t="str">
            <v>Heider Carvalho Reis 09020448692</v>
          </cell>
          <cell r="D3827" t="str">
            <v>Baratao Ferragem E Ferramentas</v>
          </cell>
          <cell r="E3827" t="str">
            <v>BR_CNPJ</v>
          </cell>
          <cell r="F3827" t="str">
            <v>27.078.758/0001-07</v>
          </cell>
          <cell r="G3827" t="str">
            <v>BARATÃO</v>
          </cell>
        </row>
        <row r="3828">
          <cell r="A3828">
            <v>36419</v>
          </cell>
          <cell r="B3828" t="str">
            <v>CORPORATION</v>
          </cell>
          <cell r="C3828" t="str">
            <v>Comercial Cedro Ltda</v>
          </cell>
          <cell r="D3828" t="str">
            <v>Comercial Cedro</v>
          </cell>
          <cell r="E3828" t="str">
            <v>BR_CNPJ</v>
          </cell>
          <cell r="F3828" t="str">
            <v>10.732.150/0001-43</v>
          </cell>
        </row>
        <row r="3829">
          <cell r="A3829">
            <v>36421</v>
          </cell>
          <cell r="B3829" t="str">
            <v>CORPORATION</v>
          </cell>
          <cell r="C3829" t="str">
            <v>Hidrobombas Brasil Ltda</v>
          </cell>
          <cell r="D3829" t="str">
            <v>Hidrobombas Brasil</v>
          </cell>
          <cell r="E3829" t="str">
            <v>BR_CNPJ</v>
          </cell>
          <cell r="F3829" t="str">
            <v>05.632.848/0001-57</v>
          </cell>
        </row>
        <row r="3830">
          <cell r="A3830">
            <v>36422</v>
          </cell>
          <cell r="B3830" t="str">
            <v>CORPORATION</v>
          </cell>
          <cell r="C3830" t="str">
            <v>C3 Comercio De Ferragens E Inspecoes Ltda</v>
          </cell>
          <cell r="D3830" t="str">
            <v>C3 Parafusos E Rolamentos</v>
          </cell>
          <cell r="E3830" t="str">
            <v>BR_CNPJ</v>
          </cell>
          <cell r="F3830" t="str">
            <v>51.003.784/0001-42</v>
          </cell>
        </row>
        <row r="3831">
          <cell r="A3831">
            <v>36426</v>
          </cell>
          <cell r="B3831" t="str">
            <v>CORPORATION</v>
          </cell>
          <cell r="C3831" t="str">
            <v>Geovane P Da Silva Ltda</v>
          </cell>
          <cell r="D3831" t="str">
            <v>Gl Maquinas</v>
          </cell>
          <cell r="E3831" t="str">
            <v>BR_CNPJ</v>
          </cell>
          <cell r="F3831" t="str">
            <v>41.126.800/0001-30</v>
          </cell>
        </row>
        <row r="3832">
          <cell r="A3832">
            <v>36434</v>
          </cell>
          <cell r="B3832" t="str">
            <v>CORPORATION</v>
          </cell>
          <cell r="C3832" t="str">
            <v>Maria Luiza Costa De Araujo - Me</v>
          </cell>
          <cell r="D3832" t="str">
            <v>Valdetario Auto Pecas</v>
          </cell>
          <cell r="E3832" t="str">
            <v>BR_CNPJ</v>
          </cell>
          <cell r="F3832" t="str">
            <v>01.039.796/0001-59</v>
          </cell>
        </row>
        <row r="3833">
          <cell r="A3833">
            <v>36440</v>
          </cell>
          <cell r="B3833" t="str">
            <v>CORPORATION</v>
          </cell>
          <cell r="C3833" t="str">
            <v>Leo Distribuidora De Materiais De Construcao E Com. De Tintas Ltda- Epp</v>
          </cell>
          <cell r="D3833" t="str">
            <v>Leo Comercio De Tintas Exportacao E Importacao</v>
          </cell>
          <cell r="E3833" t="str">
            <v>BR_CNPJ</v>
          </cell>
          <cell r="F3833" t="str">
            <v>11.328.757/0001-25</v>
          </cell>
        </row>
        <row r="3834">
          <cell r="A3834">
            <v>36443</v>
          </cell>
          <cell r="B3834" t="str">
            <v>CORPORATION</v>
          </cell>
          <cell r="C3834" t="str">
            <v>Mg Ferramentas E Equipamentos Ltda</v>
          </cell>
          <cell r="D3834" t="str">
            <v>Mg Ferramentas E Parafusos</v>
          </cell>
          <cell r="E3834" t="str">
            <v>BR_CNPJ</v>
          </cell>
          <cell r="F3834" t="str">
            <v>00.354.446/0001-14</v>
          </cell>
        </row>
        <row r="3835">
          <cell r="A3835">
            <v>36446</v>
          </cell>
          <cell r="B3835" t="str">
            <v>CORPORATION</v>
          </cell>
          <cell r="C3835" t="str">
            <v>Angelo Paiotti Comercio Varejista De Materiais De Construcao Ltda</v>
          </cell>
          <cell r="D3835" t="str">
            <v>Angelo Paiotti Comercio Varejista De Materiais De Construcao Ltda</v>
          </cell>
          <cell r="E3835" t="str">
            <v>BR_CNPJ</v>
          </cell>
          <cell r="F3835" t="str">
            <v>38.933.891/0005-35</v>
          </cell>
        </row>
        <row r="3836">
          <cell r="A3836">
            <v>36448</v>
          </cell>
          <cell r="B3836" t="str">
            <v>CORPORATION</v>
          </cell>
          <cell r="C3836" t="str">
            <v>Objet Comercio De Equipamentos E Servicos Eireli - Me</v>
          </cell>
          <cell r="D3836" t="str">
            <v>Objet Comercio De Equipamentos E Servicos</v>
          </cell>
          <cell r="E3836" t="str">
            <v>BR_CNPJ</v>
          </cell>
          <cell r="F3836" t="str">
            <v>18.917.693/0001-47</v>
          </cell>
        </row>
        <row r="3837">
          <cell r="A3837">
            <v>36459</v>
          </cell>
          <cell r="B3837" t="str">
            <v>CORPORATION</v>
          </cell>
          <cell r="C3837" t="str">
            <v>Finotti Comercio De Ferramentas Ltda</v>
          </cell>
          <cell r="D3837" t="str">
            <v>Finotti Comercio De Ferramentas Ltda</v>
          </cell>
          <cell r="E3837" t="str">
            <v>BR_CNPJ</v>
          </cell>
          <cell r="F3837" t="str">
            <v>28.337.143/0002-93</v>
          </cell>
          <cell r="G3837" t="str">
            <v>FINOTTI</v>
          </cell>
        </row>
        <row r="3838">
          <cell r="A3838">
            <v>36469</v>
          </cell>
          <cell r="B3838" t="str">
            <v>CORPORATION</v>
          </cell>
          <cell r="C3838" t="str">
            <v>Rocar Comercio, Importacao De Acessorios Industriais Ltda - Epp</v>
          </cell>
          <cell r="D3838" t="str">
            <v>Rocar Comercio</v>
          </cell>
          <cell r="E3838" t="str">
            <v>BR_CNPJ</v>
          </cell>
          <cell r="F3838" t="str">
            <v>03.317.934/0001-40</v>
          </cell>
        </row>
        <row r="3839">
          <cell r="A3839">
            <v>36472</v>
          </cell>
          <cell r="B3839" t="str">
            <v>CORPORATION</v>
          </cell>
          <cell r="C3839" t="str">
            <v>Sintec Locadora Tecnica E Comercial Eireli - Me</v>
          </cell>
          <cell r="D3839" t="str">
            <v>Sintec</v>
          </cell>
          <cell r="E3839" t="str">
            <v>BR_CNPJ</v>
          </cell>
          <cell r="F3839" t="str">
            <v>02.052.288/0001-73</v>
          </cell>
        </row>
        <row r="3840">
          <cell r="A3840">
            <v>36476</v>
          </cell>
          <cell r="B3840" t="str">
            <v>CORPORATION</v>
          </cell>
          <cell r="C3840" t="str">
            <v>Casa Dos Parafusos E Ferramentas Ltda.</v>
          </cell>
          <cell r="D3840" t="str">
            <v>Casa Dos Parafusos E Ferramentas</v>
          </cell>
          <cell r="E3840" t="str">
            <v>BR_CNPJ</v>
          </cell>
          <cell r="F3840" t="str">
            <v>40.221.132/0001-68</v>
          </cell>
        </row>
        <row r="3841">
          <cell r="A3841">
            <v>36478</v>
          </cell>
          <cell r="B3841" t="str">
            <v>CORPORATION</v>
          </cell>
          <cell r="C3841" t="str">
            <v>Cleber Reis Dos Santos 11112681698</v>
          </cell>
          <cell r="D3841" t="str">
            <v>Depro Ferramentas</v>
          </cell>
          <cell r="E3841" t="str">
            <v>BR_CNPJ</v>
          </cell>
          <cell r="F3841" t="str">
            <v>26.968.736/0001-41</v>
          </cell>
        </row>
        <row r="3842">
          <cell r="A3842">
            <v>36484</v>
          </cell>
          <cell r="B3842" t="str">
            <v>CORPORATION</v>
          </cell>
          <cell r="C3842" t="str">
            <v>Mp Maquinas Pirituba Ltda - Me</v>
          </cell>
          <cell r="D3842" t="str">
            <v>Mp Maquinas Pirituba</v>
          </cell>
          <cell r="E3842" t="str">
            <v>BR_CNPJ</v>
          </cell>
          <cell r="F3842" t="str">
            <v>03.164.834/0001-20</v>
          </cell>
        </row>
        <row r="3843">
          <cell r="A3843">
            <v>36496</v>
          </cell>
          <cell r="B3843" t="str">
            <v>CORPORATION</v>
          </cell>
          <cell r="C3843" t="str">
            <v>Josias Bejamim Da Silva 08371292651</v>
          </cell>
          <cell r="D3843" t="str">
            <v>Brasil Maquinas E Ferramentas</v>
          </cell>
          <cell r="E3843" t="str">
            <v>BR_CNPJ</v>
          </cell>
          <cell r="F3843" t="str">
            <v>24.274.640/0001-58</v>
          </cell>
        </row>
        <row r="3844">
          <cell r="A3844">
            <v>36499</v>
          </cell>
          <cell r="B3844" t="str">
            <v>CORPORATION</v>
          </cell>
          <cell r="C3844" t="str">
            <v>Dilson Jose De Oliveira Junior - Me</v>
          </cell>
          <cell r="D3844" t="str">
            <v>Udi Parts Ferramentas</v>
          </cell>
          <cell r="E3844" t="str">
            <v>BR_CNPJ</v>
          </cell>
          <cell r="F3844" t="str">
            <v>26.324.989/0001-82</v>
          </cell>
        </row>
        <row r="3845">
          <cell r="A3845">
            <v>36504</v>
          </cell>
          <cell r="B3845" t="str">
            <v>CORPORATION</v>
          </cell>
          <cell r="C3845" t="str">
            <v>Leroy Merlin Companhia Brasileira De Bricolagem</v>
          </cell>
          <cell r="D3845" t="str">
            <v>0063 Loja Poa Estaleiro</v>
          </cell>
          <cell r="E3845" t="str">
            <v>BR_CNPJ</v>
          </cell>
          <cell r="F3845" t="str">
            <v>01.438.784/0068-04</v>
          </cell>
          <cell r="G3845" t="str">
            <v>LEROY MERLIN</v>
          </cell>
        </row>
        <row r="3846">
          <cell r="A3846">
            <v>36508</v>
          </cell>
          <cell r="B3846" t="str">
            <v>CORPORATION</v>
          </cell>
          <cell r="C3846" t="str">
            <v>Univarejo Comercio De Ferramentas Eireli</v>
          </cell>
          <cell r="D3846" t="str">
            <v>Univarejo</v>
          </cell>
          <cell r="E3846" t="str">
            <v>BR_CNPJ</v>
          </cell>
          <cell r="F3846" t="str">
            <v>27.171.435/0001-55</v>
          </cell>
          <cell r="G3846" t="str">
            <v>UNIVAREJO</v>
          </cell>
        </row>
        <row r="3847">
          <cell r="A3847">
            <v>36513</v>
          </cell>
          <cell r="B3847" t="str">
            <v>CORPORATION</v>
          </cell>
          <cell r="C3847" t="str">
            <v>Campos Silva Comercio De Aluminio Ltda</v>
          </cell>
          <cell r="D3847" t="str">
            <v>Neto Aluminio</v>
          </cell>
          <cell r="E3847" t="str">
            <v>BR_CNPJ</v>
          </cell>
          <cell r="F3847" t="str">
            <v>14.809.639/0001-27</v>
          </cell>
          <cell r="G3847" t="str">
            <v>J R CAMPOS</v>
          </cell>
        </row>
        <row r="3848">
          <cell r="A3848">
            <v>36516</v>
          </cell>
          <cell r="B3848" t="str">
            <v>CORPORATION</v>
          </cell>
          <cell r="C3848" t="str">
            <v>Equimaq - Equipamentos E Maquinas Ltda</v>
          </cell>
          <cell r="D3848" t="str">
            <v>Equimaq</v>
          </cell>
          <cell r="E3848" t="str">
            <v>BR_CNPJ</v>
          </cell>
          <cell r="F3848" t="str">
            <v>17.317.726/0001-55</v>
          </cell>
        </row>
        <row r="3849">
          <cell r="A3849">
            <v>36521</v>
          </cell>
          <cell r="B3849" t="str">
            <v>CORPORATION</v>
          </cell>
          <cell r="C3849" t="str">
            <v>Garavelo Parafusos Ltda</v>
          </cell>
          <cell r="D3849" t="str">
            <v>Garavelo Parafusos</v>
          </cell>
          <cell r="E3849" t="str">
            <v>BR_CNPJ</v>
          </cell>
          <cell r="F3849" t="str">
            <v>32.434.488/0001-51</v>
          </cell>
        </row>
        <row r="3850">
          <cell r="A3850">
            <v>36523</v>
          </cell>
          <cell r="B3850" t="str">
            <v>CORPORATION</v>
          </cell>
          <cell r="C3850" t="str">
            <v>Alamo Ferragens Ltda - Me</v>
          </cell>
          <cell r="D3850" t="str">
            <v>Alamo Ferragens</v>
          </cell>
          <cell r="E3850" t="str">
            <v>BR_CNPJ</v>
          </cell>
          <cell r="F3850" t="str">
            <v>03.868.188/0001-82</v>
          </cell>
        </row>
        <row r="3851">
          <cell r="A3851">
            <v>36529</v>
          </cell>
          <cell r="B3851" t="str">
            <v>CORPORATION</v>
          </cell>
          <cell r="C3851" t="str">
            <v>Kopermax Do Brasil Componentes Automotivos Ltda - Me</v>
          </cell>
          <cell r="D3851" t="str">
            <v>Kopermax</v>
          </cell>
          <cell r="E3851" t="str">
            <v>BR_CNPJ</v>
          </cell>
          <cell r="F3851" t="str">
            <v>07.730.144/0001-42</v>
          </cell>
        </row>
        <row r="3852">
          <cell r="A3852">
            <v>36530</v>
          </cell>
          <cell r="B3852" t="str">
            <v>CORPORATION</v>
          </cell>
          <cell r="C3852" t="str">
            <v>Usabox Comercio E Importacao Ltda</v>
          </cell>
          <cell r="D3852" t="str">
            <v>Usabox Comercio E Importacao</v>
          </cell>
          <cell r="E3852" t="str">
            <v>BR_CNPJ</v>
          </cell>
          <cell r="F3852" t="str">
            <v>36.186.772/0001-07</v>
          </cell>
        </row>
        <row r="3853">
          <cell r="A3853">
            <v>36541</v>
          </cell>
          <cell r="B3853" t="str">
            <v>CORPORATION</v>
          </cell>
          <cell r="C3853" t="str">
            <v>Pacol Pacajus Industria Comrcio &amp; Locacoes Ltda Me</v>
          </cell>
          <cell r="D3853" t="str">
            <v>Pacol Locacoes - Aço Pacajus</v>
          </cell>
          <cell r="E3853" t="str">
            <v>BR_CNPJ</v>
          </cell>
          <cell r="F3853" t="str">
            <v>16.864.660/0001-50</v>
          </cell>
        </row>
        <row r="3854">
          <cell r="A3854">
            <v>36547</v>
          </cell>
          <cell r="B3854" t="str">
            <v>CORPORATION</v>
          </cell>
          <cell r="C3854" t="str">
            <v>Gilberto Francisco Dos Santos Materiais - Me</v>
          </cell>
          <cell r="D3854" t="str">
            <v>Gilberto Francisco Dos Santos Materiais</v>
          </cell>
          <cell r="E3854" t="str">
            <v>BR_CNPJ</v>
          </cell>
          <cell r="F3854" t="str">
            <v>09.654.322/0001-29</v>
          </cell>
        </row>
        <row r="3855">
          <cell r="A3855">
            <v>36548</v>
          </cell>
          <cell r="B3855" t="str">
            <v>CORPORATION</v>
          </cell>
          <cell r="C3855" t="str">
            <v>Mendes &amp; Carreiro Ltda</v>
          </cell>
          <cell r="D3855" t="str">
            <v>Ferragista Mendes</v>
          </cell>
          <cell r="E3855" t="str">
            <v>BR_CNPJ</v>
          </cell>
          <cell r="F3855" t="str">
            <v>19.213.988/0001-03</v>
          </cell>
          <cell r="G3855" t="str">
            <v>FERRAGISTA MENDES</v>
          </cell>
        </row>
        <row r="3856">
          <cell r="A3856">
            <v>36552</v>
          </cell>
          <cell r="B3856" t="str">
            <v>CORPORATION</v>
          </cell>
          <cell r="C3856" t="str">
            <v>Afonso Da Costa Guimaraes - Me</v>
          </cell>
          <cell r="D3856" t="str">
            <v>Gmacon Materiais De Construcao</v>
          </cell>
          <cell r="E3856" t="str">
            <v>BR_CNPJ</v>
          </cell>
          <cell r="F3856" t="str">
            <v>08.504.363/0001-76</v>
          </cell>
        </row>
        <row r="3857">
          <cell r="A3857">
            <v>36553</v>
          </cell>
          <cell r="B3857" t="str">
            <v>CORPORATION</v>
          </cell>
          <cell r="C3857" t="str">
            <v>Blusalto Ferragens E Equipamentos Ltda</v>
          </cell>
          <cell r="D3857" t="str">
            <v>Blufusos</v>
          </cell>
          <cell r="E3857" t="str">
            <v>BR_CNPJ</v>
          </cell>
          <cell r="F3857" t="str">
            <v>94.066.115/0001-22</v>
          </cell>
        </row>
        <row r="3858">
          <cell r="A3858">
            <v>36568</v>
          </cell>
          <cell r="B3858" t="str">
            <v>CORPORATION</v>
          </cell>
          <cell r="C3858" t="str">
            <v>Guaxucabos Materiais De Construcao Ltda - Epp</v>
          </cell>
          <cell r="D3858" t="str">
            <v>Guaxucabos Materiais De Construcao</v>
          </cell>
          <cell r="E3858" t="str">
            <v>BR_CNPJ</v>
          </cell>
          <cell r="F3858" t="str">
            <v>10.271.318/0001-60</v>
          </cell>
        </row>
        <row r="3859">
          <cell r="A3859">
            <v>36574</v>
          </cell>
          <cell r="B3859" t="str">
            <v>CORPORATION</v>
          </cell>
          <cell r="C3859" t="str">
            <v>Mutirão Materiais De Construção Ltda - Me</v>
          </cell>
          <cell r="D3859" t="str">
            <v>Mutirão Materiais De Construção</v>
          </cell>
          <cell r="E3859" t="str">
            <v>BR_CNPJ</v>
          </cell>
          <cell r="F3859" t="str">
            <v>22.416.059/0001-06</v>
          </cell>
        </row>
        <row r="3860">
          <cell r="A3860">
            <v>36576</v>
          </cell>
          <cell r="B3860" t="str">
            <v>CORPORATION</v>
          </cell>
          <cell r="C3860" t="str">
            <v>Cooperativa Regional Agropecuaria De Campos Novos - Copercampos</v>
          </cell>
          <cell r="D3860" t="str">
            <v>Copercampos</v>
          </cell>
          <cell r="E3860" t="str">
            <v>BR_CNPJ</v>
          </cell>
          <cell r="F3860" t="str">
            <v>83.158.824/0001-11</v>
          </cell>
          <cell r="G3860" t="str">
            <v>COPERCAMPOS</v>
          </cell>
        </row>
        <row r="3861">
          <cell r="A3861">
            <v>36577</v>
          </cell>
          <cell r="B3861" t="str">
            <v>CORPORATION</v>
          </cell>
          <cell r="C3861" t="str">
            <v>Comercio De Tintas Santos Ltda</v>
          </cell>
          <cell r="D3861" t="str">
            <v>Comercio De Tintas Santos</v>
          </cell>
          <cell r="E3861" t="str">
            <v>BR_CNPJ</v>
          </cell>
          <cell r="F3861" t="str">
            <v>01.840.717/0001-04</v>
          </cell>
        </row>
        <row r="3862">
          <cell r="A3862">
            <v>36584</v>
          </cell>
          <cell r="B3862" t="str">
            <v>CORPORATION</v>
          </cell>
          <cell r="C3862" t="str">
            <v>Ksolda Comercio E Importacao De Metais Ltda</v>
          </cell>
          <cell r="D3862" t="str">
            <v>Ksolda</v>
          </cell>
          <cell r="E3862" t="str">
            <v>BR_CNPJ</v>
          </cell>
          <cell r="F3862" t="str">
            <v>12.165.287/0003-50</v>
          </cell>
          <cell r="G3862" t="str">
            <v>KSOLDA</v>
          </cell>
        </row>
        <row r="3863">
          <cell r="A3863">
            <v>36585</v>
          </cell>
          <cell r="B3863" t="str">
            <v>CORPORATION</v>
          </cell>
          <cell r="C3863" t="str">
            <v>Loja Nacional Maquinas Motores E Ferramentas Ltda</v>
          </cell>
          <cell r="D3863" t="str">
            <v>Loja Nacional</v>
          </cell>
          <cell r="E3863" t="str">
            <v>BR_CNPJ</v>
          </cell>
          <cell r="F3863" t="str">
            <v>38.430.987/0001-57</v>
          </cell>
          <cell r="G3863" t="str">
            <v>LOJA FER</v>
          </cell>
        </row>
        <row r="3864">
          <cell r="A3864">
            <v>36591</v>
          </cell>
          <cell r="B3864" t="str">
            <v>CORPORATION</v>
          </cell>
          <cell r="C3864" t="str">
            <v>Debora Muller Correa</v>
          </cell>
          <cell r="D3864" t="str">
            <v>Debora Muller Correa</v>
          </cell>
          <cell r="E3864" t="str">
            <v>BR_CNPJ</v>
          </cell>
          <cell r="F3864" t="str">
            <v>04.998.556/0001-70</v>
          </cell>
        </row>
        <row r="3865">
          <cell r="A3865">
            <v>36593</v>
          </cell>
          <cell r="B3865" t="str">
            <v>CORPORATION</v>
          </cell>
          <cell r="C3865" t="str">
            <v>Play Comercio De Ferramentas E Representacoes Eireli - Me</v>
          </cell>
          <cell r="D3865" t="str">
            <v>P L Comercio De Ferramentas E Ferragens</v>
          </cell>
          <cell r="E3865" t="str">
            <v>BR_CNPJ</v>
          </cell>
          <cell r="F3865" t="str">
            <v>19.697.342/0001-30</v>
          </cell>
        </row>
        <row r="3866">
          <cell r="A3866">
            <v>36595</v>
          </cell>
          <cell r="B3866" t="str">
            <v>CORPORATION</v>
          </cell>
          <cell r="C3866" t="str">
            <v>Fortes Ferragens, Ferramentas E Maquinas Ltda</v>
          </cell>
          <cell r="D3866" t="str">
            <v>Maq Fort Maquinas, Ferramentas E Ferragens</v>
          </cell>
          <cell r="E3866" t="str">
            <v>BR_CNPJ</v>
          </cell>
          <cell r="F3866" t="str">
            <v>19.808.883/0001-99</v>
          </cell>
        </row>
        <row r="3867">
          <cell r="A3867">
            <v>36596</v>
          </cell>
          <cell r="B3867" t="str">
            <v>CORPORATION</v>
          </cell>
          <cell r="C3867" t="str">
            <v>America Comercio De Ferramentas Ltda - Epp</v>
          </cell>
          <cell r="D3867" t="str">
            <v>America Comercio De Ferramentas</v>
          </cell>
          <cell r="E3867" t="str">
            <v>BR_CNPJ</v>
          </cell>
          <cell r="F3867" t="str">
            <v>17.048.568/0001-85</v>
          </cell>
        </row>
        <row r="3868">
          <cell r="A3868">
            <v>36599</v>
          </cell>
          <cell r="B3868" t="str">
            <v>CORPORATION</v>
          </cell>
          <cell r="C3868" t="str">
            <v>Pinheiro Veículos &amp; Maquinas Locação E Com.De P.Acesso Ltda</v>
          </cell>
          <cell r="D3868" t="str">
            <v>Pinheiro Veículos &amp; Maquinas</v>
          </cell>
          <cell r="E3868" t="str">
            <v>BR_CNPJ</v>
          </cell>
          <cell r="F3868" t="str">
            <v>13.594.867/0001-64</v>
          </cell>
        </row>
        <row r="3869">
          <cell r="A3869">
            <v>36603</v>
          </cell>
          <cell r="B3869" t="str">
            <v>CORPORATION</v>
          </cell>
          <cell r="C3869" t="str">
            <v>Cooperativa Regional Agropecuaria De Campos Novos - Copercampos</v>
          </cell>
          <cell r="D3869" t="str">
            <v>Copercampos</v>
          </cell>
          <cell r="E3869" t="str">
            <v>BR_CNPJ</v>
          </cell>
          <cell r="F3869" t="str">
            <v>83.158.824/0059-38</v>
          </cell>
          <cell r="G3869" t="str">
            <v>COPERCAMPOS</v>
          </cell>
        </row>
        <row r="3870">
          <cell r="A3870">
            <v>36606</v>
          </cell>
          <cell r="B3870" t="str">
            <v>CORPORATION</v>
          </cell>
          <cell r="C3870" t="str">
            <v>Maua-Comercio De Materiais Para Soldas Ltda</v>
          </cell>
          <cell r="D3870" t="str">
            <v>Maua-Comercio De Materiais Para Soldas Ltda</v>
          </cell>
          <cell r="E3870" t="str">
            <v>BR_CNPJ</v>
          </cell>
          <cell r="F3870" t="str">
            <v>74.673.856/0001-64</v>
          </cell>
        </row>
        <row r="3871">
          <cell r="A3871">
            <v>36608</v>
          </cell>
          <cell r="B3871" t="str">
            <v>CORPORATION</v>
          </cell>
          <cell r="C3871" t="str">
            <v>Peter Jacob Spodris Filho 35372267801</v>
          </cell>
          <cell r="D3871" t="str">
            <v>At Eletronicos</v>
          </cell>
          <cell r="E3871" t="str">
            <v>BR_CNPJ</v>
          </cell>
          <cell r="F3871" t="str">
            <v>27.555.035/0001-43</v>
          </cell>
        </row>
        <row r="3872">
          <cell r="A3872">
            <v>36609</v>
          </cell>
          <cell r="B3872" t="str">
            <v>CORPORATION</v>
          </cell>
          <cell r="C3872" t="str">
            <v>Pinheiro Ferramentas Eireli</v>
          </cell>
          <cell r="D3872" t="str">
            <v>Pinheiro Ferramentas</v>
          </cell>
          <cell r="E3872" t="str">
            <v>BR_CNPJ</v>
          </cell>
          <cell r="F3872" t="str">
            <v>19.123.536/0001-22</v>
          </cell>
        </row>
        <row r="3873">
          <cell r="A3873">
            <v>36611</v>
          </cell>
          <cell r="B3873" t="str">
            <v>CORPORATION</v>
          </cell>
          <cell r="C3873" t="str">
            <v>J. A. Dos Reis Sousa - Epp</v>
          </cell>
          <cell r="D3873" t="str">
            <v>Sorriso Construcao</v>
          </cell>
          <cell r="E3873" t="str">
            <v>BR_CNPJ</v>
          </cell>
          <cell r="F3873" t="str">
            <v>07.192.253/0001-53</v>
          </cell>
        </row>
        <row r="3874">
          <cell r="A3874">
            <v>36616</v>
          </cell>
          <cell r="B3874" t="str">
            <v>CORPORATION</v>
          </cell>
          <cell r="C3874" t="str">
            <v>Maria De L A Silva</v>
          </cell>
          <cell r="D3874" t="str">
            <v>Master Compressor</v>
          </cell>
          <cell r="E3874" t="str">
            <v>BR_CNPJ</v>
          </cell>
          <cell r="F3874" t="str">
            <v>37.172.460/0001-07</v>
          </cell>
        </row>
        <row r="3875">
          <cell r="A3875">
            <v>36619</v>
          </cell>
          <cell r="B3875" t="str">
            <v>CORPORATION</v>
          </cell>
          <cell r="C3875" t="str">
            <v>Rlt Equipamentos Ltda</v>
          </cell>
          <cell r="D3875" t="str">
            <v>Rlt Equipamentos (Demil)</v>
          </cell>
          <cell r="E3875" t="str">
            <v>BR_CNPJ</v>
          </cell>
          <cell r="F3875" t="str">
            <v>65.542.052/0001-35</v>
          </cell>
          <cell r="G3875" t="str">
            <v>DEMIL</v>
          </cell>
        </row>
        <row r="3876">
          <cell r="A3876">
            <v>36621</v>
          </cell>
          <cell r="B3876" t="str">
            <v>CORPORATION</v>
          </cell>
          <cell r="C3876" t="str">
            <v>Comteq Comercio E Tecnologia Em Soldagem Ltda - Epp</v>
          </cell>
          <cell r="D3876" t="str">
            <v>Comteq</v>
          </cell>
          <cell r="E3876" t="str">
            <v>BR_CNPJ</v>
          </cell>
          <cell r="F3876" t="str">
            <v>55.173.678/0001-68</v>
          </cell>
        </row>
        <row r="3877">
          <cell r="A3877">
            <v>36624</v>
          </cell>
          <cell r="B3877" t="str">
            <v>CORPORATION</v>
          </cell>
          <cell r="C3877" t="str">
            <v>Clayton Alexandre De Lima - Me</v>
          </cell>
          <cell r="D3877" t="str">
            <v>Clayton</v>
          </cell>
          <cell r="E3877" t="str">
            <v>BR_CNPJ</v>
          </cell>
          <cell r="F3877" t="str">
            <v>22.449.350/0001-72</v>
          </cell>
        </row>
        <row r="3878">
          <cell r="A3878">
            <v>36627</v>
          </cell>
          <cell r="B3878" t="str">
            <v>CORPORATION</v>
          </cell>
          <cell r="C3878" t="str">
            <v>Rosangela Aparecida Neto Dos Santos - Me</v>
          </cell>
          <cell r="D3878" t="str">
            <v>Remil Soldas</v>
          </cell>
          <cell r="E3878" t="str">
            <v>BR_CNPJ</v>
          </cell>
          <cell r="F3878" t="str">
            <v>15.520.736/0001-68</v>
          </cell>
        </row>
        <row r="3879">
          <cell r="A3879">
            <v>36633</v>
          </cell>
          <cell r="B3879" t="str">
            <v>CORPORATION</v>
          </cell>
          <cell r="C3879" t="str">
            <v>Cooperativa Dos Plantadores De Cana Do Oeste Do Estado De Sao Paulo</v>
          </cell>
          <cell r="D3879" t="str">
            <v>Copercana</v>
          </cell>
          <cell r="E3879" t="str">
            <v>BR_CNPJ</v>
          </cell>
          <cell r="F3879" t="str">
            <v>71.320.915/0002-03</v>
          </cell>
          <cell r="G3879" t="str">
            <v>COPERCANA</v>
          </cell>
        </row>
        <row r="3880">
          <cell r="A3880">
            <v>36639</v>
          </cell>
          <cell r="B3880" t="str">
            <v>CORPORATION</v>
          </cell>
          <cell r="C3880" t="str">
            <v>Antonio Jose Brisotti Ferramentas - Me</v>
          </cell>
          <cell r="D3880" t="str">
            <v>Wk Shop</v>
          </cell>
          <cell r="E3880" t="str">
            <v>BR_CNPJ</v>
          </cell>
          <cell r="F3880" t="str">
            <v>06.102.309/0001-79</v>
          </cell>
        </row>
        <row r="3881">
          <cell r="A3881">
            <v>36641</v>
          </cell>
          <cell r="B3881" t="str">
            <v>CORPORATION</v>
          </cell>
          <cell r="C3881" t="str">
            <v>Dip'S Distribuidora De Produtos Eletronicos Ltda</v>
          </cell>
          <cell r="D3881" t="str">
            <v>Dip'S Distribuidora De Produtos Eletronicos</v>
          </cell>
          <cell r="E3881" t="str">
            <v>BR_CNPJ</v>
          </cell>
          <cell r="F3881" t="str">
            <v>36.868.974/0001-39</v>
          </cell>
        </row>
        <row r="3882">
          <cell r="A3882">
            <v>36644</v>
          </cell>
          <cell r="B3882" t="str">
            <v>CORPORATION</v>
          </cell>
          <cell r="C3882" t="str">
            <v>F. H. Karla Arcanjo De Lima Almeida - Me</v>
          </cell>
          <cell r="D3882" t="str">
            <v>Casa Do Agricultor</v>
          </cell>
          <cell r="E3882" t="str">
            <v>BR_CNPJ</v>
          </cell>
          <cell r="F3882" t="str">
            <v>17.703.951/0001-20</v>
          </cell>
          <cell r="G3882" t="str">
            <v>CASA DOS PARAFUSOS</v>
          </cell>
        </row>
        <row r="3883">
          <cell r="A3883">
            <v>36648</v>
          </cell>
          <cell r="B3883" t="str">
            <v>CORPORATION</v>
          </cell>
          <cell r="C3883" t="str">
            <v>Leite &amp; Pedrosa Comercio Para Construcao Ltda Me</v>
          </cell>
          <cell r="D3883" t="str">
            <v>Lele Construções</v>
          </cell>
          <cell r="E3883" t="str">
            <v>BR_CNPJ</v>
          </cell>
          <cell r="F3883" t="str">
            <v>15.671.120/0001-98</v>
          </cell>
        </row>
        <row r="3884">
          <cell r="A3884">
            <v>36653</v>
          </cell>
          <cell r="B3884" t="str">
            <v>CORPORATION</v>
          </cell>
          <cell r="C3884" t="str">
            <v>Bueno Ferramentas, Comercio E Utilidades Em Geral Ltda</v>
          </cell>
          <cell r="D3884" t="str">
            <v>Bueno Ferramentas</v>
          </cell>
          <cell r="E3884" t="str">
            <v>BR_CNPJ</v>
          </cell>
          <cell r="F3884" t="str">
            <v>37.566.281/0001-54</v>
          </cell>
        </row>
        <row r="3885">
          <cell r="A3885">
            <v>36655</v>
          </cell>
          <cell r="B3885" t="str">
            <v>CORPORATION</v>
          </cell>
          <cell r="C3885" t="str">
            <v>Galva Minas Comercio E Industria De Ferro E Aço Ltda</v>
          </cell>
          <cell r="D3885" t="str">
            <v>Galva Minas</v>
          </cell>
          <cell r="E3885" t="str">
            <v>BR_CNPJ</v>
          </cell>
          <cell r="F3885" t="str">
            <v>18.607.643/0001-63</v>
          </cell>
        </row>
        <row r="3886">
          <cell r="A3886">
            <v>36658</v>
          </cell>
          <cell r="B3886" t="str">
            <v>CORPORATION</v>
          </cell>
          <cell r="C3886" t="str">
            <v>Helio Reis Meira</v>
          </cell>
          <cell r="D3886" t="str">
            <v>Baratao Ferramentas</v>
          </cell>
          <cell r="E3886" t="str">
            <v>BR_CNPJ</v>
          </cell>
          <cell r="F3886" t="str">
            <v>11.426.242/0001-68</v>
          </cell>
          <cell r="G3886" t="str">
            <v>BARATÃO</v>
          </cell>
        </row>
        <row r="3887">
          <cell r="A3887">
            <v>36661</v>
          </cell>
          <cell r="B3887" t="str">
            <v>CORPORATION</v>
          </cell>
          <cell r="C3887" t="str">
            <v>Edson Pedro Verola - Me</v>
          </cell>
          <cell r="D3887" t="str">
            <v>Dilmaq Implementos Agricolas</v>
          </cell>
          <cell r="E3887" t="str">
            <v>BR_CNPJ</v>
          </cell>
          <cell r="F3887" t="str">
            <v>26.757.159/0001-49</v>
          </cell>
        </row>
        <row r="3888">
          <cell r="A3888">
            <v>36664</v>
          </cell>
          <cell r="B3888" t="str">
            <v>CORPORATION</v>
          </cell>
          <cell r="C3888" t="str">
            <v>Arupar Fixacao, Maquinas, Ferramentas E Equipamentos De Protecao Individual Ltda - Me</v>
          </cell>
          <cell r="D3888" t="str">
            <v>Arupar - Aruja Parafusos</v>
          </cell>
          <cell r="E3888" t="str">
            <v>BR_CNPJ</v>
          </cell>
          <cell r="F3888" t="str">
            <v>27.283.906/0001-17</v>
          </cell>
        </row>
        <row r="3889">
          <cell r="A3889">
            <v>36665</v>
          </cell>
          <cell r="B3889" t="str">
            <v>CORPORATION</v>
          </cell>
          <cell r="C3889" t="str">
            <v>Uniun Equipamentos E Ferramentas Mro Ltda</v>
          </cell>
          <cell r="D3889" t="str">
            <v>Uniun Industrial Tecnologia Mro</v>
          </cell>
          <cell r="E3889" t="str">
            <v>BR_CNPJ</v>
          </cell>
          <cell r="F3889" t="str">
            <v>32.651.494/0001-60</v>
          </cell>
        </row>
        <row r="3890">
          <cell r="A3890">
            <v>36675</v>
          </cell>
          <cell r="B3890" t="str">
            <v>CORPORATION</v>
          </cell>
          <cell r="C3890" t="str">
            <v>Serv Forte Comercio E Servicos Ltda - Epp</v>
          </cell>
          <cell r="D3890" t="str">
            <v>Serv Forte</v>
          </cell>
          <cell r="E3890" t="str">
            <v>BR_CNPJ</v>
          </cell>
          <cell r="F3890" t="str">
            <v>24.120.548/0001-33</v>
          </cell>
          <cell r="G3890" t="str">
            <v>SOLDAFORTE</v>
          </cell>
        </row>
        <row r="3891">
          <cell r="A3891">
            <v>36679</v>
          </cell>
          <cell r="B3891" t="str">
            <v>CORPORATION</v>
          </cell>
          <cell r="C3891" t="str">
            <v>Paulo Caetano Do Nascimento - Me</v>
          </cell>
          <cell r="D3891" t="str">
            <v>Paulo Caetano Do Nascimento</v>
          </cell>
          <cell r="E3891" t="str">
            <v>BR_CNPJ</v>
          </cell>
          <cell r="F3891" t="str">
            <v>21.794.284/0001-05</v>
          </cell>
        </row>
        <row r="3892">
          <cell r="A3892">
            <v>36682</v>
          </cell>
          <cell r="B3892" t="str">
            <v>CORPORATION</v>
          </cell>
          <cell r="C3892" t="str">
            <v>Bmb Material De Construcao S.A.</v>
          </cell>
          <cell r="D3892" t="str">
            <v>Obramax Mooca</v>
          </cell>
          <cell r="E3892" t="str">
            <v>BR_CNPJ</v>
          </cell>
          <cell r="F3892" t="str">
            <v>23.476.033/0002-99</v>
          </cell>
          <cell r="G3892" t="str">
            <v>OBRAMAX</v>
          </cell>
        </row>
        <row r="3893">
          <cell r="A3893">
            <v>36683</v>
          </cell>
          <cell r="B3893" t="str">
            <v>CORPORATION</v>
          </cell>
          <cell r="C3893" t="str">
            <v>Cavagnini &amp; Cia Ltda</v>
          </cell>
          <cell r="D3893" t="str">
            <v>Cavagnini &amp; Cia Ltda</v>
          </cell>
          <cell r="E3893" t="str">
            <v>BR_CNPJ</v>
          </cell>
          <cell r="F3893" t="str">
            <v>47.368.071/0001-05</v>
          </cell>
        </row>
        <row r="3894">
          <cell r="A3894">
            <v>36686</v>
          </cell>
          <cell r="B3894" t="str">
            <v>CORPORATION</v>
          </cell>
          <cell r="C3894" t="str">
            <v>J R Dos Santos Fernandopolis - Me</v>
          </cell>
          <cell r="D3894" t="str">
            <v>Aquarella Tintas</v>
          </cell>
          <cell r="E3894" t="str">
            <v>BR_CNPJ</v>
          </cell>
          <cell r="F3894" t="str">
            <v>03.986.439/0001-23</v>
          </cell>
        </row>
        <row r="3895">
          <cell r="A3895">
            <v>36687</v>
          </cell>
          <cell r="B3895" t="str">
            <v>CORPORATION</v>
          </cell>
          <cell r="C3895" t="str">
            <v>D I S Da Silva Daniel Ismaik Soares Da Silva</v>
          </cell>
          <cell r="D3895" t="str">
            <v>Ismaik Ferragista</v>
          </cell>
          <cell r="E3895" t="str">
            <v>BR_CNPJ</v>
          </cell>
          <cell r="F3895" t="str">
            <v>44.005.493/0001-28</v>
          </cell>
          <cell r="G3895" t="str">
            <v>ISMAIK FERRAGENS</v>
          </cell>
        </row>
        <row r="3896">
          <cell r="A3896">
            <v>36690</v>
          </cell>
          <cell r="B3896" t="str">
            <v>CORPORATION</v>
          </cell>
          <cell r="C3896" t="str">
            <v>Fermasa Comercio De Maquinas E Ferramentas Ltda</v>
          </cell>
          <cell r="D3896" t="str">
            <v>Fermasa (Expomafe)</v>
          </cell>
          <cell r="E3896" t="str">
            <v>BR_CNPJ</v>
          </cell>
          <cell r="F3896" t="str">
            <v>23.885.515/0001-11</v>
          </cell>
        </row>
        <row r="3897">
          <cell r="A3897">
            <v>36692</v>
          </cell>
          <cell r="B3897" t="str">
            <v>CORPORATION</v>
          </cell>
          <cell r="C3897" t="str">
            <v>Nerci De Souza Juliani 06843621988</v>
          </cell>
          <cell r="D3897" t="str">
            <v>Assistek Compressores</v>
          </cell>
          <cell r="E3897" t="str">
            <v>BR_CNPJ</v>
          </cell>
          <cell r="F3897" t="str">
            <v>25.305.309/0001-10</v>
          </cell>
        </row>
        <row r="3898">
          <cell r="A3898">
            <v>36695</v>
          </cell>
          <cell r="B3898" t="str">
            <v>CORPORATION</v>
          </cell>
          <cell r="C3898" t="str">
            <v>Red Fox Rolamentos Eireli</v>
          </cell>
          <cell r="D3898" t="str">
            <v>Red Fox Rolamentos</v>
          </cell>
          <cell r="E3898" t="str">
            <v>BR_CNPJ</v>
          </cell>
          <cell r="F3898" t="str">
            <v>27.658.789/0001-29</v>
          </cell>
          <cell r="G3898" t="str">
            <v>PRIME SUPRIMENTOS</v>
          </cell>
        </row>
        <row r="3899">
          <cell r="A3899">
            <v>36698</v>
          </cell>
          <cell r="B3899" t="str">
            <v>CORPORATION</v>
          </cell>
          <cell r="C3899" t="str">
            <v>Fluir Equipamentos E Pecas Industriais Ltda</v>
          </cell>
          <cell r="D3899" t="str">
            <v>Fluir</v>
          </cell>
          <cell r="E3899" t="str">
            <v>BR_CNPJ</v>
          </cell>
          <cell r="F3899" t="str">
            <v>36.443.010/0001-49</v>
          </cell>
          <cell r="G3899" t="str">
            <v>PRIME SUPRIMENTOS</v>
          </cell>
        </row>
        <row r="3900">
          <cell r="A3900">
            <v>36702</v>
          </cell>
          <cell r="B3900" t="str">
            <v>CORPORATION</v>
          </cell>
          <cell r="C3900" t="str">
            <v>Eletro Sao Joao Ltda</v>
          </cell>
          <cell r="D3900" t="str">
            <v>Eletro Sao Joao Ltda</v>
          </cell>
          <cell r="E3900" t="str">
            <v>BR_CNPJ</v>
          </cell>
          <cell r="F3900" t="str">
            <v>20.873.972/0001-06</v>
          </cell>
        </row>
        <row r="3901">
          <cell r="A3901">
            <v>36707</v>
          </cell>
          <cell r="B3901" t="str">
            <v>CORPORATION</v>
          </cell>
          <cell r="C3901" t="str">
            <v>Tize Ferramentas Ltda - Me</v>
          </cell>
          <cell r="D3901" t="str">
            <v>Tize Ferramentas</v>
          </cell>
          <cell r="E3901" t="str">
            <v>BR_CNPJ</v>
          </cell>
          <cell r="F3901" t="str">
            <v>14.790.824/0001-17</v>
          </cell>
        </row>
        <row r="3902">
          <cell r="A3902">
            <v>36713</v>
          </cell>
          <cell r="B3902" t="str">
            <v>CORPORATION</v>
          </cell>
          <cell r="C3902" t="str">
            <v>Clenio Lopes Dos Santos 03974741640</v>
          </cell>
          <cell r="D3902" t="str">
            <v>Lopes Servicos</v>
          </cell>
          <cell r="E3902" t="str">
            <v>BR_CNPJ</v>
          </cell>
          <cell r="F3902" t="str">
            <v>15.366.437/0001-10</v>
          </cell>
        </row>
        <row r="3903">
          <cell r="A3903">
            <v>36718</v>
          </cell>
          <cell r="B3903" t="str">
            <v>CORPORATION</v>
          </cell>
          <cell r="C3903" t="str">
            <v>Washington Santos Silveira 26147670344</v>
          </cell>
          <cell r="D3903" t="str">
            <v>Multimarcas Servicos</v>
          </cell>
          <cell r="E3903" t="str">
            <v>BR_CNPJ</v>
          </cell>
          <cell r="F3903" t="str">
            <v>43.075.457/0001-78</v>
          </cell>
        </row>
        <row r="3904">
          <cell r="A3904">
            <v>36719</v>
          </cell>
          <cell r="B3904" t="str">
            <v>CORPORATION</v>
          </cell>
          <cell r="C3904" t="str">
            <v>Flavio'S Ferro E Aco Comercio E Industria Ltda - Me</v>
          </cell>
          <cell r="D3904" t="str">
            <v>Flavio'S Ferro E Aco Comercio E Industria Ltda - Me</v>
          </cell>
          <cell r="E3904" t="str">
            <v>BR_CNPJ</v>
          </cell>
          <cell r="F3904" t="str">
            <v>10.428.883/0001-99</v>
          </cell>
        </row>
        <row r="3905">
          <cell r="A3905">
            <v>36721</v>
          </cell>
          <cell r="B3905" t="str">
            <v>CORPORATION</v>
          </cell>
          <cell r="C3905" t="str">
            <v>E R Da Costa Eireli</v>
          </cell>
          <cell r="D3905" t="str">
            <v>Macro Mecanica</v>
          </cell>
          <cell r="E3905" t="str">
            <v>BR_CNPJ</v>
          </cell>
          <cell r="F3905" t="str">
            <v>21.100.215/0001-54</v>
          </cell>
        </row>
        <row r="3906">
          <cell r="A3906">
            <v>36722</v>
          </cell>
          <cell r="B3906" t="str">
            <v>CORPORATION</v>
          </cell>
          <cell r="C3906" t="str">
            <v>A B Forneas Junior - Me</v>
          </cell>
          <cell r="D3906" t="str">
            <v>Mundo Das Variedades Mercearia E Material De Construcao</v>
          </cell>
          <cell r="E3906" t="str">
            <v>BR_CNPJ</v>
          </cell>
          <cell r="F3906" t="str">
            <v>13.251.559/0001-36</v>
          </cell>
        </row>
        <row r="3907">
          <cell r="A3907">
            <v>36724</v>
          </cell>
          <cell r="B3907" t="str">
            <v>CORPORATION</v>
          </cell>
          <cell r="C3907" t="str">
            <v>Castor Moto-Serras Ltda</v>
          </cell>
          <cell r="D3907" t="str">
            <v>Castor Moto-Serras Ltda</v>
          </cell>
          <cell r="E3907" t="str">
            <v>BR_CNPJ</v>
          </cell>
          <cell r="F3907" t="str">
            <v>80.306.939/0001-18</v>
          </cell>
        </row>
        <row r="3908">
          <cell r="A3908">
            <v>36728</v>
          </cell>
          <cell r="B3908" t="str">
            <v>CORPORATION</v>
          </cell>
          <cell r="C3908" t="str">
            <v>Torres Cabral Materiais Para Construcao Eireli</v>
          </cell>
          <cell r="D3908" t="str">
            <v>Torres Cabral</v>
          </cell>
          <cell r="E3908" t="str">
            <v>BR_CNPJ</v>
          </cell>
          <cell r="F3908" t="str">
            <v>10.691.953/0001-05</v>
          </cell>
          <cell r="G3908" t="str">
            <v>TORRES CABRAL</v>
          </cell>
        </row>
        <row r="3909">
          <cell r="A3909">
            <v>36730</v>
          </cell>
          <cell r="B3909" t="str">
            <v>CORPORATION</v>
          </cell>
          <cell r="C3909" t="str">
            <v>Status Comercio E Locacao De Maquinas E Equipamentos Ltda</v>
          </cell>
          <cell r="D3909" t="str">
            <v>Status Comercio E Locacao De Maquinas E Equipamentos Ltda</v>
          </cell>
          <cell r="E3909" t="str">
            <v>BR_CNPJ</v>
          </cell>
          <cell r="F3909" t="str">
            <v>38.000.630/0001-39</v>
          </cell>
        </row>
        <row r="3910">
          <cell r="A3910">
            <v>36734</v>
          </cell>
          <cell r="B3910" t="str">
            <v>CORPORATION</v>
          </cell>
          <cell r="C3910" t="str">
            <v>Leonardo M-Eletricista</v>
          </cell>
          <cell r="D3910" t="str">
            <v>Loja Do Leo</v>
          </cell>
          <cell r="E3910" t="str">
            <v>BR_CNPJ</v>
          </cell>
          <cell r="F3910" t="str">
            <v>11.515.014/0001-64</v>
          </cell>
        </row>
        <row r="3911">
          <cell r="A3911">
            <v>36738</v>
          </cell>
          <cell r="B3911" t="str">
            <v>CORPORATION</v>
          </cell>
          <cell r="C3911" t="str">
            <v>Maicon Buboltz Heller</v>
          </cell>
          <cell r="D3911" t="str">
            <v>Ferragem Construpel</v>
          </cell>
          <cell r="E3911" t="str">
            <v>BR_CNPJ</v>
          </cell>
          <cell r="F3911" t="str">
            <v>22.998.510/0001-32</v>
          </cell>
        </row>
        <row r="3912">
          <cell r="A3912">
            <v>36743</v>
          </cell>
          <cell r="B3912" t="str">
            <v>CORPORATION</v>
          </cell>
          <cell r="C3912" t="str">
            <v>Rafael Aguiar Correia - Me</v>
          </cell>
          <cell r="D3912" t="str">
            <v>Atlantico Pecas</v>
          </cell>
          <cell r="E3912" t="str">
            <v>BR_CNPJ</v>
          </cell>
          <cell r="F3912" t="str">
            <v>26.810.874/0001-06</v>
          </cell>
        </row>
        <row r="3913">
          <cell r="A3913">
            <v>36746</v>
          </cell>
          <cell r="B3913" t="str">
            <v>CORPORATION</v>
          </cell>
          <cell r="C3913" t="str">
            <v>A L A Casa Dos Parafusos Cascavel Ltda</v>
          </cell>
          <cell r="D3913" t="str">
            <v>Casa Dos Parafusos Cascavel</v>
          </cell>
          <cell r="E3913" t="str">
            <v>BR_CNPJ</v>
          </cell>
          <cell r="F3913" t="str">
            <v>12.563.008/0001-45</v>
          </cell>
          <cell r="G3913" t="str">
            <v>CASA DOS PARAFUSOS</v>
          </cell>
        </row>
        <row r="3914">
          <cell r="A3914">
            <v>36748</v>
          </cell>
          <cell r="B3914" t="str">
            <v>CORPORATION</v>
          </cell>
          <cell r="C3914" t="str">
            <v>Mep Representacao Comercial Ltda</v>
          </cell>
          <cell r="D3914" t="str">
            <v>Mep Representacao</v>
          </cell>
          <cell r="E3914" t="str">
            <v>BR_CNPJ</v>
          </cell>
          <cell r="F3914" t="str">
            <v>21.154.847/0001-09</v>
          </cell>
        </row>
        <row r="3915">
          <cell r="A3915">
            <v>36760</v>
          </cell>
          <cell r="B3915" t="str">
            <v>CORPORATION</v>
          </cell>
          <cell r="C3915" t="str">
            <v>Resseg Distribuidora</v>
          </cell>
          <cell r="D3915" t="str">
            <v>Resseg</v>
          </cell>
          <cell r="E3915" t="str">
            <v>BR_CNPJ</v>
          </cell>
          <cell r="F3915" t="str">
            <v>13.596.165/0001-10</v>
          </cell>
        </row>
        <row r="3916">
          <cell r="A3916">
            <v>36769</v>
          </cell>
          <cell r="B3916" t="str">
            <v>CORPORATION</v>
          </cell>
          <cell r="C3916" t="str">
            <v>Pradoacos Comercio De Ferro Ltda</v>
          </cell>
          <cell r="D3916" t="str">
            <v>Pradoacos</v>
          </cell>
          <cell r="E3916" t="str">
            <v>BR_CNPJ</v>
          </cell>
          <cell r="F3916" t="str">
            <v>20.994.969/0001-32</v>
          </cell>
        </row>
        <row r="3917">
          <cell r="A3917">
            <v>36773</v>
          </cell>
          <cell r="B3917" t="str">
            <v>CORPORATION</v>
          </cell>
          <cell r="C3917" t="str">
            <v>Marcelo Moncao De Jesus 06822152601 - Me</v>
          </cell>
          <cell r="D3917" t="str">
            <v>Brasil Tech</v>
          </cell>
          <cell r="E3917" t="str">
            <v>BR_CNPJ</v>
          </cell>
          <cell r="F3917" t="str">
            <v>18.403.793/0001-55</v>
          </cell>
        </row>
        <row r="3918">
          <cell r="A3918">
            <v>36774</v>
          </cell>
          <cell r="B3918" t="str">
            <v>CORPORATION</v>
          </cell>
          <cell r="C3918" t="str">
            <v>Antonio Carlos Gomes Lopes 00909655740</v>
          </cell>
          <cell r="D3918" t="str">
            <v>Lukamaquinas</v>
          </cell>
          <cell r="E3918" t="str">
            <v>BR_CNPJ</v>
          </cell>
          <cell r="F3918" t="str">
            <v>31.866.392/0001-08</v>
          </cell>
          <cell r="G3918" t="str">
            <v>OXIMAC</v>
          </cell>
        </row>
        <row r="3919">
          <cell r="A3919">
            <v>36776</v>
          </cell>
          <cell r="B3919" t="str">
            <v>CORPORATION</v>
          </cell>
          <cell r="C3919" t="str">
            <v>Merito Comercio De Equipamentos Limitada - Me</v>
          </cell>
          <cell r="D3919" t="str">
            <v>Merito</v>
          </cell>
          <cell r="E3919" t="str">
            <v>BR_CNPJ</v>
          </cell>
          <cell r="F3919" t="str">
            <v>01.582.892/0001-49</v>
          </cell>
        </row>
        <row r="3920">
          <cell r="A3920">
            <v>36779</v>
          </cell>
          <cell r="B3920" t="str">
            <v>CORPORATION</v>
          </cell>
          <cell r="C3920" t="str">
            <v>Marina Clara Teixeira - Me</v>
          </cell>
          <cell r="D3920" t="str">
            <v>R Teixeira Maquinas</v>
          </cell>
          <cell r="E3920" t="str">
            <v>BR_CNPJ</v>
          </cell>
          <cell r="F3920" t="str">
            <v>22.498.839/0001-34</v>
          </cell>
        </row>
        <row r="3921">
          <cell r="A3921">
            <v>36782</v>
          </cell>
          <cell r="B3921" t="str">
            <v>CORPORATION</v>
          </cell>
          <cell r="C3921" t="str">
            <v>Delvan De Castro Requena E Cia Ltda - Me</v>
          </cell>
          <cell r="D3921" t="str">
            <v>Elefer Parafusos &amp; Cia</v>
          </cell>
          <cell r="E3921" t="str">
            <v>BR_CNPJ</v>
          </cell>
          <cell r="F3921" t="str">
            <v>02.055.017/0001-71</v>
          </cell>
        </row>
        <row r="3922">
          <cell r="A3922">
            <v>36787</v>
          </cell>
          <cell r="B3922" t="str">
            <v>CORPORATION</v>
          </cell>
          <cell r="C3922" t="str">
            <v>Agropecuaria Terra &amp; Silva Ltda - Me</v>
          </cell>
          <cell r="D3922" t="str">
            <v>Casa Rural</v>
          </cell>
          <cell r="E3922" t="str">
            <v>BR_CNPJ</v>
          </cell>
          <cell r="F3922" t="str">
            <v>25.610.338/0001-96</v>
          </cell>
        </row>
        <row r="3923">
          <cell r="A3923">
            <v>36790</v>
          </cell>
          <cell r="B3923" t="str">
            <v>CORPORATION</v>
          </cell>
          <cell r="C3923" t="str">
            <v>Comercial Sao Dimas De Piracicaba Ltda - Me</v>
          </cell>
          <cell r="D3923" t="str">
            <v>Comercial Sao Dimas</v>
          </cell>
          <cell r="E3923" t="str">
            <v>BR_CNPJ</v>
          </cell>
          <cell r="F3923" t="str">
            <v>05.481.371/0001-56</v>
          </cell>
        </row>
        <row r="3924">
          <cell r="A3924">
            <v>36793</v>
          </cell>
          <cell r="B3924" t="str">
            <v>CORPORATION</v>
          </cell>
          <cell r="C3924" t="str">
            <v>40.432.251 Vera Lucia De Paula</v>
          </cell>
          <cell r="D3924" t="str">
            <v>Gemac</v>
          </cell>
          <cell r="E3924" t="str">
            <v>BR_CNPJ</v>
          </cell>
          <cell r="F3924" t="str">
            <v>40.432.251/0001-60</v>
          </cell>
          <cell r="G3924" t="str">
            <v>GEMAC</v>
          </cell>
        </row>
        <row r="3925">
          <cell r="A3925">
            <v>36794</v>
          </cell>
          <cell r="B3925" t="str">
            <v>CORPORATION</v>
          </cell>
          <cell r="C3925" t="str">
            <v>Ftr Comercio E Serviços De Ferramentas Ltda</v>
          </cell>
          <cell r="D3925" t="str">
            <v>Ftr Comercio</v>
          </cell>
          <cell r="E3925" t="str">
            <v>BR_CNPJ</v>
          </cell>
          <cell r="F3925" t="str">
            <v>23.167.440/0001-33</v>
          </cell>
        </row>
        <row r="3926">
          <cell r="A3926">
            <v>36798</v>
          </cell>
          <cell r="B3926" t="str">
            <v>CORPORATION</v>
          </cell>
          <cell r="C3926" t="str">
            <v>Fausto Pinheiro Sampaio - Me</v>
          </cell>
          <cell r="D3926" t="str">
            <v>Fausto Pinheiro Sampaio</v>
          </cell>
          <cell r="E3926" t="str">
            <v>BR_CNPJ</v>
          </cell>
          <cell r="F3926" t="str">
            <v>06.886.972/0001-01</v>
          </cell>
        </row>
        <row r="3927">
          <cell r="A3927">
            <v>36799</v>
          </cell>
          <cell r="B3927" t="str">
            <v>CORPORATION</v>
          </cell>
          <cell r="C3927" t="str">
            <v>Bmb Material De Construcao S.A.</v>
          </cell>
          <cell r="D3927" t="str">
            <v>Obramax Suzano</v>
          </cell>
          <cell r="E3927" t="str">
            <v>BR_CNPJ</v>
          </cell>
          <cell r="F3927" t="str">
            <v>23.476.033/0012-60</v>
          </cell>
          <cell r="G3927" t="str">
            <v>OBRAMAX</v>
          </cell>
        </row>
        <row r="3928">
          <cell r="A3928">
            <v>36801</v>
          </cell>
          <cell r="B3928" t="str">
            <v>CORPORATION</v>
          </cell>
          <cell r="C3928" t="str">
            <v>Douralub Distribuidora De Lubrificantes E Filtros Ltda - Epp</v>
          </cell>
          <cell r="D3928" t="str">
            <v>Douralub</v>
          </cell>
          <cell r="E3928" t="str">
            <v>BR_CNPJ</v>
          </cell>
          <cell r="F3928" t="str">
            <v>02.841.406/0001-22</v>
          </cell>
        </row>
        <row r="3929">
          <cell r="A3929">
            <v>36804</v>
          </cell>
          <cell r="B3929" t="str">
            <v>CORPORATION</v>
          </cell>
          <cell r="C3929" t="str">
            <v>Jose Airton Simplicio - Me</v>
          </cell>
          <cell r="D3929" t="str">
            <v>Hidrocampo</v>
          </cell>
          <cell r="E3929" t="str">
            <v>BR_CNPJ</v>
          </cell>
          <cell r="F3929" t="str">
            <v>15.570.498/0001-03</v>
          </cell>
        </row>
        <row r="3930">
          <cell r="A3930">
            <v>36807</v>
          </cell>
          <cell r="B3930" t="str">
            <v>CORPORATION</v>
          </cell>
          <cell r="C3930" t="str">
            <v>Simbel Comercio De Equipamentos Ltda - Me</v>
          </cell>
          <cell r="D3930" t="str">
            <v>Simbel</v>
          </cell>
          <cell r="E3930" t="str">
            <v>BR_CNPJ</v>
          </cell>
          <cell r="F3930" t="str">
            <v>24.743.500/0001-81</v>
          </cell>
        </row>
        <row r="3931">
          <cell r="A3931">
            <v>36810</v>
          </cell>
          <cell r="B3931" t="str">
            <v>CORPORATION</v>
          </cell>
          <cell r="C3931" t="str">
            <v>Porto Brasil Agricola Eireli</v>
          </cell>
          <cell r="D3931" t="str">
            <v>Porto Brasil Agricola</v>
          </cell>
          <cell r="E3931" t="str">
            <v>BR_CNPJ</v>
          </cell>
          <cell r="F3931" t="str">
            <v>34.054.429/0002-64</v>
          </cell>
        </row>
        <row r="3932">
          <cell r="A3932">
            <v>36819</v>
          </cell>
          <cell r="B3932" t="str">
            <v>CORPORATION</v>
          </cell>
          <cell r="C3932" t="str">
            <v>Oxmais Vendas E Servicos Ltda</v>
          </cell>
          <cell r="D3932" t="str">
            <v>Oxmais Vendas E Servicos</v>
          </cell>
          <cell r="E3932" t="str">
            <v>BR_CNPJ</v>
          </cell>
          <cell r="F3932" t="str">
            <v>45.162.015/0001-94</v>
          </cell>
        </row>
        <row r="3933">
          <cell r="A3933">
            <v>36821</v>
          </cell>
          <cell r="B3933" t="str">
            <v>CORPORATION</v>
          </cell>
          <cell r="C3933" t="str">
            <v>W. Oliveira Eletrica</v>
          </cell>
          <cell r="D3933" t="str">
            <v>W O 1001 Em Cartelados</v>
          </cell>
          <cell r="E3933" t="str">
            <v>BR_CNPJ</v>
          </cell>
          <cell r="F3933" t="str">
            <v>53.079.216/0001-50</v>
          </cell>
        </row>
        <row r="3934">
          <cell r="A3934">
            <v>36832</v>
          </cell>
          <cell r="B3934" t="str">
            <v>CORPORATION</v>
          </cell>
          <cell r="C3934" t="str">
            <v>R.M.R. Comercio De Equipamentos Industriais Ltda - Me</v>
          </cell>
          <cell r="D3934" t="str">
            <v>Rmr Usinagem</v>
          </cell>
          <cell r="E3934" t="str">
            <v>BR_CNPJ</v>
          </cell>
          <cell r="F3934" t="str">
            <v>04.742.493/0001-96</v>
          </cell>
        </row>
        <row r="3935">
          <cell r="A3935">
            <v>36838</v>
          </cell>
          <cell r="B3935" t="str">
            <v>CORPORATION</v>
          </cell>
          <cell r="C3935" t="str">
            <v>Antonio Rogerio De Mesquita Martins - Me</v>
          </cell>
          <cell r="D3935" t="str">
            <v>Antonio Rogerio</v>
          </cell>
          <cell r="E3935" t="str">
            <v>BR_CNPJ</v>
          </cell>
          <cell r="F3935" t="str">
            <v>01.382.103/0001-26</v>
          </cell>
        </row>
        <row r="3936">
          <cell r="A3936">
            <v>36841</v>
          </cell>
          <cell r="B3936" t="str">
            <v>CORPORATION</v>
          </cell>
          <cell r="C3936" t="str">
            <v>Mercadao Do Ferro E Da Chapa Ltda - Me</v>
          </cell>
          <cell r="D3936" t="str">
            <v>Mercadao Do Ferro E Da Chapa</v>
          </cell>
          <cell r="E3936" t="str">
            <v>BR_CNPJ</v>
          </cell>
          <cell r="F3936" t="str">
            <v>10.590.702/0001-26</v>
          </cell>
          <cell r="G3936" t="str">
            <v>MERCADAO DA CHAPA</v>
          </cell>
        </row>
        <row r="3937">
          <cell r="A3937">
            <v>36849</v>
          </cell>
          <cell r="B3937" t="str">
            <v>CORPORATION</v>
          </cell>
          <cell r="C3937" t="str">
            <v>Porto Brasil Agricola Eireli</v>
          </cell>
          <cell r="D3937" t="str">
            <v>Porto Brasil Agricola (Barreiras)</v>
          </cell>
          <cell r="E3937" t="str">
            <v>BR_CNPJ</v>
          </cell>
          <cell r="F3937" t="str">
            <v>34.054.429/0001-83</v>
          </cell>
        </row>
        <row r="3938">
          <cell r="A3938">
            <v>36853</v>
          </cell>
          <cell r="B3938" t="str">
            <v>CORPORATION</v>
          </cell>
          <cell r="C3938" t="str">
            <v>Juliano Sergio Martins Duarte</v>
          </cell>
          <cell r="D3938" t="str">
            <v>Tornado Eletrotecnica</v>
          </cell>
          <cell r="E3938" t="str">
            <v>BR_CNPJ</v>
          </cell>
          <cell r="F3938" t="str">
            <v>17.718.457/0001-39</v>
          </cell>
        </row>
        <row r="3939">
          <cell r="A3939">
            <v>36858</v>
          </cell>
          <cell r="B3939" t="str">
            <v>CORPORATION</v>
          </cell>
          <cell r="C3939" t="str">
            <v>Ramon Junior Leao Leal 02015799281</v>
          </cell>
          <cell r="D3939" t="str">
            <v>R J Motores E Pecas</v>
          </cell>
          <cell r="E3939" t="str">
            <v>BR_CNPJ</v>
          </cell>
          <cell r="F3939" t="str">
            <v>22.510.050/0001-51</v>
          </cell>
        </row>
        <row r="3940">
          <cell r="A3940">
            <v>36861</v>
          </cell>
          <cell r="B3940" t="str">
            <v>CORPORATION</v>
          </cell>
          <cell r="C3940" t="str">
            <v>Macsoldas Comercio De Ferramentas E Manutencao Ltda - Epp</v>
          </cell>
          <cell r="D3940" t="str">
            <v>Macsoldas</v>
          </cell>
          <cell r="E3940" t="str">
            <v>BR_CNPJ</v>
          </cell>
          <cell r="F3940" t="str">
            <v>73.746.943/0001-31</v>
          </cell>
        </row>
        <row r="3941">
          <cell r="A3941">
            <v>36865</v>
          </cell>
          <cell r="B3941" t="str">
            <v>CORPORATION</v>
          </cell>
          <cell r="C3941" t="str">
            <v>Antonio Almeida Casa Dos Parafusos Beberibe Ltda</v>
          </cell>
          <cell r="D3941" t="str">
            <v>Casa Dos Parafusos Beberibe</v>
          </cell>
          <cell r="E3941" t="str">
            <v>BR_CNPJ</v>
          </cell>
          <cell r="F3941" t="str">
            <v>44.940.615/0001-73</v>
          </cell>
          <cell r="G3941" t="str">
            <v>CASA DOS PARAFUSOS</v>
          </cell>
        </row>
        <row r="3942">
          <cell r="A3942">
            <v>36867</v>
          </cell>
          <cell r="B3942" t="str">
            <v>CORPORATION</v>
          </cell>
          <cell r="C3942" t="str">
            <v>Safra Material De Construcao Ltda</v>
          </cell>
          <cell r="D3942" t="str">
            <v>Casa Da Construcao</v>
          </cell>
          <cell r="E3942" t="str">
            <v>BR_CNPJ</v>
          </cell>
          <cell r="F3942" t="str">
            <v>05.548.229/0001-89</v>
          </cell>
        </row>
        <row r="3943">
          <cell r="A3943">
            <v>36870</v>
          </cell>
          <cell r="B3943" t="str">
            <v>CORPORATION</v>
          </cell>
          <cell r="C3943" t="str">
            <v>Riala Comercio Ltda</v>
          </cell>
          <cell r="D3943" t="str">
            <v>Grupo Riala</v>
          </cell>
          <cell r="E3943" t="str">
            <v>BR_CNPJ</v>
          </cell>
          <cell r="F3943" t="str">
            <v>31.209.836/0001-24</v>
          </cell>
          <cell r="G3943" t="str">
            <v>RIALA</v>
          </cell>
        </row>
        <row r="3944">
          <cell r="A3944">
            <v>36874</v>
          </cell>
          <cell r="B3944" t="str">
            <v>CORPORATION</v>
          </cell>
          <cell r="C3944" t="str">
            <v>Antonio Hilto Alves Araujo - Me</v>
          </cell>
          <cell r="D3944" t="str">
            <v>Hilton 100 Construcoes</v>
          </cell>
          <cell r="E3944" t="str">
            <v>BR_CNPJ</v>
          </cell>
          <cell r="F3944" t="str">
            <v>01.308.933/0001-03</v>
          </cell>
        </row>
        <row r="3945">
          <cell r="A3945">
            <v>36877</v>
          </cell>
          <cell r="B3945" t="str">
            <v>CORPORATION</v>
          </cell>
          <cell r="C3945" t="str">
            <v>Mobicars Pecas &amp; Servicos Ltda - Me</v>
          </cell>
          <cell r="D3945" t="str">
            <v>Mobicar'S</v>
          </cell>
          <cell r="E3945" t="str">
            <v>BR_CNPJ</v>
          </cell>
          <cell r="F3945" t="str">
            <v>65.196.412/0001-94</v>
          </cell>
        </row>
        <row r="3946">
          <cell r="A3946">
            <v>36880</v>
          </cell>
          <cell r="B3946" t="str">
            <v>CORPORATION</v>
          </cell>
          <cell r="C3946" t="str">
            <v>Suzano Epi Maquinas Ferramentas Ltda</v>
          </cell>
          <cell r="D3946" t="str">
            <v>Suzano Epi Maquinas Ferramentas</v>
          </cell>
          <cell r="E3946" t="str">
            <v>BR_CNPJ</v>
          </cell>
          <cell r="F3946" t="str">
            <v>43.412.719/0001-42</v>
          </cell>
          <cell r="G3946" t="str">
            <v>SUZANO EPI</v>
          </cell>
        </row>
        <row r="3947">
          <cell r="A3947">
            <v>36881</v>
          </cell>
          <cell r="B3947" t="str">
            <v>CORPORATION</v>
          </cell>
          <cell r="C3947" t="str">
            <v>L.H.C.Materiais De Construcao Ltda - Me</v>
          </cell>
          <cell r="D3947" t="str">
            <v>L.H.C.Materiais De Construcao</v>
          </cell>
          <cell r="E3947" t="str">
            <v>BR_CNPJ</v>
          </cell>
          <cell r="F3947" t="str">
            <v>42.957.308/0001-70</v>
          </cell>
        </row>
        <row r="3948">
          <cell r="A3948">
            <v>36884</v>
          </cell>
          <cell r="B3948" t="str">
            <v>CORPORATION</v>
          </cell>
          <cell r="C3948" t="str">
            <v>Diego Andrade Carvalho - Me</v>
          </cell>
          <cell r="D3948" t="str">
            <v>Parafusar</v>
          </cell>
          <cell r="E3948" t="str">
            <v>BR_CNPJ</v>
          </cell>
          <cell r="F3948" t="str">
            <v>11.709.736/0001-50</v>
          </cell>
        </row>
        <row r="3949">
          <cell r="A3949">
            <v>36887</v>
          </cell>
          <cell r="B3949" t="str">
            <v>CORPORATION</v>
          </cell>
          <cell r="C3949" t="str">
            <v>Centro Dos Acessorios Ltda</v>
          </cell>
          <cell r="D3949" t="str">
            <v>Ponto X Do Celular</v>
          </cell>
          <cell r="E3949" t="str">
            <v>BR_CNPJ</v>
          </cell>
          <cell r="F3949" t="str">
            <v>06.284.469/0001-86</v>
          </cell>
        </row>
        <row r="3950">
          <cell r="A3950">
            <v>36894</v>
          </cell>
          <cell r="B3950" t="str">
            <v>CORPORATION</v>
          </cell>
          <cell r="C3950" t="str">
            <v>Ags Comercial E Serviços Ltda</v>
          </cell>
          <cell r="D3950" t="str">
            <v>Ags Comercial E Serviços Ltda</v>
          </cell>
          <cell r="E3950" t="str">
            <v>BR_CNPJ</v>
          </cell>
          <cell r="F3950" t="str">
            <v>27.632.113/0001-66</v>
          </cell>
        </row>
        <row r="3951">
          <cell r="A3951">
            <v>36897</v>
          </cell>
          <cell r="B3951" t="str">
            <v>CORPORATION</v>
          </cell>
          <cell r="C3951" t="str">
            <v>Edmauro J Vaz - Me</v>
          </cell>
          <cell r="D3951" t="str">
            <v>Material De Construcao Nova Europa</v>
          </cell>
          <cell r="E3951" t="str">
            <v>BR_CNPJ</v>
          </cell>
          <cell r="F3951" t="str">
            <v>69.344.091/0001-89</v>
          </cell>
        </row>
        <row r="3952">
          <cell r="A3952">
            <v>36899</v>
          </cell>
          <cell r="B3952" t="str">
            <v>CORPORATION</v>
          </cell>
          <cell r="C3952" t="str">
            <v>Braxpark Maquinas E Equipamentos Ltda</v>
          </cell>
          <cell r="D3952" t="str">
            <v>Braxpark Maquinas E Equipamentos (Brasferma)</v>
          </cell>
          <cell r="E3952" t="str">
            <v>BR_CNPJ</v>
          </cell>
          <cell r="F3952" t="str">
            <v>33.366.168/0001-74</v>
          </cell>
          <cell r="G3952" t="str">
            <v>BRASFERMA</v>
          </cell>
        </row>
        <row r="3953">
          <cell r="A3953">
            <v>36902</v>
          </cell>
          <cell r="B3953" t="str">
            <v>CORPORATION</v>
          </cell>
          <cell r="C3953" t="str">
            <v>Ramiro Romao Pereira - Me</v>
          </cell>
          <cell r="D3953" t="str">
            <v>Automecanica Romao</v>
          </cell>
          <cell r="E3953" t="str">
            <v>BR_CNPJ</v>
          </cell>
          <cell r="F3953" t="str">
            <v>65.302.960/0001-51</v>
          </cell>
        </row>
        <row r="3954">
          <cell r="A3954">
            <v>36906</v>
          </cell>
          <cell r="B3954" t="str">
            <v>CORPORATION</v>
          </cell>
          <cell r="C3954" t="str">
            <v>R.C. Mardegam - Me</v>
          </cell>
          <cell r="D3954" t="str">
            <v>Casa Completa Ferragens &amp; Cia</v>
          </cell>
          <cell r="E3954" t="str">
            <v>BR_CNPJ</v>
          </cell>
          <cell r="F3954" t="str">
            <v>14.263.045/0001-63</v>
          </cell>
        </row>
        <row r="3955">
          <cell r="A3955">
            <v>36915</v>
          </cell>
          <cell r="B3955" t="str">
            <v>CORPORATION</v>
          </cell>
          <cell r="C3955" t="str">
            <v>Gnpd - Comercio E Servicos Eireli</v>
          </cell>
          <cell r="D3955" t="str">
            <v>Gnpd</v>
          </cell>
          <cell r="E3955" t="str">
            <v>BR_CNPJ</v>
          </cell>
          <cell r="F3955" t="str">
            <v>27.193.870/0001-80</v>
          </cell>
        </row>
        <row r="3956">
          <cell r="A3956">
            <v>36919</v>
          </cell>
          <cell r="B3956" t="str">
            <v>CORPORATION</v>
          </cell>
          <cell r="C3956" t="str">
            <v>Comercio De Ferros E Metais Silva &amp; Ronchetti Ltda</v>
          </cell>
          <cell r="D3956" t="str">
            <v>Comercio De Ferros E Metais Silva &amp; Ronchetti</v>
          </cell>
          <cell r="E3956" t="str">
            <v>BR_CNPJ</v>
          </cell>
          <cell r="F3956" t="str">
            <v>43.510.635/0001-41</v>
          </cell>
        </row>
        <row r="3957">
          <cell r="A3957">
            <v>36926</v>
          </cell>
          <cell r="B3957" t="str">
            <v>CORPORATION</v>
          </cell>
          <cell r="C3957" t="str">
            <v>Erika A Lima Eireli - Me</v>
          </cell>
          <cell r="D3957" t="str">
            <v>Casa Das Maquinas</v>
          </cell>
          <cell r="E3957" t="str">
            <v>BR_CNPJ</v>
          </cell>
          <cell r="F3957" t="str">
            <v>23.505.531/0001-31</v>
          </cell>
        </row>
        <row r="3958">
          <cell r="A3958">
            <v>36929</v>
          </cell>
          <cell r="B3958" t="str">
            <v>CORPORATION</v>
          </cell>
          <cell r="C3958" t="str">
            <v>New Soldas Comercio E Servicos Eireli - Me</v>
          </cell>
          <cell r="D3958" t="str">
            <v>New Soldas</v>
          </cell>
          <cell r="E3958" t="str">
            <v>BR_CNPJ</v>
          </cell>
          <cell r="F3958" t="str">
            <v>17.069.409/0001-67</v>
          </cell>
        </row>
        <row r="3959">
          <cell r="A3959">
            <v>36930</v>
          </cell>
          <cell r="B3959" t="str">
            <v>CORPORATION</v>
          </cell>
          <cell r="C3959" t="str">
            <v>Premier Comercio De Ferramentas Em Geral Ltda</v>
          </cell>
          <cell r="D3959" t="str">
            <v>Premier Tools</v>
          </cell>
          <cell r="E3959" t="str">
            <v>BR_CNPJ</v>
          </cell>
          <cell r="F3959" t="str">
            <v>01.642.118/0001-86</v>
          </cell>
          <cell r="G3959" t="str">
            <v>PREMIER PARAFUSOS</v>
          </cell>
        </row>
        <row r="3960">
          <cell r="A3960">
            <v>36932</v>
          </cell>
          <cell r="B3960" t="str">
            <v>CORPORATION</v>
          </cell>
          <cell r="C3960" t="str">
            <v>Agnus Abrasivos E Mro Ltda - Me</v>
          </cell>
          <cell r="D3960" t="str">
            <v>Agnus Abrasivos E Mro</v>
          </cell>
          <cell r="E3960" t="str">
            <v>BR_CNPJ</v>
          </cell>
          <cell r="F3960" t="str">
            <v>27.408.584/0001-95</v>
          </cell>
          <cell r="G3960" t="str">
            <v>AGNUS ABRASIVOS</v>
          </cell>
        </row>
        <row r="3961">
          <cell r="A3961">
            <v>36937</v>
          </cell>
          <cell r="B3961" t="str">
            <v>CORPORATION</v>
          </cell>
          <cell r="C3961" t="str">
            <v>Lumen Comercio E Servicos Eletricos Ltda</v>
          </cell>
          <cell r="D3961" t="str">
            <v>Lumen Eletrica</v>
          </cell>
          <cell r="E3961" t="str">
            <v>BR_CNPJ</v>
          </cell>
          <cell r="F3961" t="str">
            <v>14.632.615/0001-45</v>
          </cell>
        </row>
        <row r="3962">
          <cell r="A3962">
            <v>36938</v>
          </cell>
          <cell r="B3962" t="str">
            <v>CORPORATION</v>
          </cell>
          <cell r="C3962" t="str">
            <v>Ruiz &amp; Costa Ltda - Me</v>
          </cell>
          <cell r="D3962" t="str">
            <v>Protec Automacao Industrial</v>
          </cell>
          <cell r="E3962" t="str">
            <v>BR_CNPJ</v>
          </cell>
          <cell r="F3962" t="str">
            <v>14.890.767/0001-48</v>
          </cell>
        </row>
        <row r="3963">
          <cell r="A3963">
            <v>36946</v>
          </cell>
          <cell r="B3963" t="str">
            <v>CORPORATION</v>
          </cell>
          <cell r="C3963" t="str">
            <v>Big Cabos Industria E Comercio, Importacao E Exportacao Ltda</v>
          </cell>
          <cell r="D3963" t="str">
            <v>Big Cabos</v>
          </cell>
          <cell r="E3963" t="str">
            <v>BR_CNPJ</v>
          </cell>
          <cell r="F3963" t="str">
            <v>49.788.942/0001-75</v>
          </cell>
          <cell r="G3963" t="str">
            <v>SOLDAC</v>
          </cell>
        </row>
        <row r="3964">
          <cell r="A3964">
            <v>36949</v>
          </cell>
          <cell r="B3964" t="str">
            <v>CORPORATION</v>
          </cell>
          <cell r="C3964" t="str">
            <v>Jaragua Com. Atac. Ferrams, Mats. P/ Const. E Eletr, Inform. Desenvolvimento De Softwares Eireli</v>
          </cell>
          <cell r="D3964" t="str">
            <v>Jaragua Comercio Atacadista</v>
          </cell>
          <cell r="E3964" t="str">
            <v>BR_CNPJ</v>
          </cell>
          <cell r="F3964" t="str">
            <v>20.060.063/0001-40</v>
          </cell>
        </row>
        <row r="3965">
          <cell r="A3965">
            <v>36953</v>
          </cell>
          <cell r="B3965" t="str">
            <v>CORPORATION</v>
          </cell>
          <cell r="C3965" t="str">
            <v>Cooperativa Dos Plantadores De Cana Do Oeste Do Estado De Sao Paulo</v>
          </cell>
          <cell r="D3965" t="str">
            <v>Copercana</v>
          </cell>
          <cell r="E3965" t="str">
            <v>BR_CNPJ</v>
          </cell>
          <cell r="F3965" t="str">
            <v>71.320.915/0003-94</v>
          </cell>
          <cell r="G3965" t="str">
            <v>COPERCANA</v>
          </cell>
        </row>
        <row r="3966">
          <cell r="A3966">
            <v>36957</v>
          </cell>
          <cell r="B3966" t="str">
            <v>CORPORATION</v>
          </cell>
          <cell r="C3966" t="str">
            <v>Jurandi Oliveira De Sousa 78274109600</v>
          </cell>
          <cell r="D3966" t="str">
            <v>Eletro Bahia</v>
          </cell>
          <cell r="E3966" t="str">
            <v>BR_CNPJ</v>
          </cell>
          <cell r="F3966" t="str">
            <v>18.013.570/0001-81</v>
          </cell>
        </row>
        <row r="3967">
          <cell r="A3967">
            <v>36958</v>
          </cell>
          <cell r="B3967" t="str">
            <v>CORPORATION</v>
          </cell>
          <cell r="C3967" t="str">
            <v>51.642.252 Patricia Ferreira Sanchez</v>
          </cell>
          <cell r="D3967" t="str">
            <v>Locasan</v>
          </cell>
          <cell r="E3967" t="str">
            <v>BR_CNPJ</v>
          </cell>
          <cell r="F3967" t="str">
            <v>51.642.252/0001-55</v>
          </cell>
        </row>
        <row r="3968">
          <cell r="A3968">
            <v>36960</v>
          </cell>
          <cell r="B3968" t="str">
            <v>CORPORATION</v>
          </cell>
          <cell r="C3968" t="str">
            <v>Mbr Maquinas E Ferramentas Eireli</v>
          </cell>
          <cell r="D3968" t="str">
            <v>Mabore</v>
          </cell>
          <cell r="E3968" t="str">
            <v>BR_CNPJ</v>
          </cell>
          <cell r="F3968" t="str">
            <v>15.333.564/0001-13</v>
          </cell>
        </row>
        <row r="3969">
          <cell r="A3969">
            <v>36963</v>
          </cell>
          <cell r="B3969" t="str">
            <v>CORPORATION</v>
          </cell>
          <cell r="C3969" t="str">
            <v>Globo - Comercio De Maquinas E Ferramentas Ltda - Epp</v>
          </cell>
          <cell r="D3969" t="str">
            <v>Globo Maquinas</v>
          </cell>
          <cell r="E3969" t="str">
            <v>BR_CNPJ</v>
          </cell>
          <cell r="F3969" t="str">
            <v>09.521.702/0001-95</v>
          </cell>
        </row>
        <row r="3970">
          <cell r="A3970">
            <v>36966</v>
          </cell>
          <cell r="B3970" t="str">
            <v>CORPORATION</v>
          </cell>
          <cell r="C3970" t="str">
            <v>Genia Distribuicoes E Representacoes Eireli - Me</v>
          </cell>
          <cell r="D3970" t="str">
            <v>Genia Representacoes</v>
          </cell>
          <cell r="E3970" t="str">
            <v>BR_CNPJ</v>
          </cell>
          <cell r="F3970" t="str">
            <v>25.451.126/0001-03</v>
          </cell>
        </row>
        <row r="3971">
          <cell r="A3971">
            <v>36967</v>
          </cell>
          <cell r="B3971" t="str">
            <v>CORPORATION</v>
          </cell>
          <cell r="C3971" t="str">
            <v>B.Morelli - Tubos E Metais</v>
          </cell>
          <cell r="D3971" t="str">
            <v>Tubos E Metais</v>
          </cell>
          <cell r="E3971" t="str">
            <v>BR_CNPJ</v>
          </cell>
          <cell r="F3971" t="str">
            <v>22.468.584/0001-67</v>
          </cell>
          <cell r="G3971" t="str">
            <v>Tubos E Metais</v>
          </cell>
        </row>
        <row r="3972">
          <cell r="A3972">
            <v>36972</v>
          </cell>
          <cell r="B3972" t="str">
            <v>CORPORATION</v>
          </cell>
          <cell r="C3972" t="str">
            <v>Nekfer Comercio De Ferro Ltda - Me</v>
          </cell>
          <cell r="D3972" t="str">
            <v>Nekfer Ferros</v>
          </cell>
          <cell r="E3972" t="str">
            <v>BR_CNPJ</v>
          </cell>
          <cell r="F3972" t="str">
            <v>24.207.170/0001-00</v>
          </cell>
        </row>
        <row r="3973">
          <cell r="A3973">
            <v>36973</v>
          </cell>
          <cell r="B3973" t="str">
            <v>CORPORATION</v>
          </cell>
          <cell r="C3973" t="str">
            <v>Ferragista 3 Irmaos Ltda</v>
          </cell>
          <cell r="D3973" t="str">
            <v>Ferragista 3 Irmaos</v>
          </cell>
          <cell r="E3973" t="str">
            <v>BR_CNPJ</v>
          </cell>
          <cell r="F3973" t="str">
            <v>33.565.462/0001-05</v>
          </cell>
        </row>
        <row r="3974">
          <cell r="A3974">
            <v>36978</v>
          </cell>
          <cell r="B3974" t="str">
            <v>CORPORATION</v>
          </cell>
          <cell r="C3974" t="str">
            <v>Goncalves Ferragista Eireli</v>
          </cell>
          <cell r="D3974" t="str">
            <v>Ferragista Chuchuzal</v>
          </cell>
          <cell r="E3974" t="str">
            <v>BR_CNPJ</v>
          </cell>
          <cell r="F3974" t="str">
            <v>10.757.443/0001-85</v>
          </cell>
          <cell r="G3974" t="str">
            <v>FERRAGISTA 3 IRMAOS</v>
          </cell>
        </row>
        <row r="3975">
          <cell r="A3975">
            <v>36982</v>
          </cell>
          <cell r="B3975" t="str">
            <v>CORPORATION</v>
          </cell>
          <cell r="C3975" t="str">
            <v>Camanducoisas Comercio E Servicos Eireli</v>
          </cell>
          <cell r="D3975" t="str">
            <v>Camanducoisas</v>
          </cell>
          <cell r="E3975" t="str">
            <v>BR_CNPJ</v>
          </cell>
          <cell r="F3975" t="str">
            <v>25.425.886/0001-46</v>
          </cell>
        </row>
        <row r="3976">
          <cell r="A3976">
            <v>36986</v>
          </cell>
          <cell r="B3976" t="str">
            <v>CORPORATION</v>
          </cell>
          <cell r="C3976" t="str">
            <v>Jose Inacio Carlos Sao Manuel - Me</v>
          </cell>
          <cell r="D3976" t="str">
            <v>Eletro Carlos</v>
          </cell>
          <cell r="E3976" t="str">
            <v>BR_CNPJ</v>
          </cell>
          <cell r="F3976" t="str">
            <v>04.152.348/0001-55</v>
          </cell>
        </row>
        <row r="3977">
          <cell r="A3977">
            <v>36993</v>
          </cell>
          <cell r="B3977" t="str">
            <v>CORPORATION</v>
          </cell>
          <cell r="C3977" t="str">
            <v>Riberfuso Comercio De Parafusos E Ferragens Ltda - Me</v>
          </cell>
          <cell r="D3977" t="str">
            <v>Riberfuso</v>
          </cell>
          <cell r="E3977" t="str">
            <v>BR_CNPJ</v>
          </cell>
          <cell r="F3977" t="str">
            <v>65.101.842/0001-85</v>
          </cell>
          <cell r="G3977" t="str">
            <v>RIBERFUSO</v>
          </cell>
        </row>
        <row r="3978">
          <cell r="A3978">
            <v>36999</v>
          </cell>
          <cell r="B3978" t="str">
            <v>CORPORATION</v>
          </cell>
          <cell r="C3978" t="str">
            <v>9ideia Ferramentas Ltda -Me</v>
          </cell>
          <cell r="D3978" t="str">
            <v>9ideia Ferramentas</v>
          </cell>
          <cell r="E3978" t="str">
            <v>BR_CNPJ</v>
          </cell>
          <cell r="F3978" t="str">
            <v>27.561.086/0001-88</v>
          </cell>
        </row>
        <row r="3979">
          <cell r="A3979">
            <v>37002</v>
          </cell>
          <cell r="B3979" t="str">
            <v>CORPORATION</v>
          </cell>
          <cell r="C3979" t="str">
            <v>Dutrapar Comercio De Parafusos E Ferramentas Ltda - Epp</v>
          </cell>
          <cell r="D3979" t="str">
            <v>Dutrapar</v>
          </cell>
          <cell r="E3979" t="str">
            <v>BR_CNPJ</v>
          </cell>
          <cell r="F3979" t="str">
            <v>24.756.434/0001-84</v>
          </cell>
        </row>
        <row r="3980">
          <cell r="A3980">
            <v>37007</v>
          </cell>
          <cell r="B3980" t="str">
            <v>CORPORATION</v>
          </cell>
          <cell r="C3980" t="str">
            <v>G Barbosa &amp; Cia Ltda - Me</v>
          </cell>
          <cell r="D3980" t="str">
            <v>Barbosa Construcoes</v>
          </cell>
          <cell r="E3980" t="str">
            <v>BR_CNPJ</v>
          </cell>
          <cell r="F3980" t="str">
            <v>10.899.344/0001-38</v>
          </cell>
        </row>
        <row r="3981">
          <cell r="A3981">
            <v>37010</v>
          </cell>
          <cell r="B3981" t="str">
            <v>CORPORATION</v>
          </cell>
          <cell r="C3981" t="str">
            <v>L. Costa Assuncao - Me</v>
          </cell>
          <cell r="D3981" t="str">
            <v>Comercial Assuncao</v>
          </cell>
          <cell r="E3981" t="str">
            <v>BR_CNPJ</v>
          </cell>
          <cell r="F3981" t="str">
            <v>10.383.443/0001-62</v>
          </cell>
        </row>
        <row r="3982">
          <cell r="A3982">
            <v>37015</v>
          </cell>
          <cell r="B3982" t="str">
            <v>CORPORATION</v>
          </cell>
          <cell r="C3982" t="str">
            <v>Triade Quirinopolis Aluguel De Maquinas E Equipamentos Ltda</v>
          </cell>
          <cell r="D3982" t="str">
            <v>Casa Do Construtor Aluguel De Equipamentos</v>
          </cell>
          <cell r="E3982" t="str">
            <v>BR_CNPJ</v>
          </cell>
          <cell r="F3982" t="str">
            <v>45.165.224/0001-91</v>
          </cell>
          <cell r="G3982" t="str">
            <v>CASA DO CONSTRUTOR</v>
          </cell>
        </row>
        <row r="3983">
          <cell r="A3983">
            <v>37017</v>
          </cell>
          <cell r="B3983" t="str">
            <v>CORPORATION</v>
          </cell>
          <cell r="C3983" t="str">
            <v>Leonardo Aparecido De Santana</v>
          </cell>
          <cell r="D3983" t="str">
            <v>Md Variedades</v>
          </cell>
          <cell r="E3983" t="str">
            <v>BR_CNPJ</v>
          </cell>
          <cell r="F3983" t="str">
            <v>37.762.007/0001-50</v>
          </cell>
        </row>
        <row r="3984">
          <cell r="A3984">
            <v>37018</v>
          </cell>
          <cell r="B3984" t="str">
            <v>CORPORATION</v>
          </cell>
          <cell r="C3984" t="str">
            <v>Locsoldas Ltda - Me</v>
          </cell>
          <cell r="D3984" t="str">
            <v>Locsoldas</v>
          </cell>
          <cell r="E3984" t="str">
            <v>BR_CNPJ</v>
          </cell>
          <cell r="F3984" t="str">
            <v>01.615.979/0001-75</v>
          </cell>
        </row>
        <row r="3985">
          <cell r="A3985">
            <v>37019</v>
          </cell>
          <cell r="B3985" t="str">
            <v>CORPORATION</v>
          </cell>
          <cell r="C3985" t="str">
            <v>Barreto'S Soldas Ltda</v>
          </cell>
          <cell r="D3985" t="str">
            <v>Barreto'S Soldas</v>
          </cell>
          <cell r="E3985" t="str">
            <v>BR_CNPJ</v>
          </cell>
          <cell r="F3985" t="str">
            <v>37.991.458/0001-60</v>
          </cell>
        </row>
        <row r="3986">
          <cell r="A3986">
            <v>37020</v>
          </cell>
          <cell r="B3986" t="str">
            <v>CORPORATION</v>
          </cell>
          <cell r="C3986" t="str">
            <v>Parafusos Guarapuava Ltda</v>
          </cell>
          <cell r="D3986" t="str">
            <v>Parafusos Guarapuava</v>
          </cell>
          <cell r="E3986" t="str">
            <v>BR_CNPJ</v>
          </cell>
          <cell r="F3986" t="str">
            <v>04.421.739/0001-28</v>
          </cell>
        </row>
        <row r="3987">
          <cell r="A3987">
            <v>37021</v>
          </cell>
          <cell r="B3987" t="str">
            <v>CORPORATION</v>
          </cell>
          <cell r="C3987" t="str">
            <v>Comercial Tapajos Ferro E Aco Ltda</v>
          </cell>
          <cell r="D3987" t="str">
            <v>Tapajos Ferro E Aco</v>
          </cell>
          <cell r="E3987" t="str">
            <v>BR_CNPJ</v>
          </cell>
          <cell r="F3987" t="str">
            <v>38.369.008/0001-00</v>
          </cell>
        </row>
        <row r="3988">
          <cell r="A3988">
            <v>37023</v>
          </cell>
          <cell r="B3988" t="str">
            <v>CORPORATION</v>
          </cell>
          <cell r="C3988" t="str">
            <v>Gravia Industria De Perfilados De Aco Ltda</v>
          </cell>
          <cell r="D3988" t="str">
            <v>Gravia</v>
          </cell>
          <cell r="E3988" t="str">
            <v>BR_CNPJ</v>
          </cell>
          <cell r="F3988" t="str">
            <v>26.487.744/0004-19</v>
          </cell>
          <cell r="G3988" t="str">
            <v>GRAVIA</v>
          </cell>
        </row>
        <row r="3989">
          <cell r="A3989">
            <v>37024</v>
          </cell>
          <cell r="B3989" t="str">
            <v>CORPORATION</v>
          </cell>
          <cell r="C3989" t="str">
            <v>Acertiva Ferramentas Ltda</v>
          </cell>
          <cell r="D3989" t="str">
            <v>Acertiva Ferramentas Ltda</v>
          </cell>
          <cell r="E3989" t="str">
            <v>BR_CNPJ</v>
          </cell>
          <cell r="F3989" t="str">
            <v>24.514.526/0001-58</v>
          </cell>
        </row>
        <row r="3990">
          <cell r="A3990">
            <v>37028</v>
          </cell>
          <cell r="B3990" t="str">
            <v>CORPORATION</v>
          </cell>
          <cell r="C3990" t="str">
            <v>7 Oliveiras Comercio Ltda</v>
          </cell>
          <cell r="D3990" t="str">
            <v>7 Oliveiras</v>
          </cell>
          <cell r="E3990" t="str">
            <v>BR_CNPJ</v>
          </cell>
          <cell r="F3990" t="str">
            <v>25.048.171/0001-11</v>
          </cell>
        </row>
        <row r="3991">
          <cell r="A3991">
            <v>37030</v>
          </cell>
          <cell r="B3991" t="str">
            <v>CORPORATION</v>
          </cell>
          <cell r="C3991" t="str">
            <v>Clenex Comercio E Servicos Eireli - Epp</v>
          </cell>
          <cell r="D3991" t="str">
            <v>Clenex Comercio E Servicos Eireli - Epp</v>
          </cell>
          <cell r="E3991" t="str">
            <v>BR_CNPJ</v>
          </cell>
          <cell r="F3991" t="str">
            <v>18.707.234/0001-39</v>
          </cell>
        </row>
        <row r="3992">
          <cell r="A3992">
            <v>37033</v>
          </cell>
          <cell r="B3992" t="str">
            <v>CORPORATION</v>
          </cell>
          <cell r="C3992" t="str">
            <v>Thiago Crochiquia 09544851658</v>
          </cell>
          <cell r="D3992" t="str">
            <v>Agromak</v>
          </cell>
          <cell r="E3992" t="str">
            <v>BR_CNPJ</v>
          </cell>
          <cell r="F3992" t="str">
            <v>18.946.583/0001-03</v>
          </cell>
        </row>
        <row r="3993">
          <cell r="A3993">
            <v>37036</v>
          </cell>
          <cell r="B3993" t="str">
            <v>CORPORATION</v>
          </cell>
          <cell r="C3993" t="str">
            <v>M. E. De Morais - Me</v>
          </cell>
          <cell r="D3993" t="str">
            <v>Casa Da Luva</v>
          </cell>
          <cell r="E3993" t="str">
            <v>BR_CNPJ</v>
          </cell>
          <cell r="F3993" t="str">
            <v>03.612.281/0001-21</v>
          </cell>
          <cell r="G3993" t="str">
            <v>CASA DA LUVA</v>
          </cell>
        </row>
        <row r="3994">
          <cell r="A3994">
            <v>37047</v>
          </cell>
          <cell r="B3994" t="str">
            <v>CORPORATION</v>
          </cell>
          <cell r="C3994" t="str">
            <v>B A Eletrica Ltda</v>
          </cell>
          <cell r="D3994" t="str">
            <v>B A Eletrica</v>
          </cell>
          <cell r="E3994" t="str">
            <v>BR_CNPJ</v>
          </cell>
          <cell r="F3994" t="str">
            <v>02.887.535/0001-51</v>
          </cell>
          <cell r="G3994" t="str">
            <v>B A ELETRICA</v>
          </cell>
        </row>
        <row r="3995">
          <cell r="A3995">
            <v>37051</v>
          </cell>
          <cell r="B3995" t="str">
            <v>CORPORATION</v>
          </cell>
          <cell r="C3995" t="str">
            <v>Regina Celia Pizetta Da Costa 00986339709</v>
          </cell>
          <cell r="D3995" t="str">
            <v>Comercial Construfer</v>
          </cell>
          <cell r="E3995" t="str">
            <v>BR_CNPJ</v>
          </cell>
          <cell r="F3995" t="str">
            <v>44.665.698/0001-30</v>
          </cell>
        </row>
        <row r="3996">
          <cell r="A3996">
            <v>37055</v>
          </cell>
          <cell r="B3996" t="str">
            <v>CORPORATION</v>
          </cell>
          <cell r="C3996" t="str">
            <v>Agrosul Mangueiras E Correias Ltda</v>
          </cell>
          <cell r="D3996" t="str">
            <v>Agrosul Mangueiras E Correias</v>
          </cell>
          <cell r="E3996" t="str">
            <v>BR_CNPJ</v>
          </cell>
          <cell r="F3996" t="str">
            <v>18.990.400/0001-57</v>
          </cell>
        </row>
        <row r="3997">
          <cell r="A3997">
            <v>37056</v>
          </cell>
          <cell r="B3997" t="str">
            <v>CORPORATION</v>
          </cell>
          <cell r="C3997" t="str">
            <v>Abac Manutencao Industrial Ltda</v>
          </cell>
          <cell r="D3997" t="str">
            <v>Abac Manutencao Industrial Ltda (Prana)</v>
          </cell>
          <cell r="E3997" t="str">
            <v>BR_CNPJ</v>
          </cell>
          <cell r="F3997" t="str">
            <v>11.327.929/0001-46</v>
          </cell>
          <cell r="G3997" t="str">
            <v>PRANA</v>
          </cell>
        </row>
        <row r="3998">
          <cell r="A3998">
            <v>37059</v>
          </cell>
          <cell r="B3998" t="str">
            <v>CORPORATION</v>
          </cell>
          <cell r="C3998" t="str">
            <v>F F A Distribuidora Ltda</v>
          </cell>
          <cell r="D3998" t="str">
            <v>F F A Distribuidora</v>
          </cell>
          <cell r="E3998" t="str">
            <v>BR_CNPJ</v>
          </cell>
          <cell r="F3998" t="str">
            <v>51.815.420/0001-67</v>
          </cell>
        </row>
        <row r="3999">
          <cell r="A3999">
            <v>37064</v>
          </cell>
          <cell r="B3999" t="str">
            <v>CORPORATION</v>
          </cell>
          <cell r="C3999" t="str">
            <v>Suellen Comercial Ltda</v>
          </cell>
          <cell r="D3999" t="str">
            <v>Agrosolo &amp; Cia</v>
          </cell>
          <cell r="E3999" t="str">
            <v>BR_CNPJ</v>
          </cell>
          <cell r="F3999" t="str">
            <v>11.843.209/0001-33</v>
          </cell>
        </row>
        <row r="4000">
          <cell r="A4000">
            <v>37066</v>
          </cell>
          <cell r="B4000" t="str">
            <v>CORPORATION</v>
          </cell>
          <cell r="C4000" t="str">
            <v>Comercial De Materiais De Construcao E Gases Pe Quente Ltda</v>
          </cell>
          <cell r="D4000" t="str">
            <v>O Pe Quente Da Construcao</v>
          </cell>
          <cell r="E4000" t="str">
            <v>BR_CNPJ</v>
          </cell>
          <cell r="F4000" t="str">
            <v>15.025.381/0001-30</v>
          </cell>
        </row>
        <row r="4001">
          <cell r="A4001">
            <v>37068</v>
          </cell>
          <cell r="B4001" t="str">
            <v>CORPORATION</v>
          </cell>
          <cell r="C4001" t="str">
            <v>Brasilia Maquinas E Ferramentas Ltda</v>
          </cell>
          <cell r="D4001" t="str">
            <v>Brasilia Maquinas E Ferramentas</v>
          </cell>
          <cell r="E4001" t="str">
            <v>BR_CNPJ</v>
          </cell>
          <cell r="F4001" t="str">
            <v>61.354.841/0009-49</v>
          </cell>
        </row>
        <row r="4002">
          <cell r="A4002">
            <v>37069</v>
          </cell>
          <cell r="B4002" t="str">
            <v>CORPORATION</v>
          </cell>
          <cell r="C4002" t="str">
            <v>Armazem Minas Gerais Ltda</v>
          </cell>
          <cell r="D4002" t="str">
            <v>Armazem Minas Gerais</v>
          </cell>
          <cell r="E4002" t="str">
            <v>BR_CNPJ</v>
          </cell>
          <cell r="F4002" t="str">
            <v>22.822.084/0001-81</v>
          </cell>
        </row>
        <row r="4003">
          <cell r="A4003">
            <v>37073</v>
          </cell>
          <cell r="B4003" t="str">
            <v>CORPORATION</v>
          </cell>
          <cell r="C4003" t="str">
            <v>Tiago Da Costa Dias 34222342840</v>
          </cell>
          <cell r="D4003" t="str">
            <v>Costa Acessorios Industriais</v>
          </cell>
          <cell r="E4003" t="str">
            <v>BR_CNPJ</v>
          </cell>
          <cell r="F4003" t="str">
            <v>29.335.068/0001-03</v>
          </cell>
        </row>
        <row r="4004">
          <cell r="A4004">
            <v>37074</v>
          </cell>
          <cell r="B4004" t="str">
            <v>CORPORATION</v>
          </cell>
          <cell r="C4004" t="str">
            <v>Life Midia Participacoes Eireli</v>
          </cell>
          <cell r="D4004" t="str">
            <v>Life Midia</v>
          </cell>
          <cell r="E4004" t="str">
            <v>BR_CNPJ</v>
          </cell>
          <cell r="F4004" t="str">
            <v>07.594.671/0001-77</v>
          </cell>
        </row>
        <row r="4005">
          <cell r="A4005">
            <v>37077</v>
          </cell>
          <cell r="B4005" t="str">
            <v>CORPORATION</v>
          </cell>
          <cell r="C4005" t="str">
            <v>Meta Materiais Para Construcao Eireli - Epp</v>
          </cell>
          <cell r="D4005" t="str">
            <v>Meta Distribuidora</v>
          </cell>
          <cell r="E4005" t="str">
            <v>BR_CNPJ</v>
          </cell>
          <cell r="F4005" t="str">
            <v>20.716.683/0001-95</v>
          </cell>
        </row>
        <row r="4006">
          <cell r="A4006">
            <v>37080</v>
          </cell>
          <cell r="B4006" t="str">
            <v>CORPORATION</v>
          </cell>
          <cell r="C4006" t="str">
            <v>S. M. F. Comercio De Ferramentas E Acessorios Ltda</v>
          </cell>
          <cell r="D4006" t="str">
            <v>Smf / Maquinô</v>
          </cell>
          <cell r="E4006" t="str">
            <v>BR_CNPJ</v>
          </cell>
          <cell r="F4006" t="str">
            <v>27.804.367/0001-14</v>
          </cell>
        </row>
        <row r="4007">
          <cell r="A4007">
            <v>37086</v>
          </cell>
          <cell r="B4007" t="str">
            <v>CORPORATION</v>
          </cell>
          <cell r="C4007" t="str">
            <v>Ramos De Acacia Materiais De Construcao Ltda - Epp</v>
          </cell>
          <cell r="D4007" t="str">
            <v>Pau De Oleo</v>
          </cell>
          <cell r="E4007" t="str">
            <v>BR_CNPJ</v>
          </cell>
          <cell r="F4007" t="str">
            <v>10.624.752/0001-87</v>
          </cell>
          <cell r="G4007" t="str">
            <v>PAU DE OLEO</v>
          </cell>
        </row>
        <row r="4008">
          <cell r="A4008">
            <v>37088</v>
          </cell>
          <cell r="B4008" t="str">
            <v>CORPORATION</v>
          </cell>
          <cell r="C4008" t="str">
            <v>A B Melo</v>
          </cell>
          <cell r="D4008" t="str">
            <v>Armazem Souza</v>
          </cell>
          <cell r="E4008" t="str">
            <v>BR_CNPJ</v>
          </cell>
          <cell r="F4008" t="str">
            <v>43.639.779/0001-00</v>
          </cell>
          <cell r="G4008" t="str">
            <v>ARMAZEM UNIAO</v>
          </cell>
        </row>
        <row r="4009">
          <cell r="A4009">
            <v>37095</v>
          </cell>
          <cell r="B4009" t="str">
            <v>CORPORATION</v>
          </cell>
          <cell r="C4009" t="str">
            <v>Araujo Engenharia Eireli-Me Microempresa</v>
          </cell>
          <cell r="D4009" t="str">
            <v>Araujo Engenharia</v>
          </cell>
          <cell r="E4009" t="str">
            <v>BR_CNPJ</v>
          </cell>
          <cell r="F4009" t="str">
            <v>13.227.808/0001-58</v>
          </cell>
        </row>
        <row r="4010">
          <cell r="A4010">
            <v>37099</v>
          </cell>
          <cell r="B4010" t="str">
            <v>CORPORATION</v>
          </cell>
          <cell r="C4010" t="str">
            <v>Br Sul Comercio E Distribuicao Ltda</v>
          </cell>
          <cell r="D4010" t="str">
            <v>Br Sul Comercio E Distribuicao</v>
          </cell>
          <cell r="E4010" t="str">
            <v>BR_CNPJ</v>
          </cell>
          <cell r="F4010" t="str">
            <v>26.813.850/0001-00</v>
          </cell>
        </row>
        <row r="4011">
          <cell r="A4011">
            <v>37100</v>
          </cell>
          <cell r="B4011" t="str">
            <v>CORPORATION</v>
          </cell>
          <cell r="C4011" t="str">
            <v>Sm Comercio E Manutencao-Divisao Eletrodomesticos Ltda - Me</v>
          </cell>
          <cell r="D4011" t="str">
            <v>Sm</v>
          </cell>
          <cell r="E4011" t="str">
            <v>BR_CNPJ</v>
          </cell>
          <cell r="F4011" t="str">
            <v>20.099.147/0001-98</v>
          </cell>
        </row>
        <row r="4012">
          <cell r="A4012">
            <v>37102</v>
          </cell>
          <cell r="B4012" t="str">
            <v>CORPORATION</v>
          </cell>
          <cell r="C4012" t="str">
            <v>De Meo Comercial Importadora Ltda</v>
          </cell>
          <cell r="D4012" t="str">
            <v>De Meo Maquinas E Ferramentas</v>
          </cell>
          <cell r="E4012" t="str">
            <v>BR_CNPJ</v>
          </cell>
          <cell r="F4012" t="str">
            <v>60.872.124/0001-99</v>
          </cell>
          <cell r="G4012" t="str">
            <v>DEMEO</v>
          </cell>
        </row>
        <row r="4013">
          <cell r="A4013">
            <v>37103</v>
          </cell>
          <cell r="B4013" t="str">
            <v>CORPORATION</v>
          </cell>
          <cell r="C4013" t="str">
            <v>Paulo Lima De Almeida</v>
          </cell>
          <cell r="D4013" t="str">
            <v>Casa Dos Parafusos Chorozinho</v>
          </cell>
          <cell r="E4013" t="str">
            <v>BR_CNPJ</v>
          </cell>
          <cell r="F4013" t="str">
            <v>21.536.055/0001-90</v>
          </cell>
        </row>
        <row r="4014">
          <cell r="A4014">
            <v>37104</v>
          </cell>
          <cell r="B4014" t="str">
            <v>CORPORATION</v>
          </cell>
          <cell r="C4014" t="str">
            <v>De Meo Comercial Importadora Ltda</v>
          </cell>
          <cell r="D4014" t="str">
            <v>Demeo Cd</v>
          </cell>
          <cell r="E4014" t="str">
            <v>BR_CNPJ</v>
          </cell>
          <cell r="F4014" t="str">
            <v>60.872.124/0013-22</v>
          </cell>
          <cell r="G4014" t="str">
            <v>DEMEO</v>
          </cell>
        </row>
        <row r="4015">
          <cell r="A4015">
            <v>37105</v>
          </cell>
          <cell r="B4015" t="str">
            <v>CORPORATION</v>
          </cell>
          <cell r="C4015" t="str">
            <v>Wr Tools Importacao E Comercio De Ferramentas Ltda</v>
          </cell>
          <cell r="D4015" t="str">
            <v>Wr Tools Importacao E Comercio</v>
          </cell>
          <cell r="E4015" t="str">
            <v>BR_CNPJ</v>
          </cell>
          <cell r="F4015" t="str">
            <v>35.336.762/0001-48</v>
          </cell>
        </row>
        <row r="4016">
          <cell r="A4016">
            <v>37106</v>
          </cell>
          <cell r="B4016" t="str">
            <v>CORPORATION</v>
          </cell>
          <cell r="C4016" t="str">
            <v>Wg Materiais Eletricos E Hidraulicos Ltda</v>
          </cell>
          <cell r="D4016" t="str">
            <v>Wg</v>
          </cell>
          <cell r="E4016" t="str">
            <v>BR_CNPJ</v>
          </cell>
          <cell r="F4016" t="str">
            <v>00.372.758/0001-50</v>
          </cell>
        </row>
        <row r="4017">
          <cell r="A4017">
            <v>37108</v>
          </cell>
          <cell r="B4017" t="str">
            <v>CORPORATION</v>
          </cell>
          <cell r="C4017" t="str">
            <v>Bj Comercio E Servicos Eireli</v>
          </cell>
          <cell r="D4017" t="str">
            <v>Bj Metais E Ferramentas</v>
          </cell>
          <cell r="E4017" t="str">
            <v>BR_CNPJ</v>
          </cell>
          <cell r="F4017" t="str">
            <v>31.572.210/0001-88</v>
          </cell>
        </row>
        <row r="4018">
          <cell r="A4018">
            <v>37110</v>
          </cell>
          <cell r="B4018" t="str">
            <v>CORPORATION</v>
          </cell>
          <cell r="C4018" t="str">
            <v>Maria Adriana Hilario De Freitas Me</v>
          </cell>
          <cell r="D4018" t="str">
            <v>Cirao Construções</v>
          </cell>
          <cell r="E4018" t="str">
            <v>BR_CNPJ</v>
          </cell>
          <cell r="F4018" t="str">
            <v>07.064.810/0001-50</v>
          </cell>
        </row>
        <row r="4019">
          <cell r="A4019">
            <v>37112</v>
          </cell>
          <cell r="B4019" t="str">
            <v>CORPORATION</v>
          </cell>
          <cell r="C4019" t="str">
            <v>Olist</v>
          </cell>
          <cell r="D4019" t="str">
            <v>Olist</v>
          </cell>
          <cell r="E4019" t="str">
            <v>BR_CNPJ</v>
          </cell>
          <cell r="F4019" t="str">
            <v>18.552.346/0001-68</v>
          </cell>
        </row>
        <row r="4020">
          <cell r="A4020">
            <v>37114</v>
          </cell>
          <cell r="B4020" t="str">
            <v>CORPORATION</v>
          </cell>
          <cell r="C4020" t="str">
            <v>Casa De Pinturas Danubio Azul Ltda</v>
          </cell>
          <cell r="D4020" t="str">
            <v>Casa De Pinturas Danubio Azul</v>
          </cell>
          <cell r="E4020" t="str">
            <v>BR_CNPJ</v>
          </cell>
          <cell r="F4020" t="str">
            <v>51.468.353/0001-51</v>
          </cell>
        </row>
        <row r="4021">
          <cell r="A4021">
            <v>37115</v>
          </cell>
          <cell r="B4021" t="str">
            <v>CORPORATION</v>
          </cell>
          <cell r="C4021" t="str">
            <v>Central Maquinas Unai Eireli</v>
          </cell>
          <cell r="D4021" t="str">
            <v>Central Maquinas</v>
          </cell>
          <cell r="E4021" t="str">
            <v>BR_CNPJ</v>
          </cell>
          <cell r="F4021" t="str">
            <v>32.908.166/0001-05</v>
          </cell>
        </row>
        <row r="4022">
          <cell r="A4022">
            <v>37117</v>
          </cell>
          <cell r="B4022" t="str">
            <v>CORPORATION</v>
          </cell>
          <cell r="C4022" t="str">
            <v>Comercial Casa Da Lavoura Ltda</v>
          </cell>
          <cell r="D4022" t="str">
            <v>Casa Da Lavoura</v>
          </cell>
          <cell r="E4022" t="str">
            <v>BR_CNPJ</v>
          </cell>
          <cell r="F4022" t="str">
            <v>02.768.118/0001-90</v>
          </cell>
        </row>
        <row r="4023">
          <cell r="A4023">
            <v>37119</v>
          </cell>
          <cell r="B4023" t="str">
            <v>CORPORATION</v>
          </cell>
          <cell r="C4023" t="str">
            <v>Ativa Eletro Comercial Ltda</v>
          </cell>
          <cell r="D4023" t="str">
            <v>Ativa Eletro</v>
          </cell>
          <cell r="E4023" t="str">
            <v>BR_CNPJ</v>
          </cell>
          <cell r="F4023" t="str">
            <v>13.038.845/0001-18</v>
          </cell>
        </row>
        <row r="4024">
          <cell r="A4024">
            <v>37120</v>
          </cell>
          <cell r="B4024" t="str">
            <v>CORPORATION</v>
          </cell>
          <cell r="C4024" t="str">
            <v>Forte Ferramentas E Parafusos Eireli</v>
          </cell>
          <cell r="D4024" t="str">
            <v>Forte Ferramentas</v>
          </cell>
          <cell r="E4024" t="str">
            <v>BR_CNPJ</v>
          </cell>
          <cell r="F4024" t="str">
            <v>27.698.581/0001-33</v>
          </cell>
        </row>
        <row r="4025">
          <cell r="A4025">
            <v>37127</v>
          </cell>
          <cell r="B4025" t="str">
            <v>CORPORATION</v>
          </cell>
          <cell r="C4025" t="str">
            <v>Zn Distribuidora Ltda</v>
          </cell>
          <cell r="D4025" t="str">
            <v>Zn Distribuidora</v>
          </cell>
          <cell r="E4025" t="str">
            <v>BR_CNPJ</v>
          </cell>
          <cell r="F4025" t="str">
            <v>12.150.755/0001-51</v>
          </cell>
          <cell r="G4025" t="str">
            <v>HCJ</v>
          </cell>
        </row>
        <row r="4026">
          <cell r="A4026">
            <v>37131</v>
          </cell>
          <cell r="B4026" t="str">
            <v>CORPORATION</v>
          </cell>
          <cell r="C4026" t="str">
            <v>Infoskau Comercio Digital Eireli</v>
          </cell>
          <cell r="D4026" t="str">
            <v>Infoskau Comercio Digital</v>
          </cell>
          <cell r="E4026" t="str">
            <v>BR_CNPJ</v>
          </cell>
          <cell r="F4026" t="str">
            <v>26.415.663/0001-60</v>
          </cell>
        </row>
        <row r="4027">
          <cell r="A4027">
            <v>37133</v>
          </cell>
          <cell r="B4027" t="str">
            <v>CORPORATION</v>
          </cell>
          <cell r="C4027" t="str">
            <v>Fergavi Comercial Ltda</v>
          </cell>
          <cell r="D4027" t="str">
            <v>Fergavi Comercial Ltda</v>
          </cell>
          <cell r="E4027" t="str">
            <v>BR_CNPJ</v>
          </cell>
          <cell r="F4027" t="str">
            <v>14.968.227/0001-30</v>
          </cell>
        </row>
        <row r="4028">
          <cell r="A4028">
            <v>37134</v>
          </cell>
          <cell r="B4028" t="str">
            <v>CORPORATION</v>
          </cell>
          <cell r="C4028" t="str">
            <v>Cooperativa Dos Plantadores De Cana Do Estado Sao Paulo</v>
          </cell>
          <cell r="D4028" t="str">
            <v>Coplacana (Penapolis)</v>
          </cell>
          <cell r="E4028" t="str">
            <v>BR_CNPJ</v>
          </cell>
          <cell r="F4028" t="str">
            <v>54.366.547/0014-59</v>
          </cell>
          <cell r="G4028" t="str">
            <v>COPLACANA</v>
          </cell>
        </row>
        <row r="4029">
          <cell r="A4029">
            <v>37136</v>
          </cell>
          <cell r="B4029" t="str">
            <v>CORPORATION</v>
          </cell>
          <cell r="C4029" t="str">
            <v>Triplice Representantes De Alimentos Eireli</v>
          </cell>
          <cell r="D4029" t="str">
            <v>Triplice Comercio E Servicos</v>
          </cell>
          <cell r="E4029" t="str">
            <v>BR_CNPJ</v>
          </cell>
          <cell r="F4029" t="str">
            <v>09.550.793/0001-97</v>
          </cell>
        </row>
        <row r="4030">
          <cell r="A4030">
            <v>37141</v>
          </cell>
          <cell r="B4030" t="str">
            <v>CORPORATION</v>
          </cell>
          <cell r="C4030" t="str">
            <v>Proatacadista Ltda</v>
          </cell>
          <cell r="D4030" t="str">
            <v>Proatacadista (Tecno Pro)</v>
          </cell>
          <cell r="E4030" t="str">
            <v>BR_CNPJ</v>
          </cell>
          <cell r="F4030" t="str">
            <v>48.285.521/0001-69</v>
          </cell>
          <cell r="G4030" t="str">
            <v>TECNO PRO</v>
          </cell>
        </row>
        <row r="4031">
          <cell r="A4031">
            <v>37148</v>
          </cell>
          <cell r="B4031" t="str">
            <v>CORPORATION</v>
          </cell>
          <cell r="C4031" t="str">
            <v>Sayama &amp; Cia. Ltda</v>
          </cell>
          <cell r="D4031" t="str">
            <v>Sayama &amp; Cia.</v>
          </cell>
          <cell r="E4031" t="str">
            <v>BR_CNPJ</v>
          </cell>
          <cell r="F4031" t="str">
            <v>04.617.693/0001-17</v>
          </cell>
        </row>
        <row r="4032">
          <cell r="A4032">
            <v>37149</v>
          </cell>
          <cell r="B4032" t="str">
            <v>CORPORATION</v>
          </cell>
          <cell r="C4032" t="str">
            <v>Tulio Leonardo Carneiro 95414347620</v>
          </cell>
          <cell r="D4032" t="str">
            <v>Eletrico Serviços</v>
          </cell>
          <cell r="E4032" t="str">
            <v>BR_CNPJ</v>
          </cell>
          <cell r="F4032" t="str">
            <v>23.110.581/0001-10</v>
          </cell>
        </row>
        <row r="4033">
          <cell r="A4033">
            <v>37152</v>
          </cell>
          <cell r="B4033" t="str">
            <v>CORPORATION</v>
          </cell>
          <cell r="C4033" t="str">
            <v>William Robson De Souza Olivi 31013226852</v>
          </cell>
          <cell r="D4033" t="str">
            <v>Doutor Soldas - Manutencao Ativa</v>
          </cell>
          <cell r="E4033" t="str">
            <v>BR_CNPJ</v>
          </cell>
          <cell r="F4033" t="str">
            <v>23.404.673/0001-02</v>
          </cell>
        </row>
        <row r="4034">
          <cell r="A4034">
            <v>37153</v>
          </cell>
          <cell r="B4034" t="str">
            <v>CORPORATION</v>
          </cell>
          <cell r="C4034" t="str">
            <v>A M Comercio De Gases Ferramentas E Maquinas Ltda</v>
          </cell>
          <cell r="D4034" t="str">
            <v>Oxigenio Jacobina</v>
          </cell>
          <cell r="E4034" t="str">
            <v>BR_CNPJ</v>
          </cell>
          <cell r="F4034" t="str">
            <v>42.406.559/0001-66</v>
          </cell>
        </row>
        <row r="4035">
          <cell r="A4035">
            <v>37154</v>
          </cell>
          <cell r="B4035" t="str">
            <v>CORPORATION</v>
          </cell>
          <cell r="C4035" t="str">
            <v>Resplendor Eletrodos E Soldas Ltda</v>
          </cell>
          <cell r="D4035" t="str">
            <v>Resplendor Eletrodos E Soldas</v>
          </cell>
          <cell r="E4035" t="str">
            <v>BR_CNPJ</v>
          </cell>
          <cell r="F4035" t="str">
            <v>23.937.857/0001-38</v>
          </cell>
        </row>
        <row r="4036">
          <cell r="A4036">
            <v>37156</v>
          </cell>
          <cell r="B4036" t="str">
            <v>CORPORATION</v>
          </cell>
          <cell r="C4036" t="str">
            <v>Bruno Eliezer Viegas 34678707832</v>
          </cell>
          <cell r="D4036" t="str">
            <v>Hb Soldas</v>
          </cell>
          <cell r="E4036" t="str">
            <v>BR_CNPJ</v>
          </cell>
          <cell r="F4036" t="str">
            <v>37.828.125/0001-14</v>
          </cell>
        </row>
        <row r="4037">
          <cell r="A4037">
            <v>37157</v>
          </cell>
          <cell r="B4037" t="str">
            <v>CORPORATION</v>
          </cell>
          <cell r="C4037" t="str">
            <v>Atn Comercio De Artigos De Borracha Ltda</v>
          </cell>
          <cell r="D4037" t="str">
            <v>Atn Comercio De Artigos De Borracha</v>
          </cell>
          <cell r="E4037" t="str">
            <v>BR_CNPJ</v>
          </cell>
          <cell r="F4037" t="str">
            <v>12.157.146/0001-24</v>
          </cell>
        </row>
        <row r="4038">
          <cell r="A4038">
            <v>37162</v>
          </cell>
          <cell r="B4038" t="str">
            <v>CORPORATION</v>
          </cell>
          <cell r="C4038" t="str">
            <v>Tuka Motos Ltda</v>
          </cell>
          <cell r="D4038" t="str">
            <v>Tuka Moto-Pecas</v>
          </cell>
          <cell r="E4038" t="str">
            <v>BR_CNPJ</v>
          </cell>
          <cell r="F4038" t="str">
            <v>71.007.363/0001-05</v>
          </cell>
        </row>
        <row r="4039">
          <cell r="A4039">
            <v>37174</v>
          </cell>
          <cell r="B4039" t="str">
            <v>CORPORATION</v>
          </cell>
          <cell r="C4039" t="str">
            <v>Ferramentas Shop &amp; Cia Ltda</v>
          </cell>
          <cell r="D4039" t="str">
            <v>Carrocerias Reis</v>
          </cell>
          <cell r="E4039" t="str">
            <v>BR_CNPJ</v>
          </cell>
          <cell r="F4039" t="str">
            <v>04.034.878/0001-07</v>
          </cell>
        </row>
        <row r="4040">
          <cell r="A4040">
            <v>37176</v>
          </cell>
          <cell r="B4040" t="str">
            <v>CORPORATION</v>
          </cell>
          <cell r="C4040" t="str">
            <v>Livia Okiishi Nogueira Eireli</v>
          </cell>
          <cell r="D4040" t="str">
            <v>Livia Okiishi Nogueira Eireli</v>
          </cell>
          <cell r="E4040" t="str">
            <v>BR_CNPJ</v>
          </cell>
          <cell r="F4040" t="str">
            <v>42.320.433/0001-74</v>
          </cell>
        </row>
        <row r="4041">
          <cell r="A4041">
            <v>37177</v>
          </cell>
          <cell r="B4041" t="str">
            <v>CORPORATION</v>
          </cell>
          <cell r="C4041" t="str">
            <v>Casa Das Ferramentas Ipaba Ltda</v>
          </cell>
          <cell r="D4041" t="str">
            <v>Natalia Venil Pereira (Casa Das Ferramentas)</v>
          </cell>
          <cell r="E4041" t="str">
            <v>BR_CNPJ</v>
          </cell>
          <cell r="F4041" t="str">
            <v>25.027.088/0001-66</v>
          </cell>
        </row>
        <row r="4042">
          <cell r="A4042">
            <v>37181</v>
          </cell>
          <cell r="B4042" t="str">
            <v>CORPORATION</v>
          </cell>
          <cell r="C4042" t="str">
            <v>Francisco Arnaldo Paiva Soares Me</v>
          </cell>
          <cell r="D4042" t="str">
            <v>Casa Soares Comercio E Representacoes</v>
          </cell>
          <cell r="E4042" t="str">
            <v>BR_CNPJ</v>
          </cell>
          <cell r="F4042" t="str">
            <v>02.579.055/0001-23</v>
          </cell>
        </row>
        <row r="4043">
          <cell r="A4043">
            <v>37182</v>
          </cell>
          <cell r="B4043" t="str">
            <v>CORPORATION</v>
          </cell>
          <cell r="C4043" t="str">
            <v>Guacu Parafusos Comercio De Ferramentas Eireli</v>
          </cell>
          <cell r="D4043" t="str">
            <v>Guacu Parafusos</v>
          </cell>
          <cell r="E4043" t="str">
            <v>BR_CNPJ</v>
          </cell>
          <cell r="F4043" t="str">
            <v>07.818.013/0001-11</v>
          </cell>
          <cell r="G4043" t="str">
            <v>GUACU PARAFUSOS</v>
          </cell>
        </row>
        <row r="4044">
          <cell r="A4044">
            <v>37187</v>
          </cell>
          <cell r="B4044" t="str">
            <v>CORPORATION</v>
          </cell>
          <cell r="C4044" t="str">
            <v>Ferragens Portugal Ltda Epp</v>
          </cell>
          <cell r="D4044" t="str">
            <v>Ferragens Portugal</v>
          </cell>
          <cell r="E4044" t="str">
            <v>BR_CNPJ</v>
          </cell>
          <cell r="F4044" t="str">
            <v>74.665.969/0001-18</v>
          </cell>
          <cell r="G4044" t="str">
            <v>FERRAGENS PORTUGAL</v>
          </cell>
        </row>
        <row r="4045">
          <cell r="A4045">
            <v>37188</v>
          </cell>
          <cell r="B4045" t="str">
            <v>CORPORATION</v>
          </cell>
          <cell r="C4045" t="str">
            <v>Sandu Comercio E Distribuicao De Produtos Eireli</v>
          </cell>
          <cell r="D4045" t="str">
            <v>Distribuidora Sandu</v>
          </cell>
          <cell r="E4045" t="str">
            <v>BR_CNPJ</v>
          </cell>
          <cell r="F4045" t="str">
            <v>19.806.688/0001-20</v>
          </cell>
        </row>
        <row r="4046">
          <cell r="A4046">
            <v>37194</v>
          </cell>
          <cell r="B4046" t="str">
            <v>CORPORATION</v>
          </cell>
          <cell r="C4046" t="str">
            <v>A.C. Pagamisse</v>
          </cell>
          <cell r="D4046" t="str">
            <v>Oxicom - Comercio De Gases E Equipamentos Para Solda</v>
          </cell>
          <cell r="E4046" t="str">
            <v>BR_CNPJ</v>
          </cell>
          <cell r="F4046" t="str">
            <v>09.621.417/0001-46</v>
          </cell>
        </row>
        <row r="4047">
          <cell r="A4047">
            <v>37197</v>
          </cell>
          <cell r="B4047" t="str">
            <v>CORPORATION</v>
          </cell>
          <cell r="C4047" t="str">
            <v>Dipar Ferragens Ltda</v>
          </cell>
          <cell r="D4047" t="str">
            <v>Dipar Ferragens</v>
          </cell>
          <cell r="E4047" t="str">
            <v>BR_CNPJ</v>
          </cell>
          <cell r="F4047" t="str">
            <v>16.868.674/0001-42</v>
          </cell>
        </row>
        <row r="4048">
          <cell r="A4048">
            <v>37198</v>
          </cell>
          <cell r="B4048" t="str">
            <v>CORPORATION</v>
          </cell>
          <cell r="C4048" t="str">
            <v>Felap Maquinas E Equipamentos Ltda</v>
          </cell>
          <cell r="D4048" t="str">
            <v>Felap</v>
          </cell>
          <cell r="E4048" t="str">
            <v>BR_CNPJ</v>
          </cell>
          <cell r="F4048" t="str">
            <v>60.886.447/0001-31</v>
          </cell>
        </row>
        <row r="4049">
          <cell r="A4049">
            <v>37201</v>
          </cell>
          <cell r="B4049" t="str">
            <v>CORPORATION</v>
          </cell>
          <cell r="C4049" t="str">
            <v>Equisolda Comercio De Produtos Mat Equip P Solda Ltda</v>
          </cell>
          <cell r="D4049" t="str">
            <v>Equisolda</v>
          </cell>
          <cell r="E4049" t="str">
            <v>BR_CNPJ</v>
          </cell>
          <cell r="F4049" t="str">
            <v>95.433.215/0001-02</v>
          </cell>
        </row>
        <row r="4050">
          <cell r="A4050">
            <v>37208</v>
          </cell>
          <cell r="B4050" t="str">
            <v>CORPORATION</v>
          </cell>
          <cell r="C4050" t="str">
            <v>Campeao Comercio Ltda</v>
          </cell>
          <cell r="D4050" t="str">
            <v>Clube Da Casa Campeão</v>
          </cell>
          <cell r="E4050" t="str">
            <v>BR_CNPJ</v>
          </cell>
          <cell r="F4050" t="str">
            <v>01.347.069/0001-59</v>
          </cell>
        </row>
        <row r="4051">
          <cell r="A4051">
            <v>37218</v>
          </cell>
          <cell r="B4051" t="str">
            <v>CORPORATION</v>
          </cell>
          <cell r="C4051" t="str">
            <v>Maqsoldas Comercio De Gases E Assistencia Tecnica Eireli</v>
          </cell>
          <cell r="D4051" t="str">
            <v>Maqsoldas Comercio</v>
          </cell>
          <cell r="E4051" t="str">
            <v>BR_CNPJ</v>
          </cell>
          <cell r="F4051" t="str">
            <v>22.851.425/0001-47</v>
          </cell>
          <cell r="G4051" t="str">
            <v>MAQSOLDAS</v>
          </cell>
        </row>
        <row r="4052">
          <cell r="A4052">
            <v>37233</v>
          </cell>
          <cell r="B4052" t="str">
            <v>CORPORATION</v>
          </cell>
          <cell r="C4052" t="str">
            <v>Madeiramadeira Comercio Eletronico S/A</v>
          </cell>
          <cell r="D4052" t="str">
            <v>Madeiramadeira</v>
          </cell>
          <cell r="E4052" t="str">
            <v>BR_CNPJ</v>
          </cell>
          <cell r="F4052" t="str">
            <v>10.490.181/0001-35</v>
          </cell>
          <cell r="G4052" t="str">
            <v>MADEIRAMADEIRA</v>
          </cell>
        </row>
        <row r="4053">
          <cell r="A4053">
            <v>37237</v>
          </cell>
          <cell r="B4053" t="str">
            <v>CORPORATION</v>
          </cell>
          <cell r="C4053" t="str">
            <v>E. C. De Morais - Eireli</v>
          </cell>
          <cell r="D4053" t="str">
            <v>Casa Nova</v>
          </cell>
          <cell r="E4053" t="str">
            <v>BR_CNPJ</v>
          </cell>
          <cell r="F4053" t="str">
            <v>22.350.527/0001-89</v>
          </cell>
        </row>
        <row r="4054">
          <cell r="A4054">
            <v>37240</v>
          </cell>
          <cell r="B4054" t="str">
            <v>CORPORATION</v>
          </cell>
          <cell r="C4054" t="str">
            <v>Solda Certa Comercio De Soldas E Ferramentas Ltda</v>
          </cell>
          <cell r="D4054" t="str">
            <v>Solda Certa (Ripisoldas)</v>
          </cell>
          <cell r="E4054" t="str">
            <v>BR_CNPJ</v>
          </cell>
          <cell r="F4054" t="str">
            <v>38.438.507/0001-02</v>
          </cell>
          <cell r="G4054" t="str">
            <v>RIPISOLDAS</v>
          </cell>
        </row>
        <row r="4055">
          <cell r="A4055">
            <v>37250</v>
          </cell>
          <cell r="B4055" t="str">
            <v>CORPORATION</v>
          </cell>
          <cell r="C4055" t="str">
            <v>Rc Ferramentas E Maquinas Ltda</v>
          </cell>
          <cell r="D4055" t="str">
            <v>Karmaq</v>
          </cell>
          <cell r="E4055" t="str">
            <v>BR_CNPJ</v>
          </cell>
          <cell r="F4055" t="str">
            <v>19.652.617/0001-10</v>
          </cell>
        </row>
        <row r="4056">
          <cell r="A4056">
            <v>37256</v>
          </cell>
          <cell r="B4056" t="str">
            <v>CORPORATION</v>
          </cell>
          <cell r="C4056" t="str">
            <v>Marcelo Santos</v>
          </cell>
          <cell r="D4056" t="str">
            <v>A Casa Das Ordenhadeiras</v>
          </cell>
          <cell r="E4056" t="str">
            <v>BR_CNPJ</v>
          </cell>
          <cell r="F4056" t="str">
            <v>15.455.669/0001-45</v>
          </cell>
          <cell r="G4056" t="str">
            <v>MARCELO SANTOS</v>
          </cell>
        </row>
        <row r="4057">
          <cell r="A4057">
            <v>37258</v>
          </cell>
          <cell r="B4057" t="str">
            <v>CORPORATION</v>
          </cell>
          <cell r="C4057" t="str">
            <v>Planeta Psf Comercio De Parafusos, Soldas E Ferramentas Ltda - Me</v>
          </cell>
          <cell r="D4057" t="str">
            <v>Planeta Psf</v>
          </cell>
          <cell r="E4057" t="str">
            <v>BR_CNPJ</v>
          </cell>
          <cell r="F4057" t="str">
            <v>18.704.835/0001-98</v>
          </cell>
        </row>
        <row r="4058">
          <cell r="A4058">
            <v>37260</v>
          </cell>
          <cell r="B4058" t="str">
            <v>CORPORATION</v>
          </cell>
          <cell r="C4058" t="str">
            <v>Marcelo Santos</v>
          </cell>
          <cell r="D4058" t="str">
            <v>A Casa Das Ordenhadeiras</v>
          </cell>
          <cell r="E4058" t="str">
            <v>BR_CNPJ</v>
          </cell>
          <cell r="F4058" t="str">
            <v>15.455.669/0002-26</v>
          </cell>
          <cell r="G4058" t="str">
            <v>MARCELO SANTOS</v>
          </cell>
        </row>
        <row r="4059">
          <cell r="A4059">
            <v>37263</v>
          </cell>
          <cell r="B4059" t="str">
            <v>CORPORATION</v>
          </cell>
          <cell r="C4059" t="str">
            <v>Leite Vasconcelos E Cia Ltda</v>
          </cell>
          <cell r="D4059" t="str">
            <v>Leite Vasconcelos</v>
          </cell>
          <cell r="E4059" t="str">
            <v>BR_CNPJ</v>
          </cell>
          <cell r="F4059" t="str">
            <v>20.204.760/0001-28</v>
          </cell>
          <cell r="G4059" t="str">
            <v>LEITE VASCONCELOS</v>
          </cell>
        </row>
        <row r="4060">
          <cell r="A4060">
            <v>37264</v>
          </cell>
          <cell r="B4060" t="str">
            <v>CORPORATION</v>
          </cell>
          <cell r="C4060" t="str">
            <v>Kakazu Comercio De Ferro E Aluminio Ltda</v>
          </cell>
          <cell r="D4060" t="str">
            <v>Facom</v>
          </cell>
          <cell r="E4060" t="str">
            <v>BR_CNPJ</v>
          </cell>
          <cell r="F4060" t="str">
            <v>04.222.166/0001-03</v>
          </cell>
          <cell r="G4060" t="str">
            <v>FACOM COMERCIO</v>
          </cell>
        </row>
        <row r="4061">
          <cell r="A4061">
            <v>37267</v>
          </cell>
          <cell r="B4061" t="str">
            <v>CORPORATION</v>
          </cell>
          <cell r="C4061" t="str">
            <v>Edumon Soldas Especiais Ltda</v>
          </cell>
          <cell r="D4061" t="str">
            <v>Edumon Soldas Especiais</v>
          </cell>
          <cell r="E4061" t="str">
            <v>BR_CNPJ</v>
          </cell>
          <cell r="F4061" t="str">
            <v>13.334.395/0001-00</v>
          </cell>
        </row>
        <row r="4062">
          <cell r="A4062">
            <v>37269</v>
          </cell>
          <cell r="B4062" t="str">
            <v>CORPORATION</v>
          </cell>
          <cell r="C4062" t="str">
            <v>Eduardo Queiroz Braga</v>
          </cell>
          <cell r="D4062" t="str">
            <v>Eduardo Queiroz Braga</v>
          </cell>
          <cell r="E4062" t="str">
            <v>BR_CNPJ</v>
          </cell>
          <cell r="F4062" t="str">
            <v>30.748.380/0001-08</v>
          </cell>
        </row>
        <row r="4063">
          <cell r="A4063">
            <v>37271</v>
          </cell>
          <cell r="B4063" t="str">
            <v>CORPORATION</v>
          </cell>
          <cell r="C4063" t="str">
            <v>Oxi-Araras Comercio E Transportes Ltda</v>
          </cell>
          <cell r="D4063" t="str">
            <v>Oxi-Araras Comercio E Transportes Ltda</v>
          </cell>
          <cell r="E4063" t="str">
            <v>BR_CNPJ</v>
          </cell>
          <cell r="F4063" t="str">
            <v>05.277.684/0001-97</v>
          </cell>
        </row>
        <row r="4064">
          <cell r="A4064">
            <v>37276</v>
          </cell>
          <cell r="B4064" t="str">
            <v>CORPORATION</v>
          </cell>
          <cell r="C4064" t="str">
            <v>Paulo De Oliveira Vieira 17345201759</v>
          </cell>
          <cell r="D4064" t="str">
            <v>Paulo Eletronicos</v>
          </cell>
          <cell r="E4064" t="str">
            <v>BR_CNPJ</v>
          </cell>
          <cell r="F4064" t="str">
            <v>44.475.841/0001-20</v>
          </cell>
        </row>
        <row r="4065">
          <cell r="A4065">
            <v>37281</v>
          </cell>
          <cell r="B4065" t="str">
            <v>CORPORATION</v>
          </cell>
          <cell r="C4065" t="str">
            <v>Fernanda Goncalves Modena Santos 33660338869</v>
          </cell>
          <cell r="D4065" t="str">
            <v>Master Tacografos</v>
          </cell>
          <cell r="E4065" t="str">
            <v>BR_CNPJ</v>
          </cell>
          <cell r="F4065" t="str">
            <v>20.468.132/0001-50</v>
          </cell>
        </row>
        <row r="4066">
          <cell r="A4066">
            <v>37284</v>
          </cell>
          <cell r="B4066" t="str">
            <v>CORPORATION</v>
          </cell>
          <cell r="C4066" t="str">
            <v>Distribuidora De Ferramentas Stanley Ltda</v>
          </cell>
          <cell r="D4066" t="str">
            <v>Distribuidora Stanley</v>
          </cell>
          <cell r="E4066" t="str">
            <v>BR_CNPJ</v>
          </cell>
          <cell r="F4066" t="str">
            <v>29.364.961/0001-67</v>
          </cell>
        </row>
        <row r="4067">
          <cell r="A4067">
            <v>37288</v>
          </cell>
          <cell r="B4067" t="str">
            <v>CORPORATION</v>
          </cell>
          <cell r="C4067" t="str">
            <v>Francisco Soares Rodrigues Ferragens</v>
          </cell>
          <cell r="D4067" t="str">
            <v>Casa Beija Flor</v>
          </cell>
          <cell r="E4067" t="str">
            <v>BR_CNPJ</v>
          </cell>
          <cell r="F4067" t="str">
            <v>01.884.047/0001-28</v>
          </cell>
        </row>
        <row r="4068">
          <cell r="A4068">
            <v>37295</v>
          </cell>
          <cell r="B4068" t="str">
            <v>CORPORATION</v>
          </cell>
          <cell r="C4068" t="str">
            <v>Comercial Hcj De Produtos De Seguranca Eletronica Ltda</v>
          </cell>
          <cell r="D4068" t="str">
            <v>Comercial Hcj</v>
          </cell>
          <cell r="E4068" t="str">
            <v>BR_CNPJ</v>
          </cell>
          <cell r="F4068" t="str">
            <v>05.965.076/0001-75</v>
          </cell>
          <cell r="G4068" t="str">
            <v>HCJ</v>
          </cell>
        </row>
        <row r="4069">
          <cell r="A4069">
            <v>37296</v>
          </cell>
          <cell r="B4069" t="str">
            <v>CORPORATION</v>
          </cell>
          <cell r="C4069" t="str">
            <v>Edineide De F. Vasques Brito Comercio E Servicos</v>
          </cell>
          <cell r="D4069" t="str">
            <v>Geratek</v>
          </cell>
          <cell r="E4069" t="str">
            <v>BR_CNPJ</v>
          </cell>
          <cell r="F4069" t="str">
            <v>31.261.184/0001-77</v>
          </cell>
        </row>
        <row r="4070">
          <cell r="A4070">
            <v>37298</v>
          </cell>
          <cell r="B4070" t="str">
            <v>CORPORATION</v>
          </cell>
          <cell r="C4070" t="str">
            <v>Comercial Ferrara Ltda-Epp</v>
          </cell>
          <cell r="D4070" t="str">
            <v>Comercial Ferrara</v>
          </cell>
          <cell r="E4070" t="str">
            <v>BR_CNPJ</v>
          </cell>
          <cell r="F4070" t="str">
            <v>44.211.845/0001-00</v>
          </cell>
          <cell r="G4070" t="str">
            <v>FERRARA</v>
          </cell>
        </row>
        <row r="4071">
          <cell r="A4071">
            <v>37300</v>
          </cell>
          <cell r="B4071" t="str">
            <v>CORPORATION</v>
          </cell>
          <cell r="C4071" t="str">
            <v>H.A.H. Sena</v>
          </cell>
          <cell r="D4071" t="str">
            <v>Espaco Solda Comercio E Serv.Em Pneumatica E Hidraulica</v>
          </cell>
          <cell r="E4071" t="str">
            <v>BR_CNPJ</v>
          </cell>
          <cell r="F4071" t="str">
            <v>26.018.613/0001-40</v>
          </cell>
          <cell r="G4071" t="str">
            <v>ESPAÇO SOLDA</v>
          </cell>
        </row>
        <row r="4072">
          <cell r="A4072">
            <v>37301</v>
          </cell>
          <cell r="B4072" t="str">
            <v>CORPORATION</v>
          </cell>
          <cell r="C4072" t="str">
            <v>Vg Shop Comercio On Line Eireli - Epp</v>
          </cell>
          <cell r="D4072" t="str">
            <v>Vg Shop Comercio On Line</v>
          </cell>
          <cell r="E4072" t="str">
            <v>BR_CNPJ</v>
          </cell>
          <cell r="F4072" t="str">
            <v>16.857.384/0001-01</v>
          </cell>
          <cell r="G4072" t="str">
            <v>VG SHOP</v>
          </cell>
        </row>
        <row r="4073">
          <cell r="A4073">
            <v>37304</v>
          </cell>
          <cell r="B4073" t="str">
            <v>CORPORATION</v>
          </cell>
          <cell r="C4073" t="str">
            <v>Medeiros &amp; Santana Representacoes Ltda</v>
          </cell>
          <cell r="D4073" t="str">
            <v>Medeiros &amp; Santana</v>
          </cell>
          <cell r="E4073" t="str">
            <v>BR_CNPJ</v>
          </cell>
          <cell r="F4073" t="str">
            <v>04.649.305/0001-80</v>
          </cell>
        </row>
        <row r="4074">
          <cell r="A4074">
            <v>37305</v>
          </cell>
          <cell r="B4074" t="str">
            <v>CORPORATION</v>
          </cell>
          <cell r="C4074" t="str">
            <v>Ferramentas Passense Ltda</v>
          </cell>
          <cell r="D4074" t="str">
            <v>Ferramentas Passense Ltda</v>
          </cell>
          <cell r="E4074" t="str">
            <v>BR_CNPJ</v>
          </cell>
          <cell r="F4074" t="str">
            <v>45.234.627/0001-45</v>
          </cell>
          <cell r="G4074" t="str">
            <v>ED MAQ</v>
          </cell>
        </row>
        <row r="4075">
          <cell r="A4075">
            <v>37309</v>
          </cell>
          <cell r="B4075" t="str">
            <v>CORPORATION</v>
          </cell>
          <cell r="C4075" t="str">
            <v>Danpler Comercio E Manutencao De Maquinas Eletricas Ltda - Me</v>
          </cell>
          <cell r="D4075" t="str">
            <v>Danpler Comercio</v>
          </cell>
          <cell r="E4075" t="str">
            <v>BR_CNPJ</v>
          </cell>
          <cell r="F4075" t="str">
            <v>11.772.941/0001-60</v>
          </cell>
          <cell r="G4075" t="str">
            <v>DANPLER</v>
          </cell>
        </row>
        <row r="4076">
          <cell r="A4076">
            <v>37315</v>
          </cell>
          <cell r="B4076" t="str">
            <v>CORPORATION</v>
          </cell>
          <cell r="C4076" t="str">
            <v>Mercadao Das Ferramentas Ltda</v>
          </cell>
          <cell r="D4076" t="str">
            <v>Mercadao Das Ferramentas</v>
          </cell>
          <cell r="E4076" t="str">
            <v>BR_CNPJ</v>
          </cell>
          <cell r="F4076" t="str">
            <v>27.589.762/0001-21</v>
          </cell>
        </row>
        <row r="4077">
          <cell r="A4077">
            <v>37316</v>
          </cell>
          <cell r="B4077" t="str">
            <v>CORPORATION</v>
          </cell>
          <cell r="C4077" t="str">
            <v>Antonio Fernando Marchi Ltda</v>
          </cell>
          <cell r="D4077" t="str">
            <v>Comercial Eletro Marchi</v>
          </cell>
          <cell r="E4077" t="str">
            <v>BR_CNPJ</v>
          </cell>
          <cell r="F4077" t="str">
            <v>59.604.231/0001-57</v>
          </cell>
        </row>
        <row r="4078">
          <cell r="A4078">
            <v>37318</v>
          </cell>
          <cell r="B4078" t="str">
            <v>CORPORATION</v>
          </cell>
          <cell r="C4078" t="str">
            <v>Andre De Sousa Fialho Ferramentas</v>
          </cell>
          <cell r="D4078" t="str">
            <v>A.S.F Comércio De Maquinas (As Ferramentas)</v>
          </cell>
          <cell r="E4078" t="str">
            <v>BR_CNPJ</v>
          </cell>
          <cell r="F4078" t="str">
            <v>18.206.635/0001-05</v>
          </cell>
        </row>
        <row r="4079">
          <cell r="A4079">
            <v>37319</v>
          </cell>
          <cell r="B4079" t="str">
            <v>CORPORATION</v>
          </cell>
          <cell r="C4079" t="str">
            <v>Dx De Nova Friburgo Comercio De Metais E Acessorios Ltda</v>
          </cell>
          <cell r="D4079" t="str">
            <v>Dx De Nova Friburgo Comercio De Metais E Acessorios Ltda</v>
          </cell>
          <cell r="E4079" t="str">
            <v>BR_CNPJ</v>
          </cell>
          <cell r="F4079" t="str">
            <v>30.545.688/0001-56</v>
          </cell>
          <cell r="G4079" t="str">
            <v>DAFEL</v>
          </cell>
        </row>
        <row r="4080">
          <cell r="A4080">
            <v>37324</v>
          </cell>
          <cell r="B4080" t="str">
            <v>CORPORATION</v>
          </cell>
          <cell r="C4080" t="str">
            <v>Mercantil Ponto Certo Ltda</v>
          </cell>
          <cell r="D4080" t="str">
            <v>Mercantil Ponto Certo</v>
          </cell>
          <cell r="E4080" t="str">
            <v>BR_CNPJ</v>
          </cell>
          <cell r="F4080" t="str">
            <v>25.885.393/0007-84</v>
          </cell>
        </row>
        <row r="4081">
          <cell r="A4081">
            <v>37327</v>
          </cell>
          <cell r="B4081" t="str">
            <v>CORPORATION</v>
          </cell>
          <cell r="C4081" t="str">
            <v>Lyra &amp; Zardo Ltda</v>
          </cell>
          <cell r="D4081" t="str">
            <v>Casa Das Mangueiras</v>
          </cell>
          <cell r="E4081" t="str">
            <v>BR_CNPJ</v>
          </cell>
          <cell r="F4081" t="str">
            <v>08.308.583/0001-24</v>
          </cell>
        </row>
        <row r="4082">
          <cell r="A4082">
            <v>37332</v>
          </cell>
          <cell r="B4082" t="str">
            <v>CORPORATION</v>
          </cell>
          <cell r="C4082" t="str">
            <v>Nutriguacu Agropecuaria Ltda</v>
          </cell>
          <cell r="D4082" t="str">
            <v>Nutriguacu Agropecuaria (Triaca)</v>
          </cell>
          <cell r="E4082" t="str">
            <v>BR_CNPJ</v>
          </cell>
          <cell r="F4082" t="str">
            <v>80.333.305/0001-54</v>
          </cell>
          <cell r="G4082" t="str">
            <v>TRIACA</v>
          </cell>
        </row>
        <row r="4083">
          <cell r="A4083">
            <v>37334</v>
          </cell>
          <cell r="B4083" t="str">
            <v>CORPORATION</v>
          </cell>
          <cell r="C4083" t="str">
            <v>Up Connection Comercio Eletronico Eireli</v>
          </cell>
          <cell r="D4083" t="str">
            <v>Up Connection (Hcj)</v>
          </cell>
          <cell r="E4083" t="str">
            <v>BR_CNPJ</v>
          </cell>
          <cell r="F4083" t="str">
            <v>16.678.408/0001-57</v>
          </cell>
          <cell r="G4083" t="str">
            <v>HCJ</v>
          </cell>
        </row>
        <row r="4084">
          <cell r="A4084">
            <v>37341</v>
          </cell>
          <cell r="B4084" t="str">
            <v>CORPORATION</v>
          </cell>
          <cell r="C4084" t="str">
            <v>Tamoyo Comercio De Ferramentas E Ferragens Ltda</v>
          </cell>
          <cell r="D4084" t="str">
            <v>Tamoyo Comercio De Ferramentas E Ferragens Ltda</v>
          </cell>
          <cell r="E4084" t="str">
            <v>BR_CNPJ</v>
          </cell>
          <cell r="F4084" t="str">
            <v>76.842.285/0006-84</v>
          </cell>
        </row>
        <row r="4085">
          <cell r="A4085">
            <v>37342</v>
          </cell>
          <cell r="B4085" t="str">
            <v>CORPORATION</v>
          </cell>
          <cell r="C4085" t="str">
            <v>S. D. Bonfim Eireli</v>
          </cell>
          <cell r="D4085" t="str">
            <v>S. D. Bonfim</v>
          </cell>
          <cell r="E4085" t="str">
            <v>BR_CNPJ</v>
          </cell>
          <cell r="F4085" t="str">
            <v>26.522.004/0001-23</v>
          </cell>
        </row>
        <row r="4086">
          <cell r="A4086">
            <v>37346</v>
          </cell>
          <cell r="B4086" t="str">
            <v>CORPORATION</v>
          </cell>
          <cell r="C4086" t="str">
            <v>Mak Ferramentas E Pecas Ltda</v>
          </cell>
          <cell r="D4086" t="str">
            <v>Mak Ferramentas</v>
          </cell>
          <cell r="E4086" t="str">
            <v>BR_CNPJ</v>
          </cell>
          <cell r="F4086" t="str">
            <v>20.553.014/0001-40</v>
          </cell>
          <cell r="G4086" t="str">
            <v>MAK FERRAMENTAS</v>
          </cell>
        </row>
        <row r="4087">
          <cell r="A4087">
            <v>37355</v>
          </cell>
          <cell r="B4087" t="str">
            <v>CORPORATION</v>
          </cell>
          <cell r="C4087" t="str">
            <v>Amazonas Parafusos &amp; Ferramentas Ltda</v>
          </cell>
          <cell r="D4087" t="str">
            <v>Amazonas Parafusos</v>
          </cell>
          <cell r="E4087" t="str">
            <v>BR_CNPJ</v>
          </cell>
          <cell r="F4087" t="str">
            <v>17.370.059/0001-74</v>
          </cell>
        </row>
        <row r="4088">
          <cell r="A4088">
            <v>37358</v>
          </cell>
          <cell r="B4088" t="str">
            <v>CORPORATION</v>
          </cell>
          <cell r="C4088" t="str">
            <v>Marra &amp; Cia Ltda</v>
          </cell>
          <cell r="D4088" t="str">
            <v>Casa Maia</v>
          </cell>
          <cell r="E4088" t="str">
            <v>BR_CNPJ</v>
          </cell>
          <cell r="F4088" t="str">
            <v>55.330.989/0001-93</v>
          </cell>
        </row>
        <row r="4089">
          <cell r="A4089">
            <v>37364</v>
          </cell>
          <cell r="B4089" t="str">
            <v>CORPORATION</v>
          </cell>
          <cell r="C4089" t="str">
            <v>Mw Comercio De Materiais Para Soldas Em Geral Ltda</v>
          </cell>
          <cell r="D4089" t="str">
            <v>Mw Soldas</v>
          </cell>
          <cell r="E4089" t="str">
            <v>BR_CNPJ</v>
          </cell>
          <cell r="F4089" t="str">
            <v>57.231.748/0001-12</v>
          </cell>
        </row>
        <row r="4090">
          <cell r="A4090">
            <v>37366</v>
          </cell>
          <cell r="B4090" t="str">
            <v>CORPORATION</v>
          </cell>
          <cell r="C4090" t="str">
            <v>Evc Comercio De Utensilios E Ferramentas Ltda</v>
          </cell>
          <cell r="D4090" t="str">
            <v>Correia Utilidades E Ferramentas</v>
          </cell>
          <cell r="E4090" t="str">
            <v>BR_CNPJ</v>
          </cell>
          <cell r="F4090" t="str">
            <v>35.759.002/0001-43</v>
          </cell>
        </row>
        <row r="4091">
          <cell r="A4091">
            <v>37368</v>
          </cell>
          <cell r="B4091" t="str">
            <v>CORPORATION</v>
          </cell>
          <cell r="C4091" t="str">
            <v>Lenafer Comercio De Ferramentas Eireli</v>
          </cell>
          <cell r="D4091" t="str">
            <v>Colin'S</v>
          </cell>
          <cell r="E4091" t="str">
            <v>BR_CNPJ</v>
          </cell>
          <cell r="F4091" t="str">
            <v>29.570.245/0001-36</v>
          </cell>
          <cell r="G4091" t="str">
            <v>COLIN'S</v>
          </cell>
        </row>
        <row r="4092">
          <cell r="A4092">
            <v>37372</v>
          </cell>
          <cell r="B4092" t="str">
            <v>CORPORATION</v>
          </cell>
          <cell r="C4092" t="str">
            <v>R.L.Da Silva Material De Construcao</v>
          </cell>
          <cell r="D4092" t="str">
            <v>Material De Construcao Rud Rei</v>
          </cell>
          <cell r="E4092" t="str">
            <v>BR_CNPJ</v>
          </cell>
          <cell r="F4092" t="str">
            <v>04.776.809/0001-60</v>
          </cell>
        </row>
        <row r="4093">
          <cell r="A4093">
            <v>37383</v>
          </cell>
          <cell r="B4093" t="str">
            <v>CORPORATION</v>
          </cell>
          <cell r="C4093" t="str">
            <v>Personale Store Comercio Eletronico Ltda</v>
          </cell>
          <cell r="D4093" t="str">
            <v>Personale Magazine</v>
          </cell>
          <cell r="E4093" t="str">
            <v>BR_CNPJ</v>
          </cell>
          <cell r="F4093" t="str">
            <v>37.939.521/0001-19</v>
          </cell>
        </row>
        <row r="4094">
          <cell r="A4094">
            <v>37387</v>
          </cell>
          <cell r="B4094" t="str">
            <v>CORPORATION</v>
          </cell>
          <cell r="C4094" t="str">
            <v>Luis Lauro Moura Da Silva 42349434877</v>
          </cell>
          <cell r="D4094" t="str">
            <v>Casa Da Luva</v>
          </cell>
          <cell r="E4094" t="str">
            <v>BR_CNPJ</v>
          </cell>
          <cell r="F4094" t="str">
            <v>23.658.262/0001-43</v>
          </cell>
          <cell r="G4094" t="str">
            <v>CASA DA LUVA</v>
          </cell>
        </row>
        <row r="4095">
          <cell r="A4095">
            <v>37391</v>
          </cell>
          <cell r="B4095" t="str">
            <v>CORPORATION</v>
          </cell>
          <cell r="C4095" t="str">
            <v>B.C. Da Costa Pantoja</v>
          </cell>
          <cell r="D4095" t="str">
            <v>Top Mix</v>
          </cell>
          <cell r="E4095" t="str">
            <v>BR_CNPJ</v>
          </cell>
          <cell r="F4095" t="str">
            <v>08.109.360/0001-38</v>
          </cell>
        </row>
        <row r="4096">
          <cell r="A4096">
            <v>37395</v>
          </cell>
          <cell r="B4096" t="str">
            <v>CORPORATION</v>
          </cell>
          <cell r="C4096" t="str">
            <v>Casa Ferro Comercial De Ferragens Ltda</v>
          </cell>
          <cell r="D4096" t="str">
            <v>Casa Ferro</v>
          </cell>
          <cell r="E4096" t="str">
            <v>BR_CNPJ</v>
          </cell>
          <cell r="F4096" t="str">
            <v>01.210.925/0001-20</v>
          </cell>
        </row>
        <row r="4097">
          <cell r="A4097">
            <v>37397</v>
          </cell>
          <cell r="B4097" t="str">
            <v>CORPORATION</v>
          </cell>
          <cell r="C4097" t="str">
            <v>J.C Santos - Me</v>
          </cell>
          <cell r="D4097" t="str">
            <v>Maksantos Ferramentas</v>
          </cell>
          <cell r="E4097" t="str">
            <v>BR_CNPJ</v>
          </cell>
          <cell r="F4097" t="str">
            <v>17.126.316/0001-27</v>
          </cell>
          <cell r="G4097" t="str">
            <v>MAKSANTOS</v>
          </cell>
        </row>
        <row r="4098">
          <cell r="A4098">
            <v>37399</v>
          </cell>
          <cell r="B4098" t="str">
            <v>CORPORATION</v>
          </cell>
          <cell r="C4098" t="str">
            <v>Julio Cesar De Faria</v>
          </cell>
          <cell r="D4098" t="str">
            <v>Casa Faria</v>
          </cell>
          <cell r="E4098" t="str">
            <v>BR_CNPJ</v>
          </cell>
          <cell r="F4098" t="str">
            <v>41.429.748/0001-91</v>
          </cell>
        </row>
        <row r="4099">
          <cell r="A4099">
            <v>37403</v>
          </cell>
          <cell r="B4099" t="str">
            <v>CORPORATION</v>
          </cell>
          <cell r="C4099" t="str">
            <v>Silbren Ferramentas, Parafusos E Ferragens Ltda</v>
          </cell>
          <cell r="D4099" t="str">
            <v>Silbren Ferramentas</v>
          </cell>
          <cell r="E4099" t="str">
            <v>BR_CNPJ</v>
          </cell>
          <cell r="F4099" t="str">
            <v>19.997.760/0001-43</v>
          </cell>
        </row>
        <row r="4100">
          <cell r="A4100">
            <v>37405</v>
          </cell>
          <cell r="B4100" t="str">
            <v>CORPORATION</v>
          </cell>
          <cell r="C4100" t="str">
            <v>A.O. Bertolim Materiais Para Construcao Ltda</v>
          </cell>
          <cell r="D4100" t="str">
            <v>A.O. Bertolim Materiais Para Construcao</v>
          </cell>
          <cell r="E4100" t="str">
            <v>BR_CNPJ</v>
          </cell>
          <cell r="F4100" t="str">
            <v>06.745.738/0001-64</v>
          </cell>
        </row>
        <row r="4101">
          <cell r="A4101">
            <v>37411</v>
          </cell>
          <cell r="B4101" t="str">
            <v>CORPORATION</v>
          </cell>
          <cell r="C4101" t="str">
            <v>M&amp;M Materiais De Construcao Ltda</v>
          </cell>
          <cell r="D4101" t="str">
            <v>M&amp;M Materiais De Construcao</v>
          </cell>
          <cell r="E4101" t="str">
            <v>BR_CNPJ</v>
          </cell>
          <cell r="F4101" t="str">
            <v>28.718.805/0001-94</v>
          </cell>
        </row>
        <row r="4102">
          <cell r="A4102">
            <v>37416</v>
          </cell>
          <cell r="B4102" t="str">
            <v>CORPORATION</v>
          </cell>
          <cell r="C4102" t="str">
            <v>Comercial Collina De Ferragens Ltda</v>
          </cell>
          <cell r="D4102" t="str">
            <v>Comercial Collina De Ferragens</v>
          </cell>
          <cell r="E4102" t="str">
            <v>BR_CNPJ</v>
          </cell>
          <cell r="F4102" t="str">
            <v>56.207.442/0001-68</v>
          </cell>
        </row>
        <row r="4103">
          <cell r="A4103">
            <v>37418</v>
          </cell>
          <cell r="B4103" t="str">
            <v>CORPORATION</v>
          </cell>
          <cell r="C4103" t="str">
            <v>Squadra Do Brasil Distribuidora De Equipamentos Ltda</v>
          </cell>
          <cell r="D4103" t="str">
            <v>Squadra Do Brasil</v>
          </cell>
          <cell r="E4103" t="str">
            <v>BR_CNPJ</v>
          </cell>
          <cell r="F4103" t="str">
            <v>30.037.851/0001-70</v>
          </cell>
        </row>
        <row r="4104">
          <cell r="A4104">
            <v>37421</v>
          </cell>
          <cell r="B4104" t="str">
            <v>CORPORATION</v>
          </cell>
          <cell r="C4104" t="str">
            <v>Coplana - Cooperativa Agroindustrial</v>
          </cell>
          <cell r="D4104" t="str">
            <v>Coplana</v>
          </cell>
          <cell r="E4104" t="str">
            <v>BR_CNPJ</v>
          </cell>
          <cell r="F4104" t="str">
            <v>48.662.175/0010-81</v>
          </cell>
        </row>
        <row r="4105">
          <cell r="A4105">
            <v>37422</v>
          </cell>
          <cell r="B4105" t="str">
            <v>CORPORATION</v>
          </cell>
          <cell r="C4105" t="str">
            <v>Gransoldas - Automacao E Suprimentos Industriais Ltda</v>
          </cell>
          <cell r="D4105" t="str">
            <v>Gransoldas</v>
          </cell>
          <cell r="E4105" t="str">
            <v>BR_CNPJ</v>
          </cell>
          <cell r="F4105" t="str">
            <v>17.188.443/0001-50</v>
          </cell>
        </row>
        <row r="4106">
          <cell r="A4106">
            <v>37425</v>
          </cell>
          <cell r="B4106" t="str">
            <v>CORPORATION</v>
          </cell>
          <cell r="C4106" t="str">
            <v>Importec Comercial Ltda</v>
          </cell>
          <cell r="D4106" t="str">
            <v>Importec</v>
          </cell>
          <cell r="E4106" t="str">
            <v>BR_CNPJ</v>
          </cell>
          <cell r="F4106" t="str">
            <v>29.313.290/0001-05</v>
          </cell>
        </row>
        <row r="4107">
          <cell r="A4107">
            <v>37429</v>
          </cell>
          <cell r="B4107" t="str">
            <v>CORPORATION</v>
          </cell>
          <cell r="C4107" t="str">
            <v>Lba Comercio De Abrasivos Ltda</v>
          </cell>
          <cell r="D4107" t="str">
            <v>Solda Sul</v>
          </cell>
          <cell r="E4107" t="str">
            <v>BR_CNPJ</v>
          </cell>
          <cell r="F4107" t="str">
            <v>12.683.889/0001-38</v>
          </cell>
        </row>
        <row r="4108">
          <cell r="A4108">
            <v>37432</v>
          </cell>
          <cell r="B4108" t="str">
            <v>CORPORATION</v>
          </cell>
          <cell r="C4108" t="str">
            <v>Jorge Mussa Ferragens Ltda</v>
          </cell>
          <cell r="D4108" t="str">
            <v>Jorge Mussa Ferragens</v>
          </cell>
          <cell r="E4108" t="str">
            <v>BR_CNPJ</v>
          </cell>
          <cell r="F4108" t="str">
            <v>04.805.081/0001-58</v>
          </cell>
        </row>
        <row r="4109">
          <cell r="A4109">
            <v>37433</v>
          </cell>
          <cell r="B4109" t="str">
            <v>CORPORATION</v>
          </cell>
          <cell r="C4109" t="str">
            <v>Fadel Materiais Para Construcao Ltda</v>
          </cell>
          <cell r="D4109" t="str">
            <v>Fadel Materiais Para Construcao</v>
          </cell>
          <cell r="E4109" t="str">
            <v>BR_CNPJ</v>
          </cell>
          <cell r="F4109" t="str">
            <v>44.768.299/0001-02</v>
          </cell>
        </row>
        <row r="4110">
          <cell r="A4110">
            <v>37435</v>
          </cell>
          <cell r="B4110" t="str">
            <v>CORPORATION</v>
          </cell>
          <cell r="C4110" t="str">
            <v>Joninho R. Da Silva</v>
          </cell>
          <cell r="D4110" t="str">
            <v>Motormaquinas</v>
          </cell>
          <cell r="E4110" t="str">
            <v>BR_CNPJ</v>
          </cell>
          <cell r="F4110" t="str">
            <v>10.652.867/0001-85</v>
          </cell>
        </row>
        <row r="4111">
          <cell r="A4111">
            <v>37438</v>
          </cell>
          <cell r="B4111" t="str">
            <v>CORPORATION</v>
          </cell>
          <cell r="C4111" t="str">
            <v>Fastenal Brasil Importacao, Exportacao E Distribuicao Ltda</v>
          </cell>
          <cell r="D4111" t="str">
            <v>Fastenal</v>
          </cell>
          <cell r="E4111" t="str">
            <v>BR_CNPJ</v>
          </cell>
          <cell r="F4111" t="str">
            <v>13.182.443/0015-98</v>
          </cell>
          <cell r="G4111" t="str">
            <v>FASTENAL</v>
          </cell>
        </row>
        <row r="4112">
          <cell r="A4112">
            <v>37440</v>
          </cell>
          <cell r="B4112" t="str">
            <v>CORPORATION</v>
          </cell>
          <cell r="C4112" t="str">
            <v>Ampla Comercial De Equipamentos E Servicos Ltda</v>
          </cell>
          <cell r="D4112" t="str">
            <v>Dje Comercial</v>
          </cell>
          <cell r="E4112" t="str">
            <v>BR_CNPJ</v>
          </cell>
          <cell r="F4112" t="str">
            <v>04.291.877/0001-30</v>
          </cell>
        </row>
        <row r="4113">
          <cell r="A4113">
            <v>37443</v>
          </cell>
          <cell r="B4113" t="str">
            <v>CORPORATION</v>
          </cell>
          <cell r="C4113" t="str">
            <v>San Da Silva Enxovais</v>
          </cell>
          <cell r="D4113" t="str">
            <v>Pimenta</v>
          </cell>
          <cell r="E4113" t="str">
            <v>BR_CNPJ</v>
          </cell>
          <cell r="F4113" t="str">
            <v>30.008.084/0001-70</v>
          </cell>
          <cell r="G4113" t="str">
            <v>PIMENTA</v>
          </cell>
        </row>
        <row r="4114">
          <cell r="A4114">
            <v>37449</v>
          </cell>
          <cell r="B4114" t="str">
            <v>CORPORATION</v>
          </cell>
          <cell r="C4114" t="str">
            <v>Movi Comercio E Manutencao De Maquinas Ltda</v>
          </cell>
          <cell r="D4114" t="str">
            <v>Movi Soldas</v>
          </cell>
          <cell r="E4114" t="str">
            <v>BR_CNPJ</v>
          </cell>
          <cell r="F4114" t="str">
            <v>17.752.308/0001-96</v>
          </cell>
        </row>
        <row r="4115">
          <cell r="A4115">
            <v>37456</v>
          </cell>
          <cell r="B4115" t="str">
            <v>CORPORATION</v>
          </cell>
          <cell r="C4115" t="str">
            <v>Danielle Sa Comercio E Servicos De Manutencao De Maquinas E Ferramentas Eireli</v>
          </cell>
          <cell r="D4115" t="str">
            <v>Magazine Dani</v>
          </cell>
          <cell r="E4115" t="str">
            <v>BR_CNPJ</v>
          </cell>
          <cell r="F4115" t="str">
            <v>22.657.034/0001-96</v>
          </cell>
        </row>
        <row r="4116">
          <cell r="A4116">
            <v>37460</v>
          </cell>
          <cell r="B4116" t="str">
            <v>CORPORATION</v>
          </cell>
          <cell r="C4116" t="str">
            <v>Jaques &amp; Coutinho Comercial Ltda</v>
          </cell>
          <cell r="D4116" t="str">
            <v>J&amp;C Comercial</v>
          </cell>
          <cell r="E4116" t="str">
            <v>BR_CNPJ</v>
          </cell>
          <cell r="F4116" t="str">
            <v>20.173.116/0001-30</v>
          </cell>
        </row>
        <row r="4117">
          <cell r="A4117">
            <v>37467</v>
          </cell>
          <cell r="B4117" t="str">
            <v>CORPORATION</v>
          </cell>
          <cell r="C4117" t="str">
            <v>Sandro Dos Santos Borges Guimaraes</v>
          </cell>
          <cell r="D4117" t="str">
            <v>Metalurgica Borges</v>
          </cell>
          <cell r="E4117" t="str">
            <v>BR_CNPJ</v>
          </cell>
          <cell r="F4117" t="str">
            <v>22.352.435/0001-38</v>
          </cell>
        </row>
        <row r="4118">
          <cell r="A4118">
            <v>37481</v>
          </cell>
          <cell r="B4118" t="str">
            <v>CORPORATION</v>
          </cell>
          <cell r="C4118" t="str">
            <v>E3 Shop Comercio Digital Eireli</v>
          </cell>
          <cell r="D4118" t="str">
            <v>E3 Shop</v>
          </cell>
          <cell r="E4118" t="str">
            <v>BR_CNPJ</v>
          </cell>
          <cell r="F4118" t="str">
            <v>08.544.087/0002-50</v>
          </cell>
          <cell r="G4118" t="str">
            <v>E3 SHOP</v>
          </cell>
        </row>
        <row r="4119">
          <cell r="A4119">
            <v>37484</v>
          </cell>
          <cell r="B4119" t="str">
            <v>CORPORATION</v>
          </cell>
          <cell r="C4119" t="str">
            <v>A. C. Rozin Ferramentas</v>
          </cell>
          <cell r="D4119" t="str">
            <v>Soldabras</v>
          </cell>
          <cell r="E4119" t="str">
            <v>BR_CNPJ</v>
          </cell>
          <cell r="F4119" t="str">
            <v>05.924.523/0001-48</v>
          </cell>
        </row>
        <row r="4120">
          <cell r="A4120">
            <v>37489</v>
          </cell>
          <cell r="B4120" t="str">
            <v>CORPORATION</v>
          </cell>
          <cell r="C4120" t="str">
            <v>S.K. El Didi - Ferragens</v>
          </cell>
          <cell r="D4120" t="str">
            <v>Loja Virtual / Xpress</v>
          </cell>
          <cell r="E4120" t="str">
            <v>BR_CNPJ</v>
          </cell>
          <cell r="F4120" t="str">
            <v>27.055.199/0001-01</v>
          </cell>
        </row>
        <row r="4121">
          <cell r="A4121">
            <v>37492</v>
          </cell>
          <cell r="B4121" t="str">
            <v>CORPORATION</v>
          </cell>
          <cell r="C4121" t="str">
            <v>Deposito De Material De Construcao Construvilla Ltda</v>
          </cell>
          <cell r="D4121" t="str">
            <v>Construvilla</v>
          </cell>
          <cell r="E4121" t="str">
            <v>BR_CNPJ</v>
          </cell>
          <cell r="F4121" t="str">
            <v>30.515.525/0001-20</v>
          </cell>
        </row>
        <row r="4122">
          <cell r="A4122">
            <v>37495</v>
          </cell>
          <cell r="B4122" t="str">
            <v>CORPORATION</v>
          </cell>
          <cell r="C4122" t="str">
            <v>Crystalmix-Gas Comercio De Materiais E Equipamentos De Gas Ltda</v>
          </cell>
          <cell r="D4122" t="str">
            <v>Crystalmix-Gas</v>
          </cell>
          <cell r="E4122" t="str">
            <v>BR_CNPJ</v>
          </cell>
          <cell r="F4122" t="str">
            <v>17.847.046/0001-43</v>
          </cell>
        </row>
        <row r="4123">
          <cell r="A4123">
            <v>37498</v>
          </cell>
          <cell r="B4123" t="str">
            <v>CORPORATION</v>
          </cell>
          <cell r="C4123" t="str">
            <v>Segtec Rondonopolis - Distribuidora De Equipamentos De Seguranca Ltda</v>
          </cell>
          <cell r="D4123" t="str">
            <v>Segtec Rondonopolis</v>
          </cell>
          <cell r="E4123" t="str">
            <v>BR_CNPJ</v>
          </cell>
          <cell r="F4123" t="str">
            <v>09.080.526/0001-01</v>
          </cell>
          <cell r="G4123" t="str">
            <v>HCJ</v>
          </cell>
        </row>
        <row r="4124">
          <cell r="A4124">
            <v>37504</v>
          </cell>
          <cell r="B4124" t="str">
            <v>CORPORATION</v>
          </cell>
          <cell r="C4124" t="str">
            <v>Amt Produtos Eletricos S.A.</v>
          </cell>
          <cell r="D4124" t="str">
            <v>Amt Produtos Eletricos S.A.</v>
          </cell>
          <cell r="E4124" t="str">
            <v>BR_CNPJ</v>
          </cell>
          <cell r="F4124" t="str">
            <v>09.622.942/0001-86</v>
          </cell>
        </row>
        <row r="4125">
          <cell r="A4125">
            <v>37509</v>
          </cell>
          <cell r="B4125" t="str">
            <v>CORPORATION</v>
          </cell>
          <cell r="C4125" t="str">
            <v>Carlos Martins De Souza Itai</v>
          </cell>
          <cell r="D4125" t="str">
            <v>Auto Elétrica São Carlos</v>
          </cell>
          <cell r="E4125" t="str">
            <v>BR_CNPJ</v>
          </cell>
          <cell r="F4125" t="str">
            <v>58.601.808/0001-04</v>
          </cell>
        </row>
        <row r="4126">
          <cell r="A4126">
            <v>37510</v>
          </cell>
          <cell r="B4126" t="str">
            <v>CORPORATION</v>
          </cell>
          <cell r="C4126" t="str">
            <v>Goncalves Materiais De Construcao Ltda</v>
          </cell>
          <cell r="D4126" t="str">
            <v>Center Goncalves</v>
          </cell>
          <cell r="E4126" t="str">
            <v>BR_CNPJ</v>
          </cell>
          <cell r="F4126" t="str">
            <v>43.943.728/0001-60</v>
          </cell>
          <cell r="G4126" t="str">
            <v>CENTER GONÇALVES</v>
          </cell>
        </row>
        <row r="4127">
          <cell r="A4127">
            <v>37521</v>
          </cell>
          <cell r="B4127" t="str">
            <v>CORPORATION</v>
          </cell>
          <cell r="C4127" t="str">
            <v>Tecnocar Comercio E Representacoes Ltda</v>
          </cell>
          <cell r="D4127" t="str">
            <v>Tecnocar</v>
          </cell>
          <cell r="E4127" t="str">
            <v>BR_CNPJ</v>
          </cell>
          <cell r="F4127" t="str">
            <v>03.531.879/0001-96</v>
          </cell>
          <cell r="G4127" t="str">
            <v>TECNOCAR</v>
          </cell>
        </row>
        <row r="4128">
          <cell r="A4128">
            <v>37523</v>
          </cell>
          <cell r="B4128" t="str">
            <v>CORPORATION</v>
          </cell>
          <cell r="C4128" t="str">
            <v>Solucao Construcao Ltda.</v>
          </cell>
          <cell r="D4128" t="str">
            <v>Solucao Construcao</v>
          </cell>
          <cell r="E4128" t="str">
            <v>BR_CNPJ</v>
          </cell>
          <cell r="F4128" t="str">
            <v>27.846.837/0001-02</v>
          </cell>
        </row>
        <row r="4129">
          <cell r="A4129">
            <v>37525</v>
          </cell>
          <cell r="B4129" t="str">
            <v>CORPORATION</v>
          </cell>
          <cell r="C4129" t="str">
            <v>Engesolda Industria E Comercio Ltda</v>
          </cell>
          <cell r="D4129" t="str">
            <v>Engesolda</v>
          </cell>
          <cell r="E4129" t="str">
            <v>BR_CNPJ</v>
          </cell>
          <cell r="F4129" t="str">
            <v>34.152.041/0001-15</v>
          </cell>
        </row>
        <row r="4130">
          <cell r="A4130">
            <v>37526</v>
          </cell>
          <cell r="B4130" t="str">
            <v>CORPORATION</v>
          </cell>
          <cell r="C4130" t="str">
            <v>Santa Julia Comercio E Representacao De Produtos Agricolas Ltda</v>
          </cell>
          <cell r="D4130" t="str">
            <v>Comatec Agro</v>
          </cell>
          <cell r="E4130" t="str">
            <v>BR_CNPJ</v>
          </cell>
          <cell r="F4130" t="str">
            <v>07.454.320/0001-60</v>
          </cell>
        </row>
        <row r="4131">
          <cell r="A4131">
            <v>37528</v>
          </cell>
          <cell r="B4131" t="str">
            <v>CORPORATION</v>
          </cell>
          <cell r="C4131" t="str">
            <v>Maquipel-Comercio De Maquinas E Pecas Ltda</v>
          </cell>
          <cell r="D4131" t="str">
            <v>Maquipel</v>
          </cell>
          <cell r="E4131" t="str">
            <v>BR_CNPJ</v>
          </cell>
          <cell r="F4131" t="str">
            <v>02.106.579/0004-40</v>
          </cell>
          <cell r="G4131" t="str">
            <v>MAQUIPEL</v>
          </cell>
        </row>
        <row r="4132">
          <cell r="A4132">
            <v>37532</v>
          </cell>
          <cell r="B4132" t="str">
            <v>CORPORATION</v>
          </cell>
          <cell r="C4132" t="str">
            <v>Centralfer Comercio De Ferramentas Eireli</v>
          </cell>
          <cell r="D4132" t="str">
            <v>Centralfer</v>
          </cell>
          <cell r="E4132" t="str">
            <v>BR_CNPJ</v>
          </cell>
          <cell r="F4132" t="str">
            <v>71.984.256/0001-29</v>
          </cell>
          <cell r="G4132" t="str">
            <v>DEMEO</v>
          </cell>
        </row>
        <row r="4133">
          <cell r="A4133">
            <v>37535</v>
          </cell>
          <cell r="B4133" t="str">
            <v>CORPORATION</v>
          </cell>
          <cell r="C4133" t="str">
            <v>Solai Automacao Industrial Ltda - Me</v>
          </cell>
          <cell r="D4133" t="str">
            <v>Solai Automacao Industrial</v>
          </cell>
          <cell r="E4133" t="str">
            <v>BR_CNPJ</v>
          </cell>
          <cell r="F4133" t="str">
            <v>13.482.241/0001-66</v>
          </cell>
        </row>
        <row r="4134">
          <cell r="A4134">
            <v>37543</v>
          </cell>
          <cell r="B4134" t="str">
            <v>CORPORATION</v>
          </cell>
          <cell r="C4134" t="str">
            <v>Norte Sudeste Tecnologia Eireli</v>
          </cell>
          <cell r="D4134" t="str">
            <v>Nse Tecnologia</v>
          </cell>
          <cell r="E4134" t="str">
            <v>BR_CNPJ</v>
          </cell>
          <cell r="F4134" t="str">
            <v>27.699.117/0001-61</v>
          </cell>
          <cell r="G4134" t="str">
            <v>HCJ</v>
          </cell>
        </row>
        <row r="4135">
          <cell r="A4135">
            <v>37544</v>
          </cell>
          <cell r="B4135" t="str">
            <v>CORPORATION</v>
          </cell>
          <cell r="C4135" t="str">
            <v>C L Coelho Comercio Representacoes</v>
          </cell>
          <cell r="D4135" t="str">
            <v>Prime Comercio E Representacoes</v>
          </cell>
          <cell r="E4135" t="str">
            <v>BR_CNPJ</v>
          </cell>
          <cell r="F4135" t="str">
            <v>24.343.114/0001-00</v>
          </cell>
        </row>
        <row r="4136">
          <cell r="A4136">
            <v>37552</v>
          </cell>
          <cell r="B4136" t="str">
            <v>CORPORATION</v>
          </cell>
          <cell r="C4136" t="str">
            <v>K Comercial De Maquinas Eireli</v>
          </cell>
          <cell r="D4136" t="str">
            <v>Kasamar</v>
          </cell>
          <cell r="E4136" t="str">
            <v>BR_CNPJ</v>
          </cell>
          <cell r="F4136" t="str">
            <v>21.533.098/0001-12</v>
          </cell>
          <cell r="G4136" t="str">
            <v>KASAMAR</v>
          </cell>
        </row>
        <row r="4137">
          <cell r="A4137">
            <v>37558</v>
          </cell>
          <cell r="B4137" t="str">
            <v>CORPORATION</v>
          </cell>
          <cell r="C4137" t="str">
            <v>Federalle Express Ltda</v>
          </cell>
          <cell r="D4137" t="str">
            <v>Federalle Express</v>
          </cell>
          <cell r="E4137" t="str">
            <v>BR_CNPJ</v>
          </cell>
          <cell r="F4137" t="str">
            <v>50.380.273/0001-87</v>
          </cell>
          <cell r="G4137" t="str">
            <v>FEDERALLE</v>
          </cell>
        </row>
        <row r="4138">
          <cell r="A4138">
            <v>37559</v>
          </cell>
          <cell r="B4138" t="str">
            <v>CORPORATION</v>
          </cell>
          <cell r="C4138" t="str">
            <v>Weld Gas Gases E Soldas Ltda</v>
          </cell>
          <cell r="D4138" t="str">
            <v>Weld Gas</v>
          </cell>
          <cell r="E4138" t="str">
            <v>BR_CNPJ</v>
          </cell>
          <cell r="F4138" t="str">
            <v>48.296.446/0001-31</v>
          </cell>
        </row>
        <row r="4139">
          <cell r="A4139">
            <v>37561</v>
          </cell>
          <cell r="B4139" t="str">
            <v>CORPORATION</v>
          </cell>
          <cell r="C4139" t="str">
            <v>Luminaco Comercial De Aco E Aluminio Ltda</v>
          </cell>
          <cell r="D4139" t="str">
            <v>Luminaco</v>
          </cell>
          <cell r="E4139" t="str">
            <v>BR_CNPJ</v>
          </cell>
          <cell r="F4139" t="str">
            <v>08.655.694/0001-07</v>
          </cell>
        </row>
        <row r="4140">
          <cell r="A4140">
            <v>37562</v>
          </cell>
          <cell r="B4140" t="str">
            <v>CORPORATION</v>
          </cell>
          <cell r="C4140" t="str">
            <v>Barao Ferragens E Ferramentas Ltda</v>
          </cell>
          <cell r="D4140" t="str">
            <v>Barao Ferrangens E Ferramentas</v>
          </cell>
          <cell r="E4140" t="str">
            <v>BR_CNPJ</v>
          </cell>
          <cell r="F4140" t="str">
            <v>50.387.978/0001-26</v>
          </cell>
        </row>
        <row r="4141">
          <cell r="A4141">
            <v>37567</v>
          </cell>
          <cell r="B4141" t="str">
            <v>CORPORATION</v>
          </cell>
          <cell r="C4141" t="str">
            <v>Ap Maquinas E Ferramentas Ltda</v>
          </cell>
          <cell r="D4141" t="str">
            <v>Ap Maquinas E Ferramentas</v>
          </cell>
          <cell r="E4141" t="str">
            <v>BR_CNPJ</v>
          </cell>
          <cell r="F4141" t="str">
            <v>32.852.328/0001-22</v>
          </cell>
        </row>
        <row r="4142">
          <cell r="A4142">
            <v>37568</v>
          </cell>
          <cell r="B4142" t="str">
            <v>CORPORATION</v>
          </cell>
          <cell r="C4142" t="str">
            <v>Mf - Carvalho Parafusos E Ferramentas Ltda</v>
          </cell>
          <cell r="D4142" t="str">
            <v>Bolt Brasil</v>
          </cell>
          <cell r="E4142" t="str">
            <v>BR_CNPJ</v>
          </cell>
          <cell r="F4142" t="str">
            <v>30.259.676/0001-65</v>
          </cell>
        </row>
        <row r="4143">
          <cell r="A4143">
            <v>37571</v>
          </cell>
          <cell r="B4143" t="str">
            <v>CORPORATION</v>
          </cell>
          <cell r="C4143" t="str">
            <v>Oliveira &amp; Tiburcio Ltda</v>
          </cell>
          <cell r="D4143" t="str">
            <v>Comercial Elite</v>
          </cell>
          <cell r="E4143" t="str">
            <v>BR_CNPJ</v>
          </cell>
          <cell r="F4143" t="str">
            <v>08.960.146/0001-90</v>
          </cell>
        </row>
        <row r="4144">
          <cell r="A4144">
            <v>37575</v>
          </cell>
          <cell r="B4144" t="str">
            <v>CORPORATION</v>
          </cell>
          <cell r="C4144" t="str">
            <v>Semb Sociedade Eletrotecnica Ltda</v>
          </cell>
          <cell r="D4144" t="str">
            <v>Semb Sociedade Eletrotecnica</v>
          </cell>
          <cell r="E4144" t="str">
            <v>BR_CNPJ</v>
          </cell>
          <cell r="F4144" t="str">
            <v>75.753.020/0001-32</v>
          </cell>
          <cell r="G4144" t="str">
            <v>SEMB</v>
          </cell>
        </row>
        <row r="4145">
          <cell r="A4145">
            <v>37580</v>
          </cell>
          <cell r="B4145" t="str">
            <v>CORPORATION</v>
          </cell>
          <cell r="C4145" t="str">
            <v>Quintino Maquinas E Ferramentas Ltda</v>
          </cell>
          <cell r="D4145" t="str">
            <v>Quintino Maquinas E Ferramentas</v>
          </cell>
          <cell r="E4145" t="str">
            <v>BR_CNPJ</v>
          </cell>
          <cell r="F4145" t="str">
            <v>25.945.031/0003-08</v>
          </cell>
          <cell r="G4145" t="str">
            <v>QUINTINO</v>
          </cell>
        </row>
        <row r="4146">
          <cell r="A4146">
            <v>37581</v>
          </cell>
          <cell r="B4146" t="str">
            <v>CORPORATION</v>
          </cell>
          <cell r="C4146" t="str">
            <v>Eletromag Comercio E Assistencia Tecnica De Equipamentos Eletricos Ltda</v>
          </cell>
          <cell r="D4146" t="str">
            <v>Eletromag Sp</v>
          </cell>
          <cell r="E4146" t="str">
            <v>BR_CNPJ</v>
          </cell>
          <cell r="F4146" t="str">
            <v>74.301.391/0001-10</v>
          </cell>
        </row>
        <row r="4147">
          <cell r="A4147">
            <v>37587</v>
          </cell>
          <cell r="B4147" t="str">
            <v>CORPORATION</v>
          </cell>
          <cell r="C4147" t="str">
            <v>Eletrica Ipojuca Ltda</v>
          </cell>
          <cell r="D4147" t="str">
            <v>Eletrica Ipojuca Ltda</v>
          </cell>
          <cell r="E4147" t="str">
            <v>BR_CNPJ</v>
          </cell>
          <cell r="F4147" t="str">
            <v>00.164.276/0001-05</v>
          </cell>
        </row>
        <row r="4148">
          <cell r="A4148">
            <v>37588</v>
          </cell>
          <cell r="B4148" t="str">
            <v>CORPORATION</v>
          </cell>
          <cell r="C4148" t="str">
            <v>Dafel De Mage Materiais De Construcao Ltda</v>
          </cell>
          <cell r="D4148" t="str">
            <v>Dafel</v>
          </cell>
          <cell r="E4148" t="str">
            <v>BR_CNPJ</v>
          </cell>
          <cell r="F4148" t="str">
            <v>44.988.846/0001-57</v>
          </cell>
          <cell r="G4148" t="str">
            <v>DAFEL</v>
          </cell>
        </row>
        <row r="4149">
          <cell r="A4149">
            <v>37590</v>
          </cell>
          <cell r="B4149" t="str">
            <v>CORPORATION</v>
          </cell>
          <cell r="C4149" t="str">
            <v>Mc - Material De Construcao, Eletricos E Hidraulicos Ltda</v>
          </cell>
          <cell r="D4149" t="str">
            <v>Mc-Material De Construção</v>
          </cell>
          <cell r="E4149" t="str">
            <v>BR_CNPJ</v>
          </cell>
          <cell r="F4149" t="str">
            <v>30.565.457/0001-04</v>
          </cell>
        </row>
        <row r="4150">
          <cell r="A4150">
            <v>37592</v>
          </cell>
          <cell r="B4150" t="str">
            <v>CORPORATION</v>
          </cell>
          <cell r="C4150" t="str">
            <v>Leia Aparecida Tenorio 13597610803</v>
          </cell>
          <cell r="D4150" t="str">
            <v>Leia Aparecida</v>
          </cell>
          <cell r="E4150" t="str">
            <v>BR_CNPJ</v>
          </cell>
          <cell r="F4150" t="str">
            <v>19.089.557/0001-79</v>
          </cell>
        </row>
        <row r="4151">
          <cell r="A4151">
            <v>37595</v>
          </cell>
          <cell r="B4151" t="str">
            <v>CORPORATION</v>
          </cell>
          <cell r="C4151" t="str">
            <v>T M S Correia De Crasto Comercio Eireli</v>
          </cell>
          <cell r="D4151" t="str">
            <v>O Astro</v>
          </cell>
          <cell r="E4151" t="str">
            <v>BR_CNPJ</v>
          </cell>
          <cell r="F4151" t="str">
            <v>27.963.129/0001-51</v>
          </cell>
        </row>
        <row r="4152">
          <cell r="A4152">
            <v>37599</v>
          </cell>
          <cell r="B4152" t="str">
            <v>CORPORATION</v>
          </cell>
          <cell r="C4152" t="str">
            <v>Roma Parafusos E Ferramentas Ltda</v>
          </cell>
          <cell r="D4152" t="str">
            <v>Romapar</v>
          </cell>
          <cell r="E4152" t="str">
            <v>BR_CNPJ</v>
          </cell>
          <cell r="F4152" t="str">
            <v>59.918.136/0003-90</v>
          </cell>
          <cell r="G4152" t="str">
            <v>ROMAPAR</v>
          </cell>
        </row>
        <row r="4153">
          <cell r="A4153">
            <v>37600</v>
          </cell>
          <cell r="B4153" t="str">
            <v>CORPORATION</v>
          </cell>
          <cell r="C4153" t="str">
            <v>Armazem Jenipapo Materiais De Construcao Em Geral Ltda</v>
          </cell>
          <cell r="D4153" t="str">
            <v>Armazem Jenipapo</v>
          </cell>
          <cell r="E4153" t="str">
            <v>BR_CNPJ</v>
          </cell>
          <cell r="F4153" t="str">
            <v>41.097.379/0001-87</v>
          </cell>
        </row>
        <row r="4154">
          <cell r="A4154">
            <v>37606</v>
          </cell>
          <cell r="B4154" t="str">
            <v>CORPORATION</v>
          </cell>
          <cell r="C4154" t="str">
            <v>A C Ferramentas Ltda</v>
          </cell>
          <cell r="D4154" t="str">
            <v>Romapar</v>
          </cell>
          <cell r="E4154" t="str">
            <v>BR_CNPJ</v>
          </cell>
          <cell r="F4154" t="str">
            <v>14.967.515/0001-70</v>
          </cell>
          <cell r="G4154" t="str">
            <v>ROMAPAR</v>
          </cell>
        </row>
        <row r="4155">
          <cell r="A4155">
            <v>37609</v>
          </cell>
          <cell r="B4155" t="str">
            <v>CORPORATION</v>
          </cell>
          <cell r="C4155" t="str">
            <v>Gurgelmix Maquinas E Ferramentas S.A.</v>
          </cell>
          <cell r="D4155" t="str">
            <v>Loja Do Mecanico (Cajamar)</v>
          </cell>
          <cell r="E4155" t="str">
            <v>BR_CNPJ</v>
          </cell>
          <cell r="F4155" t="str">
            <v>29.302.348/0003-87</v>
          </cell>
          <cell r="G4155" t="str">
            <v>GURGEL</v>
          </cell>
        </row>
        <row r="4156">
          <cell r="A4156">
            <v>37614</v>
          </cell>
          <cell r="B4156" t="str">
            <v>CORPORATION</v>
          </cell>
          <cell r="C4156" t="str">
            <v>Gurgelmix Maquinas E Ferramentas S.A.</v>
          </cell>
          <cell r="D4156" t="str">
            <v>Loja Do Mecanico (Franca Jd Palestina)</v>
          </cell>
          <cell r="E4156" t="str">
            <v>BR_CNPJ</v>
          </cell>
          <cell r="F4156" t="str">
            <v>29.302.348/0004-68</v>
          </cell>
          <cell r="G4156" t="str">
            <v>GURGEL</v>
          </cell>
        </row>
        <row r="4157">
          <cell r="A4157">
            <v>37617</v>
          </cell>
          <cell r="B4157" t="str">
            <v>CORPORATION</v>
          </cell>
          <cell r="C4157" t="str">
            <v>Artech Comercio De Acessorios Para Vidros Eireli</v>
          </cell>
          <cell r="D4157" t="str">
            <v>Artech</v>
          </cell>
          <cell r="E4157" t="str">
            <v>BR_CNPJ</v>
          </cell>
          <cell r="F4157" t="str">
            <v>24.806.530/0001-90</v>
          </cell>
          <cell r="G4157" t="str">
            <v>FERRAGENS PORTUGAL</v>
          </cell>
        </row>
        <row r="4158">
          <cell r="A4158">
            <v>37622</v>
          </cell>
          <cell r="B4158" t="str">
            <v>CORPORATION</v>
          </cell>
          <cell r="C4158" t="str">
            <v>Libanio E Takeda Ltda</v>
          </cell>
          <cell r="D4158" t="str">
            <v>Ws Ferramentas</v>
          </cell>
          <cell r="E4158" t="str">
            <v>BR_CNPJ</v>
          </cell>
          <cell r="F4158" t="str">
            <v>80.787.518/0001-56</v>
          </cell>
          <cell r="G4158" t="str">
            <v>WS FERRAMENTAS</v>
          </cell>
        </row>
        <row r="4159">
          <cell r="A4159">
            <v>37625</v>
          </cell>
          <cell r="B4159" t="str">
            <v>CORPORATION</v>
          </cell>
          <cell r="C4159" t="str">
            <v>Maximu S Gases Ltda</v>
          </cell>
          <cell r="D4159" t="str">
            <v>Maximu S Gases</v>
          </cell>
          <cell r="E4159" t="str">
            <v>BR_CNPJ</v>
          </cell>
          <cell r="F4159" t="str">
            <v>07.673.123/0001-32</v>
          </cell>
        </row>
        <row r="4160">
          <cell r="A4160">
            <v>37627</v>
          </cell>
          <cell r="B4160" t="str">
            <v>CORPORATION</v>
          </cell>
          <cell r="C4160" t="str">
            <v>Ibesin Intermediacao De Negocios Ltda</v>
          </cell>
          <cell r="D4160" t="str">
            <v>Ibesin Intermediacao De Negocios</v>
          </cell>
          <cell r="E4160" t="str">
            <v>BR_CNPJ</v>
          </cell>
          <cell r="F4160" t="str">
            <v>34.310.430/0001-21</v>
          </cell>
        </row>
        <row r="4161">
          <cell r="A4161">
            <v>37640</v>
          </cell>
          <cell r="B4161" t="str">
            <v>CORPORATION</v>
          </cell>
          <cell r="C4161" t="str">
            <v>Resende Ferramentas Ltda</v>
          </cell>
          <cell r="D4161" t="str">
            <v>Resende Ferramentas</v>
          </cell>
          <cell r="E4161" t="str">
            <v>BR_CNPJ</v>
          </cell>
          <cell r="F4161" t="str">
            <v>24.970.389/0001-66</v>
          </cell>
        </row>
        <row r="4162">
          <cell r="A4162">
            <v>37642</v>
          </cell>
          <cell r="B4162" t="str">
            <v>CORPORATION</v>
          </cell>
          <cell r="C4162" t="str">
            <v>A Casa Das Ferragens Ltda</v>
          </cell>
          <cell r="D4162" t="str">
            <v>A Casa Das Ferragens</v>
          </cell>
          <cell r="E4162" t="str">
            <v>BR_CNPJ</v>
          </cell>
          <cell r="F4162" t="str">
            <v>43.591.620/0001-55</v>
          </cell>
        </row>
        <row r="4163">
          <cell r="A4163">
            <v>37645</v>
          </cell>
          <cell r="B4163" t="str">
            <v>CORPORATION</v>
          </cell>
          <cell r="C4163" t="str">
            <v>Agroam - Agricola Amazonas Comercial Ltda</v>
          </cell>
          <cell r="D4163" t="str">
            <v>Agroam</v>
          </cell>
          <cell r="E4163" t="str">
            <v>BR_CNPJ</v>
          </cell>
          <cell r="F4163" t="str">
            <v>01.824.852/0001-66</v>
          </cell>
        </row>
        <row r="4164">
          <cell r="A4164">
            <v>37649</v>
          </cell>
          <cell r="B4164" t="str">
            <v>CORPORATION</v>
          </cell>
          <cell r="C4164" t="str">
            <v>Rifer Maquinas Ltda</v>
          </cell>
          <cell r="D4164" t="str">
            <v>Rifer</v>
          </cell>
          <cell r="E4164" t="str">
            <v>BR_CNPJ</v>
          </cell>
          <cell r="F4164" t="str">
            <v>03.922.084/0001-09</v>
          </cell>
          <cell r="G4164" t="str">
            <v>FERRARA</v>
          </cell>
        </row>
        <row r="4165">
          <cell r="A4165">
            <v>37655</v>
          </cell>
          <cell r="B4165" t="str">
            <v>CORPORATION</v>
          </cell>
          <cell r="C4165" t="str">
            <v>Camila Guilherme Berbert 13281612776</v>
          </cell>
          <cell r="D4165" t="str">
            <v>Ponto Do Parafuso &amp; Ferramentas</v>
          </cell>
          <cell r="E4165" t="str">
            <v>BR_CNPJ</v>
          </cell>
          <cell r="F4165" t="str">
            <v>36.045.371/0001-37</v>
          </cell>
        </row>
        <row r="4166">
          <cell r="A4166">
            <v>37656</v>
          </cell>
          <cell r="B4166" t="str">
            <v>CORPORATION</v>
          </cell>
          <cell r="C4166" t="str">
            <v>Patricia De Fatima Dos Santos Ribeiro 02249846910</v>
          </cell>
          <cell r="D4166" t="str">
            <v>Tair Produtos Agropecuarios</v>
          </cell>
          <cell r="E4166" t="str">
            <v>BR_CNPJ</v>
          </cell>
          <cell r="F4166" t="str">
            <v>29.223.018/0001-34</v>
          </cell>
        </row>
        <row r="4167">
          <cell r="A4167">
            <v>37662</v>
          </cell>
          <cell r="B4167" t="str">
            <v>CORPORATION</v>
          </cell>
          <cell r="C4167" t="str">
            <v>Roma - Parafusos E Ferramentas Ltda</v>
          </cell>
          <cell r="D4167" t="str">
            <v>Romapar - Assistência Técnica</v>
          </cell>
          <cell r="E4167" t="str">
            <v>BR_CNPJ</v>
          </cell>
          <cell r="F4167" t="str">
            <v>59.918.136/0001-28</v>
          </cell>
          <cell r="G4167" t="str">
            <v>ROMAPAR</v>
          </cell>
        </row>
        <row r="4168">
          <cell r="A4168">
            <v>37667</v>
          </cell>
          <cell r="B4168" t="str">
            <v>CORPORATION</v>
          </cell>
          <cell r="C4168" t="str">
            <v>Darlete Da Fonseca Pinto 55208797534</v>
          </cell>
          <cell r="D4168" t="str">
            <v>Imperial Ferragista</v>
          </cell>
          <cell r="E4168" t="str">
            <v>BR_CNPJ</v>
          </cell>
          <cell r="F4168" t="str">
            <v>40.108.647/0001-56</v>
          </cell>
        </row>
        <row r="4169">
          <cell r="A4169">
            <v>37671</v>
          </cell>
          <cell r="B4169" t="str">
            <v>CORPORATION</v>
          </cell>
          <cell r="C4169" t="str">
            <v>Jle Maquinas - Eireli</v>
          </cell>
          <cell r="D4169" t="str">
            <v>Mig Maquinas</v>
          </cell>
          <cell r="E4169" t="str">
            <v>BR_CNPJ</v>
          </cell>
          <cell r="F4169" t="str">
            <v>26.453.855/0001-61</v>
          </cell>
        </row>
        <row r="4170">
          <cell r="A4170">
            <v>37682</v>
          </cell>
          <cell r="B4170" t="str">
            <v>CORPORATION</v>
          </cell>
          <cell r="C4170" t="str">
            <v>Jat Comercial Eletrica Ltda.</v>
          </cell>
          <cell r="D4170" t="str">
            <v>Jat Materiais Eletricos</v>
          </cell>
          <cell r="E4170" t="str">
            <v>BR_CNPJ</v>
          </cell>
          <cell r="F4170" t="str">
            <v>17.367.420/0001-03</v>
          </cell>
        </row>
        <row r="4171">
          <cell r="A4171">
            <v>37687</v>
          </cell>
          <cell r="B4171" t="str">
            <v>CORPORATION</v>
          </cell>
          <cell r="C4171" t="str">
            <v>M1 Ferramentas E Abrasivos Ltda</v>
          </cell>
          <cell r="D4171" t="str">
            <v>M1 Ferramentas E Abrasivos</v>
          </cell>
          <cell r="E4171" t="str">
            <v>BR_CNPJ</v>
          </cell>
          <cell r="F4171" t="str">
            <v>43.625.523/0001-36</v>
          </cell>
        </row>
        <row r="4172">
          <cell r="A4172">
            <v>37688</v>
          </cell>
          <cell r="B4172" t="str">
            <v>CORPORATION</v>
          </cell>
          <cell r="C4172" t="str">
            <v>Vasconcelos Comercio De Materiais Para Construcao Eireli</v>
          </cell>
          <cell r="D4172" t="str">
            <v>Cambara Materiais Para Construção</v>
          </cell>
          <cell r="E4172" t="str">
            <v>BR_CNPJ</v>
          </cell>
          <cell r="F4172" t="str">
            <v>10.209.000/0001-50</v>
          </cell>
        </row>
        <row r="4173">
          <cell r="A4173">
            <v>37689</v>
          </cell>
          <cell r="B4173" t="str">
            <v>CORPORATION</v>
          </cell>
          <cell r="C4173" t="str">
            <v>Argonsoldas Comercial Ltda</v>
          </cell>
          <cell r="D4173" t="str">
            <v>Argonsoldas Comercial</v>
          </cell>
          <cell r="E4173" t="str">
            <v>BR_CNPJ</v>
          </cell>
          <cell r="F4173" t="str">
            <v>49.088.529/0001-06</v>
          </cell>
        </row>
        <row r="4174">
          <cell r="A4174">
            <v>37691</v>
          </cell>
          <cell r="B4174" t="str">
            <v>CORPORATION</v>
          </cell>
          <cell r="C4174" t="str">
            <v>Soltec - Comercial Importadora De Soldas Ltda</v>
          </cell>
          <cell r="D4174" t="str">
            <v>Soltec</v>
          </cell>
          <cell r="E4174" t="str">
            <v>BR_CNPJ</v>
          </cell>
          <cell r="F4174" t="str">
            <v>22.972.822/0001-77</v>
          </cell>
        </row>
        <row r="4175">
          <cell r="A4175">
            <v>37692</v>
          </cell>
          <cell r="B4175" t="str">
            <v>CORPORATION</v>
          </cell>
          <cell r="C4175" t="str">
            <v>Ph Maquinas Ferramentas &amp; Servicos Ltda</v>
          </cell>
          <cell r="D4175" t="str">
            <v>Ph Maquinas</v>
          </cell>
          <cell r="E4175" t="str">
            <v>BR_CNPJ</v>
          </cell>
          <cell r="F4175" t="str">
            <v>52.693.117/0001-00</v>
          </cell>
          <cell r="G4175" t="str">
            <v>PH COMERCIAL</v>
          </cell>
        </row>
        <row r="4176">
          <cell r="A4176">
            <v>37697</v>
          </cell>
          <cell r="B4176" t="str">
            <v>CORPORATION</v>
          </cell>
          <cell r="C4176" t="str">
            <v>Tarfil Irrigacao, Maquinas E Ferramentas Ltda</v>
          </cell>
          <cell r="D4176" t="str">
            <v>Tarfil</v>
          </cell>
          <cell r="E4176" t="str">
            <v>BR_CNPJ</v>
          </cell>
          <cell r="F4176" t="str">
            <v>78.056.710/0001-20</v>
          </cell>
          <cell r="G4176" t="str">
            <v>TARFIL</v>
          </cell>
        </row>
        <row r="4177">
          <cell r="A4177">
            <v>37709</v>
          </cell>
          <cell r="B4177" t="str">
            <v>CORPORATION</v>
          </cell>
          <cell r="C4177" t="str">
            <v>Annicchino &amp; Chacon Comercio E Servicos Ltda</v>
          </cell>
          <cell r="D4177" t="str">
            <v>Engefer</v>
          </cell>
          <cell r="E4177" t="str">
            <v>BR_CNPJ</v>
          </cell>
          <cell r="F4177" t="str">
            <v>02.241.454/0001-80</v>
          </cell>
        </row>
        <row r="4178">
          <cell r="A4178">
            <v>37711</v>
          </cell>
          <cell r="B4178" t="str">
            <v>CORPORATION</v>
          </cell>
          <cell r="C4178" t="str">
            <v>Lidia Ferreira Leite</v>
          </cell>
          <cell r="D4178" t="str">
            <v>Castelo Ferragista</v>
          </cell>
          <cell r="E4178" t="str">
            <v>BR_CNPJ</v>
          </cell>
          <cell r="F4178" t="str">
            <v>21.508.067/0001-01</v>
          </cell>
        </row>
        <row r="4179">
          <cell r="A4179">
            <v>37713</v>
          </cell>
          <cell r="B4179" t="str">
            <v>CORPORATION</v>
          </cell>
          <cell r="C4179" t="str">
            <v>Comercial Jabuti De Maquinas Agricolas Ltda - Me</v>
          </cell>
          <cell r="D4179" t="str">
            <v>Comercial Jabuti De</v>
          </cell>
          <cell r="E4179" t="str">
            <v>BR_CNPJ</v>
          </cell>
          <cell r="F4179" t="str">
            <v>08.383.400/0001-35</v>
          </cell>
        </row>
        <row r="4180">
          <cell r="A4180">
            <v>37719</v>
          </cell>
          <cell r="B4180" t="str">
            <v>CORPORATION</v>
          </cell>
          <cell r="C4180" t="str">
            <v>Joao Rodrigues Do Carmo</v>
          </cell>
          <cell r="D4180" t="str">
            <v>Mercadinho E Serralheira J F</v>
          </cell>
          <cell r="E4180" t="str">
            <v>BR_CNPJ</v>
          </cell>
          <cell r="F4180" t="str">
            <v>35.043.496/0001-65</v>
          </cell>
        </row>
        <row r="4181">
          <cell r="A4181">
            <v>37729</v>
          </cell>
          <cell r="B4181" t="str">
            <v>CORPORATION</v>
          </cell>
          <cell r="C4181" t="str">
            <v>Brasil Ferro E Aco Ltda</v>
          </cell>
          <cell r="D4181" t="str">
            <v>Brasil Ferro &amp; Aco</v>
          </cell>
          <cell r="E4181" t="str">
            <v>BR_CNPJ</v>
          </cell>
          <cell r="F4181" t="str">
            <v>12.123.136/0001-78</v>
          </cell>
        </row>
        <row r="4182">
          <cell r="A4182">
            <v>37731</v>
          </cell>
          <cell r="B4182" t="str">
            <v>CORPORATION</v>
          </cell>
          <cell r="C4182" t="str">
            <v>Gean Victor Fernandes Silva 70278132111</v>
          </cell>
          <cell r="D4182" t="str">
            <v>Gean Produtos E Servicos</v>
          </cell>
          <cell r="E4182" t="str">
            <v>BR_CNPJ</v>
          </cell>
          <cell r="F4182" t="str">
            <v>37.491.443/0001-32</v>
          </cell>
          <cell r="G4182" t="str">
            <v>FERRAGISTA FERNANDES</v>
          </cell>
        </row>
        <row r="4183">
          <cell r="A4183">
            <v>37740</v>
          </cell>
          <cell r="B4183" t="str">
            <v>CORPORATION</v>
          </cell>
          <cell r="C4183" t="str">
            <v>Evaldo Lopes Da Silva 83767088304</v>
          </cell>
          <cell r="D4183" t="str">
            <v>Marka Acessorios</v>
          </cell>
          <cell r="E4183" t="str">
            <v>BR_CNPJ</v>
          </cell>
          <cell r="F4183" t="str">
            <v>14.975.850/0001-10</v>
          </cell>
        </row>
        <row r="4184">
          <cell r="A4184">
            <v>37741</v>
          </cell>
          <cell r="B4184" t="str">
            <v>CORPORATION</v>
          </cell>
          <cell r="C4184" t="str">
            <v>Brasil Norte Comercio De Ferragens E Ferramentas Ltda</v>
          </cell>
          <cell r="D4184" t="str">
            <v>Distribuidora Brasil Norte</v>
          </cell>
          <cell r="E4184" t="str">
            <v>BR_CNPJ</v>
          </cell>
          <cell r="F4184" t="str">
            <v>34.640.631/0001-97</v>
          </cell>
        </row>
        <row r="4185">
          <cell r="A4185">
            <v>37743</v>
          </cell>
          <cell r="B4185" t="str">
            <v>CORPORATION</v>
          </cell>
          <cell r="C4185" t="str">
            <v>Magno Motos Ltda</v>
          </cell>
          <cell r="D4185" t="str">
            <v>Magno Motos</v>
          </cell>
          <cell r="E4185" t="str">
            <v>BR_CNPJ</v>
          </cell>
          <cell r="F4185" t="str">
            <v>07.593.435/0001-36</v>
          </cell>
        </row>
        <row r="4186">
          <cell r="A4186">
            <v>37744</v>
          </cell>
          <cell r="B4186" t="str">
            <v>CORPORATION</v>
          </cell>
          <cell r="C4186" t="str">
            <v>Iguapa - Provedores De Acesso As Redes De Comunicacoes Eireli</v>
          </cell>
          <cell r="D4186" t="str">
            <v>Iguapa Distribuidora</v>
          </cell>
          <cell r="E4186" t="str">
            <v>BR_CNPJ</v>
          </cell>
          <cell r="F4186" t="str">
            <v>03.799.000/0001-91</v>
          </cell>
        </row>
        <row r="4187">
          <cell r="A4187">
            <v>37746</v>
          </cell>
          <cell r="B4187" t="str">
            <v>CORPORATION</v>
          </cell>
          <cell r="C4187" t="str">
            <v>Ecc Comercio E Licitacoes Eireli</v>
          </cell>
          <cell r="D4187" t="str">
            <v>Ecc</v>
          </cell>
          <cell r="E4187" t="str">
            <v>BR_CNPJ</v>
          </cell>
          <cell r="F4187" t="str">
            <v>27.293.468/0001-78</v>
          </cell>
        </row>
        <row r="4188">
          <cell r="A4188">
            <v>37750</v>
          </cell>
          <cell r="B4188" t="str">
            <v>CORPORATION</v>
          </cell>
          <cell r="C4188" t="str">
            <v>Luis Jacinto Da Silva</v>
          </cell>
          <cell r="D4188" t="str">
            <v>Lider Motocar</v>
          </cell>
          <cell r="E4188" t="str">
            <v>BR_CNPJ</v>
          </cell>
          <cell r="F4188" t="str">
            <v>06.955.351/0001-32</v>
          </cell>
        </row>
        <row r="4189">
          <cell r="A4189">
            <v>37754</v>
          </cell>
          <cell r="B4189" t="str">
            <v>CORPORATION</v>
          </cell>
          <cell r="C4189" t="str">
            <v>Casa Das Maquinas E Equipamentos Ltda</v>
          </cell>
          <cell r="D4189" t="str">
            <v>Casamaq</v>
          </cell>
          <cell r="E4189" t="str">
            <v>BR_CNPJ</v>
          </cell>
          <cell r="F4189" t="str">
            <v>31.502.786/0001-79</v>
          </cell>
        </row>
        <row r="4190">
          <cell r="A4190">
            <v>37758</v>
          </cell>
          <cell r="B4190" t="str">
            <v>CORPORATION</v>
          </cell>
          <cell r="C4190" t="str">
            <v>Gama Comercio De Maquinas, Ferragens E Ferramentas Ltda</v>
          </cell>
          <cell r="D4190" t="str">
            <v>Gama Maquinas</v>
          </cell>
          <cell r="E4190" t="str">
            <v>BR_CNPJ</v>
          </cell>
          <cell r="F4190" t="str">
            <v>21.500.755/0001-25</v>
          </cell>
        </row>
        <row r="4191">
          <cell r="A4191">
            <v>37764</v>
          </cell>
          <cell r="B4191" t="str">
            <v>CORPORATION</v>
          </cell>
          <cell r="C4191" t="str">
            <v>Mg Comercio De Pecas Agricolas, Florestais E Industriais Ltda</v>
          </cell>
          <cell r="D4191" t="str">
            <v>Mg Pecas</v>
          </cell>
          <cell r="E4191" t="str">
            <v>BR_CNPJ</v>
          </cell>
          <cell r="F4191" t="str">
            <v>45.499.275/0001-50</v>
          </cell>
          <cell r="G4191" t="str">
            <v>DZENK ROLAMENTOS</v>
          </cell>
        </row>
        <row r="4192">
          <cell r="A4192">
            <v>37765</v>
          </cell>
          <cell r="B4192" t="str">
            <v>CORPORATION</v>
          </cell>
          <cell r="C4192" t="str">
            <v>J G Barros</v>
          </cell>
          <cell r="D4192" t="str">
            <v>Comercial Jb</v>
          </cell>
          <cell r="E4192" t="str">
            <v>BR_CNPJ</v>
          </cell>
          <cell r="F4192" t="str">
            <v>23.573.231/0001-90</v>
          </cell>
        </row>
        <row r="4193">
          <cell r="A4193">
            <v>37771</v>
          </cell>
          <cell r="B4193" t="str">
            <v>CORPORATION</v>
          </cell>
          <cell r="C4193" t="str">
            <v>Agropecuaria Do Polaco Ltda</v>
          </cell>
          <cell r="D4193" t="str">
            <v>Agropecuaria Do Polaco</v>
          </cell>
          <cell r="E4193" t="str">
            <v>BR_CNPJ</v>
          </cell>
          <cell r="F4193" t="str">
            <v>80.767.122/0001-47</v>
          </cell>
        </row>
        <row r="4194">
          <cell r="A4194">
            <v>37775</v>
          </cell>
          <cell r="B4194" t="str">
            <v>CORPORATION</v>
          </cell>
          <cell r="C4194" t="str">
            <v>N A Santos Haach - Materiais De Construcao Eireli - Epp</v>
          </cell>
          <cell r="D4194" t="str">
            <v>Multimateriais - Tudo Para Construcao</v>
          </cell>
          <cell r="E4194" t="str">
            <v>BR_CNPJ</v>
          </cell>
          <cell r="F4194" t="str">
            <v>25.276.788/0001-94</v>
          </cell>
        </row>
        <row r="4195">
          <cell r="A4195">
            <v>37778</v>
          </cell>
          <cell r="B4195" t="str">
            <v>CORPORATION</v>
          </cell>
          <cell r="C4195" t="str">
            <v>Pedro Alex Vieira - Comercio Varejista De Ferragens E Ferramentas</v>
          </cell>
          <cell r="D4195" t="str">
            <v>Agromix Utilidades Em Geral</v>
          </cell>
          <cell r="E4195" t="str">
            <v>BR_CNPJ</v>
          </cell>
          <cell r="F4195" t="str">
            <v>24.373.572/0001-84</v>
          </cell>
        </row>
        <row r="4196">
          <cell r="A4196">
            <v>37781</v>
          </cell>
          <cell r="B4196" t="str">
            <v>CORPORATION</v>
          </cell>
          <cell r="C4196" t="str">
            <v>R. Mendes Da Costa</v>
          </cell>
          <cell r="D4196" t="str">
            <v>Total Ferramentas</v>
          </cell>
          <cell r="E4196" t="str">
            <v>BR_CNPJ</v>
          </cell>
          <cell r="F4196" t="str">
            <v>25.344.186/0001-27</v>
          </cell>
        </row>
        <row r="4197">
          <cell r="A4197">
            <v>37787</v>
          </cell>
          <cell r="B4197" t="str">
            <v>CORPORATION</v>
          </cell>
          <cell r="C4197" t="str">
            <v>Imbriani Ferramentas Ltda</v>
          </cell>
          <cell r="D4197" t="str">
            <v>Imbriani Ferramentas</v>
          </cell>
          <cell r="E4197" t="str">
            <v>BR_CNPJ</v>
          </cell>
          <cell r="F4197" t="str">
            <v>08.113.381/0001-27</v>
          </cell>
        </row>
        <row r="4198">
          <cell r="A4198">
            <v>37793</v>
          </cell>
          <cell r="B4198" t="str">
            <v>CORPORATION</v>
          </cell>
          <cell r="C4198" t="str">
            <v>Manoel Messias Rodrigues De Almeida</v>
          </cell>
          <cell r="D4198" t="str">
            <v>Almeida Construcoes</v>
          </cell>
          <cell r="E4198" t="str">
            <v>BR_CNPJ</v>
          </cell>
          <cell r="F4198" t="str">
            <v>15.377.772/0001-14</v>
          </cell>
        </row>
        <row r="4199">
          <cell r="A4199">
            <v>37797</v>
          </cell>
          <cell r="B4199" t="str">
            <v>CORPORATION</v>
          </cell>
          <cell r="C4199" t="str">
            <v>Manprotec Store Comercial De Ferramentas Ltda</v>
          </cell>
          <cell r="D4199" t="str">
            <v>Manprotec</v>
          </cell>
          <cell r="E4199" t="str">
            <v>BR_CNPJ</v>
          </cell>
          <cell r="F4199" t="str">
            <v>25.372.476/0002-65</v>
          </cell>
        </row>
        <row r="4200">
          <cell r="A4200">
            <v>37800</v>
          </cell>
          <cell r="B4200" t="str">
            <v>CORPORATION</v>
          </cell>
          <cell r="C4200" t="str">
            <v>Usimatec Ltda</v>
          </cell>
          <cell r="D4200" t="str">
            <v>Usimatec</v>
          </cell>
          <cell r="E4200" t="str">
            <v>BR_CNPJ</v>
          </cell>
          <cell r="F4200" t="str">
            <v>51.397.604/0001-54</v>
          </cell>
          <cell r="G4200" t="str">
            <v>USIMATEC</v>
          </cell>
        </row>
        <row r="4201">
          <cell r="A4201">
            <v>37804</v>
          </cell>
          <cell r="B4201" t="str">
            <v>CORPORATION</v>
          </cell>
          <cell r="C4201" t="str">
            <v>Fernando Ribeiro 07878180970</v>
          </cell>
          <cell r="D4201" t="str">
            <v>Nrb Garage</v>
          </cell>
          <cell r="E4201" t="str">
            <v>BR_CNPJ</v>
          </cell>
          <cell r="F4201" t="str">
            <v>39.423.321/0001-34</v>
          </cell>
        </row>
        <row r="4202">
          <cell r="A4202">
            <v>37808</v>
          </cell>
          <cell r="B4202" t="str">
            <v>CORPORATION</v>
          </cell>
          <cell r="C4202" t="str">
            <v>J A F De Lima</v>
          </cell>
          <cell r="D4202" t="str">
            <v>Ferraz Home Center Epis</v>
          </cell>
          <cell r="E4202" t="str">
            <v>BR_CNPJ</v>
          </cell>
          <cell r="F4202" t="str">
            <v>05.424.338/0005-18</v>
          </cell>
        </row>
        <row r="4203">
          <cell r="A4203">
            <v>37811</v>
          </cell>
          <cell r="B4203" t="str">
            <v>CORPORATION</v>
          </cell>
          <cell r="C4203" t="str">
            <v>B V Materiais Para Construcao Ltda</v>
          </cell>
          <cell r="D4203" t="str">
            <v>Construsul</v>
          </cell>
          <cell r="E4203" t="str">
            <v>BR_CNPJ</v>
          </cell>
          <cell r="F4203" t="str">
            <v>01.569.752/0001-30</v>
          </cell>
        </row>
        <row r="4204">
          <cell r="A4204">
            <v>37816</v>
          </cell>
          <cell r="B4204" t="str">
            <v>CORPORATION</v>
          </cell>
          <cell r="C4204" t="str">
            <v>Bmb Material De Construcao S.A.</v>
          </cell>
          <cell r="D4204" t="str">
            <v>Obramax Jacarepagua</v>
          </cell>
          <cell r="E4204" t="str">
            <v>BR_CNPJ</v>
          </cell>
          <cell r="F4204" t="str">
            <v>23.476.033/0008-84</v>
          </cell>
          <cell r="G4204" t="str">
            <v>OBRAMAX</v>
          </cell>
        </row>
        <row r="4205">
          <cell r="A4205">
            <v>37817</v>
          </cell>
          <cell r="B4205" t="str">
            <v>CORPORATION</v>
          </cell>
          <cell r="C4205" t="str">
            <v>Oxiar Comercio E Tecnologia Em Gases Eireli</v>
          </cell>
          <cell r="D4205" t="str">
            <v>Oxiquip Brasil</v>
          </cell>
          <cell r="E4205" t="str">
            <v>BR_CNPJ</v>
          </cell>
          <cell r="F4205" t="str">
            <v>23.401.411/0001-94</v>
          </cell>
        </row>
        <row r="4206">
          <cell r="A4206">
            <v>37828</v>
          </cell>
          <cell r="B4206" t="str">
            <v>CORPORATION</v>
          </cell>
          <cell r="C4206" t="str">
            <v>Dutra Maquinas Comercial E Tecnica Ltda</v>
          </cell>
          <cell r="D4206" t="str">
            <v>Dutra Louveira</v>
          </cell>
          <cell r="E4206" t="str">
            <v>BR_CNPJ</v>
          </cell>
          <cell r="F4206" t="str">
            <v>50.970.342/0008-89</v>
          </cell>
          <cell r="G4206" t="str">
            <v>DUTRA</v>
          </cell>
        </row>
        <row r="4207">
          <cell r="A4207">
            <v>37831</v>
          </cell>
          <cell r="B4207" t="str">
            <v>CORPORATION</v>
          </cell>
          <cell r="C4207" t="str">
            <v>J.C.Plus Comercio, Importacao, Exportacao E Servicos Ltda.</v>
          </cell>
          <cell r="D4207" t="str">
            <v>Jc Plus</v>
          </cell>
          <cell r="E4207" t="str">
            <v>BR_CNPJ</v>
          </cell>
          <cell r="F4207" t="str">
            <v>29.046.867/0001-60</v>
          </cell>
        </row>
        <row r="4208">
          <cell r="A4208">
            <v>37835</v>
          </cell>
          <cell r="B4208" t="str">
            <v>CORPORATION</v>
          </cell>
          <cell r="C4208" t="str">
            <v>Conect Magazine Comercio On-Line Eireli</v>
          </cell>
          <cell r="D4208" t="str">
            <v>Conect Magazine</v>
          </cell>
          <cell r="E4208" t="str">
            <v>BR_CNPJ</v>
          </cell>
          <cell r="F4208" t="str">
            <v>23.160.025/0001-58</v>
          </cell>
          <cell r="G4208" t="str">
            <v>VG SHOP</v>
          </cell>
        </row>
        <row r="4209">
          <cell r="A4209">
            <v>37839</v>
          </cell>
          <cell r="B4209" t="str">
            <v>CORPORATION</v>
          </cell>
          <cell r="C4209" t="str">
            <v>Mtx Comercio De Equipamentos De Informatica On Line Ltda</v>
          </cell>
          <cell r="D4209" t="str">
            <v>Mtx</v>
          </cell>
          <cell r="E4209" t="str">
            <v>BR_CNPJ</v>
          </cell>
          <cell r="F4209" t="str">
            <v>30.816.544/0001-97</v>
          </cell>
          <cell r="G4209" t="str">
            <v>VG SHOP</v>
          </cell>
        </row>
        <row r="4210">
          <cell r="A4210">
            <v>37842</v>
          </cell>
          <cell r="B4210" t="str">
            <v>CORPORATION</v>
          </cell>
          <cell r="C4210" t="str">
            <v>Comercio De Ferragens E Ferramentas Tres Irmaos Ltda</v>
          </cell>
          <cell r="D4210" t="str">
            <v>Comercial Lucato</v>
          </cell>
          <cell r="E4210" t="str">
            <v>BR_CNPJ</v>
          </cell>
          <cell r="F4210" t="str">
            <v>31.511.443/0001-70</v>
          </cell>
          <cell r="G4210" t="str">
            <v>COMERCIAL LUCATO</v>
          </cell>
        </row>
        <row r="4211">
          <cell r="A4211">
            <v>37843</v>
          </cell>
          <cell r="B4211" t="str">
            <v>CORPORATION</v>
          </cell>
          <cell r="C4211" t="str">
            <v>Um Net Comercial Ltda</v>
          </cell>
          <cell r="D4211" t="str">
            <v>Um Net</v>
          </cell>
          <cell r="E4211" t="str">
            <v>BR_CNPJ</v>
          </cell>
          <cell r="F4211" t="str">
            <v>04.509.536/0001-98</v>
          </cell>
        </row>
        <row r="4212">
          <cell r="A4212">
            <v>37848</v>
          </cell>
          <cell r="B4212" t="str">
            <v>CORPORATION</v>
          </cell>
          <cell r="C4212" t="str">
            <v>Honomaq Comercio De Maquinas Eireli</v>
          </cell>
          <cell r="D4212" t="str">
            <v>Honomaq Comercio De Maquinas</v>
          </cell>
          <cell r="E4212" t="str">
            <v>BR_CNPJ</v>
          </cell>
          <cell r="F4212" t="str">
            <v>29.633.174/0001-73</v>
          </cell>
        </row>
        <row r="4213">
          <cell r="A4213">
            <v>37853</v>
          </cell>
          <cell r="B4213" t="str">
            <v>CORPORATION</v>
          </cell>
          <cell r="C4213" t="str">
            <v>Sebastiao Finotti</v>
          </cell>
          <cell r="D4213" t="str">
            <v>Finotti Epi Ferramentas/Extintores - Me</v>
          </cell>
          <cell r="E4213" t="str">
            <v>BR_CNPJ</v>
          </cell>
          <cell r="F4213" t="str">
            <v>04.011.150/0001-51</v>
          </cell>
          <cell r="G4213" t="str">
            <v>FINOTTI</v>
          </cell>
        </row>
        <row r="4214">
          <cell r="A4214">
            <v>37856</v>
          </cell>
          <cell r="B4214" t="str">
            <v>CORPORATION</v>
          </cell>
          <cell r="C4214" t="str">
            <v>V.D.B.R. Pissinini</v>
          </cell>
          <cell r="D4214" t="str">
            <v>Gg-Materiais Para Construcao</v>
          </cell>
          <cell r="E4214" t="str">
            <v>BR_CNPJ</v>
          </cell>
          <cell r="F4214" t="str">
            <v>07.119.542/0001-27</v>
          </cell>
          <cell r="G4214" t="str">
            <v>GG</v>
          </cell>
        </row>
        <row r="4215">
          <cell r="A4215">
            <v>37858</v>
          </cell>
          <cell r="B4215" t="str">
            <v>CORPORATION</v>
          </cell>
          <cell r="C4215" t="str">
            <v>R &amp; Fonseca Ltda M E</v>
          </cell>
          <cell r="D4215" t="str">
            <v>Rocha Casa E Construcao</v>
          </cell>
          <cell r="E4215" t="str">
            <v>BR_CNPJ</v>
          </cell>
          <cell r="F4215" t="str">
            <v>43.672.104/0001-55</v>
          </cell>
        </row>
        <row r="4216">
          <cell r="A4216">
            <v>37862</v>
          </cell>
          <cell r="B4216" t="str">
            <v>CORPORATION</v>
          </cell>
          <cell r="C4216" t="str">
            <v>Center Chacon Comercio De Ferragens Ltda</v>
          </cell>
          <cell r="D4216" t="str">
            <v>Center Chacon</v>
          </cell>
          <cell r="E4216" t="str">
            <v>BR_CNPJ</v>
          </cell>
          <cell r="F4216" t="str">
            <v>03.468.849/0001-82</v>
          </cell>
        </row>
        <row r="4217">
          <cell r="A4217">
            <v>37869</v>
          </cell>
          <cell r="B4217" t="str">
            <v>CORPORATION</v>
          </cell>
          <cell r="C4217" t="str">
            <v>Apatel Comercio De Ferramentas Ltda</v>
          </cell>
          <cell r="D4217" t="str">
            <v>Apatel</v>
          </cell>
          <cell r="E4217" t="str">
            <v>BR_CNPJ</v>
          </cell>
          <cell r="F4217" t="str">
            <v>51.593.093/0001-46</v>
          </cell>
        </row>
        <row r="4218">
          <cell r="A4218">
            <v>37870</v>
          </cell>
          <cell r="B4218" t="str">
            <v>CORPORATION</v>
          </cell>
          <cell r="C4218" t="str">
            <v>Construeletricos E Equipamentos Hidraulicos Eireli</v>
          </cell>
          <cell r="D4218" t="str">
            <v>Reer Equipamentos Eletricos</v>
          </cell>
          <cell r="E4218" t="str">
            <v>BR_CNPJ</v>
          </cell>
          <cell r="F4218" t="str">
            <v>24.766.463/0001-27</v>
          </cell>
        </row>
        <row r="4219">
          <cell r="A4219">
            <v>37873</v>
          </cell>
          <cell r="B4219" t="str">
            <v>CORPORATION</v>
          </cell>
          <cell r="C4219" t="str">
            <v>Todo Lar Comercio De Materiais De Construcao Ltda</v>
          </cell>
          <cell r="D4219" t="str">
            <v>Todo Lar Materiais De Construcao</v>
          </cell>
          <cell r="E4219" t="str">
            <v>BR_CNPJ</v>
          </cell>
          <cell r="F4219" t="str">
            <v>20.877.519/0001-60</v>
          </cell>
        </row>
        <row r="4220">
          <cell r="A4220">
            <v>37877</v>
          </cell>
          <cell r="B4220" t="str">
            <v>CORPORATION</v>
          </cell>
          <cell r="C4220" t="str">
            <v>Tucuma Comercio De Maquinas E Motores Eireli</v>
          </cell>
          <cell r="D4220" t="str">
            <v>Tucuma Motores</v>
          </cell>
          <cell r="E4220" t="str">
            <v>BR_CNPJ</v>
          </cell>
          <cell r="F4220" t="str">
            <v>29.257.841/0001-60</v>
          </cell>
          <cell r="G4220" t="str">
            <v>TUCUMÃ</v>
          </cell>
        </row>
        <row r="4221">
          <cell r="A4221">
            <v>37880</v>
          </cell>
          <cell r="B4221" t="str">
            <v>CORPORATION</v>
          </cell>
          <cell r="C4221" t="str">
            <v>Eletrica Vagalume - Comercio De Artigos Eletricos Ltda</v>
          </cell>
          <cell r="D4221" t="str">
            <v>Eletrolume</v>
          </cell>
          <cell r="E4221" t="str">
            <v>BR_CNPJ</v>
          </cell>
          <cell r="F4221" t="str">
            <v>05.774.425/0001-71</v>
          </cell>
        </row>
        <row r="4222">
          <cell r="A4222">
            <v>37883</v>
          </cell>
          <cell r="B4222" t="str">
            <v>CORPORATION</v>
          </cell>
          <cell r="C4222" t="str">
            <v>Wliane Karen De Melo Cavalcante</v>
          </cell>
          <cell r="D4222" t="str">
            <v>Central Ferros</v>
          </cell>
          <cell r="E4222" t="str">
            <v>BR_CNPJ</v>
          </cell>
          <cell r="F4222" t="str">
            <v>04.373.897/0001-50</v>
          </cell>
        </row>
        <row r="4223">
          <cell r="A4223">
            <v>37887</v>
          </cell>
          <cell r="B4223" t="str">
            <v>CORPORATION</v>
          </cell>
          <cell r="C4223" t="str">
            <v>Antonio De Padua Araujo E Cia Ltda</v>
          </cell>
          <cell r="D4223" t="str">
            <v>Ferragens Paraiba</v>
          </cell>
          <cell r="E4223" t="str">
            <v>BR_CNPJ</v>
          </cell>
          <cell r="F4223" t="str">
            <v>34.487.736/0001-58</v>
          </cell>
          <cell r="G4223" t="str">
            <v>FERRAGENS PARAIBA</v>
          </cell>
        </row>
        <row r="4224">
          <cell r="A4224">
            <v>37889</v>
          </cell>
          <cell r="B4224" t="str">
            <v>CORPORATION</v>
          </cell>
          <cell r="C4224" t="str">
            <v>Ernandes Soares Carneiro De Araujo 34356499840</v>
          </cell>
          <cell r="D4224" t="str">
            <v>Grupo Universo</v>
          </cell>
          <cell r="E4224" t="str">
            <v>BR_CNPJ</v>
          </cell>
          <cell r="F4224" t="str">
            <v>30.209.359/0001-34</v>
          </cell>
        </row>
        <row r="4225">
          <cell r="A4225">
            <v>37890</v>
          </cell>
          <cell r="B4225" t="str">
            <v>CORPORATION</v>
          </cell>
          <cell r="C4225" t="str">
            <v>Ferragens Paraiba Limitada</v>
          </cell>
          <cell r="D4225" t="str">
            <v>Ferragens Paraiba</v>
          </cell>
          <cell r="E4225" t="str">
            <v>BR_CNPJ</v>
          </cell>
          <cell r="F4225" t="str">
            <v>84.461.151/0001-37</v>
          </cell>
          <cell r="G4225" t="str">
            <v>FERRAGENS PARAIBA</v>
          </cell>
        </row>
        <row r="4226">
          <cell r="A4226">
            <v>37894</v>
          </cell>
          <cell r="B4226" t="str">
            <v>CORPORATION</v>
          </cell>
          <cell r="C4226" t="str">
            <v>Dudu E Dinho Equipamentos Agricolas Ltda</v>
          </cell>
          <cell r="D4226" t="str">
            <v>Sat Equipamentos Agricolas</v>
          </cell>
          <cell r="E4226" t="str">
            <v>BR_CNPJ</v>
          </cell>
          <cell r="F4226" t="str">
            <v>95.417.531/0001-90</v>
          </cell>
        </row>
        <row r="4227">
          <cell r="A4227">
            <v>37903</v>
          </cell>
          <cell r="B4227" t="str">
            <v>CORPORATION</v>
          </cell>
          <cell r="C4227" t="str">
            <v>Don Paco Moveis Ltda</v>
          </cell>
          <cell r="D4227" t="str">
            <v>Lojas Don Paco</v>
          </cell>
          <cell r="E4227" t="str">
            <v>BR_CNPJ</v>
          </cell>
          <cell r="F4227" t="str">
            <v>45.574.464/0001-40</v>
          </cell>
        </row>
        <row r="4228">
          <cell r="A4228">
            <v>37910</v>
          </cell>
          <cell r="B4228" t="str">
            <v>CORPORATION</v>
          </cell>
          <cell r="C4228" t="str">
            <v>Carioca Rochas Ornamentais Ltda</v>
          </cell>
          <cell r="D4228" t="str">
            <v>Carioca Rochas Ornamentais</v>
          </cell>
          <cell r="E4228" t="str">
            <v>BR_CNPJ</v>
          </cell>
          <cell r="F4228" t="str">
            <v>06.281.085/0001-00</v>
          </cell>
        </row>
        <row r="4229">
          <cell r="A4229">
            <v>37911</v>
          </cell>
          <cell r="B4229" t="str">
            <v>CORPORATION</v>
          </cell>
          <cell r="C4229" t="str">
            <v>Jose Roberto Rodrigues -Material Eletrico</v>
          </cell>
          <cell r="D4229" t="str">
            <v>Eletrobeto</v>
          </cell>
          <cell r="E4229" t="str">
            <v>BR_CNPJ</v>
          </cell>
          <cell r="F4229" t="str">
            <v>72.056.575/0001-37</v>
          </cell>
        </row>
        <row r="4230">
          <cell r="A4230">
            <v>37914</v>
          </cell>
          <cell r="B4230" t="str">
            <v>CORPORATION</v>
          </cell>
          <cell r="C4230" t="str">
            <v>Muraco Industria, Comercio E Instalacao De Artefatos Em Aco Eireli</v>
          </cell>
          <cell r="D4230" t="str">
            <v>Muraco</v>
          </cell>
          <cell r="E4230" t="str">
            <v>BR_CNPJ</v>
          </cell>
          <cell r="F4230" t="str">
            <v>13.050.603/0001-40</v>
          </cell>
        </row>
        <row r="4231">
          <cell r="A4231">
            <v>37920</v>
          </cell>
          <cell r="B4231" t="str">
            <v>CORPORATION</v>
          </cell>
          <cell r="C4231" t="str">
            <v>Center Soldas Gases E Equipamentos Ltda</v>
          </cell>
          <cell r="D4231" t="str">
            <v>Center Soldas</v>
          </cell>
          <cell r="E4231" t="str">
            <v>BR_CNPJ</v>
          </cell>
          <cell r="F4231" t="str">
            <v>04.583.617/0001-38</v>
          </cell>
        </row>
        <row r="4232">
          <cell r="A4232">
            <v>37924</v>
          </cell>
          <cell r="B4232" t="str">
            <v>CORPORATION</v>
          </cell>
          <cell r="C4232" t="str">
            <v>Bmb Material De Construcao S.A.</v>
          </cell>
          <cell r="D4232" t="str">
            <v>Obramax Praia Grande</v>
          </cell>
          <cell r="E4232" t="str">
            <v>BR_CNPJ</v>
          </cell>
          <cell r="F4232" t="str">
            <v>23.476.033/0003-70</v>
          </cell>
          <cell r="G4232" t="str">
            <v>OBRAMAX</v>
          </cell>
        </row>
        <row r="4233">
          <cell r="A4233">
            <v>37942</v>
          </cell>
          <cell r="B4233" t="str">
            <v>CORPORATION</v>
          </cell>
          <cell r="C4233" t="str">
            <v>Simone Alves De Faria 07557362659</v>
          </cell>
          <cell r="D4233" t="str">
            <v>Casamaq</v>
          </cell>
          <cell r="E4233" t="str">
            <v>BR_CNPJ</v>
          </cell>
          <cell r="F4233" t="str">
            <v>45.672.554/0001-73</v>
          </cell>
          <cell r="G4233" t="str">
            <v>AFERRAMENTAS</v>
          </cell>
        </row>
        <row r="4234">
          <cell r="A4234">
            <v>37946</v>
          </cell>
          <cell r="B4234" t="str">
            <v>CORPORATION</v>
          </cell>
          <cell r="C4234" t="str">
            <v>Mundiaco Comercio De Ferro E Aco Ltda</v>
          </cell>
          <cell r="D4234" t="str">
            <v>Mundiaco</v>
          </cell>
          <cell r="E4234" t="str">
            <v>BR_CNPJ</v>
          </cell>
          <cell r="F4234" t="str">
            <v>11.482.306/0001-48</v>
          </cell>
        </row>
        <row r="4235">
          <cell r="A4235">
            <v>37949</v>
          </cell>
          <cell r="B4235" t="str">
            <v>CORPORATION</v>
          </cell>
          <cell r="C4235" t="str">
            <v>Clerio A Campos</v>
          </cell>
          <cell r="D4235" t="str">
            <v>Distribuidora Campos</v>
          </cell>
          <cell r="E4235" t="str">
            <v>BR_CNPJ</v>
          </cell>
          <cell r="F4235" t="str">
            <v>44.366.837/0001-24</v>
          </cell>
          <cell r="G4235" t="str">
            <v>M.S CAMPOS</v>
          </cell>
        </row>
        <row r="4236">
          <cell r="A4236">
            <v>37953</v>
          </cell>
          <cell r="B4236" t="str">
            <v>CORPORATION</v>
          </cell>
          <cell r="C4236" t="str">
            <v>Cgc Seguranca Do Trabalho Ltda</v>
          </cell>
          <cell r="D4236" t="str">
            <v>Cgc Assessoria Em Seguranca Do Trabalho</v>
          </cell>
          <cell r="E4236" t="str">
            <v>BR_CNPJ</v>
          </cell>
          <cell r="F4236" t="str">
            <v>21.575.062/0001-00</v>
          </cell>
        </row>
        <row r="4237">
          <cell r="A4237">
            <v>37956</v>
          </cell>
          <cell r="B4237" t="str">
            <v>CORPORATION</v>
          </cell>
          <cell r="C4237" t="str">
            <v>Seg Import Importacao Comercio E Servicos Ltda</v>
          </cell>
          <cell r="D4237" t="str">
            <v>Seg Import</v>
          </cell>
          <cell r="E4237" t="str">
            <v>BR_CNPJ</v>
          </cell>
          <cell r="F4237" t="str">
            <v>15.252.719/0001-97</v>
          </cell>
        </row>
        <row r="4238">
          <cell r="A4238">
            <v>37965</v>
          </cell>
          <cell r="B4238" t="str">
            <v>CORPORATION</v>
          </cell>
          <cell r="C4238" t="str">
            <v>Rodrigo Pereira Rosa 13750333793</v>
          </cell>
          <cell r="D4238" t="str">
            <v>Tr Empreendimento</v>
          </cell>
          <cell r="E4238" t="str">
            <v>BR_CNPJ</v>
          </cell>
          <cell r="F4238" t="str">
            <v>29.406.732/0001-68</v>
          </cell>
        </row>
        <row r="4239">
          <cell r="A4239">
            <v>37972</v>
          </cell>
          <cell r="B4239" t="str">
            <v>CORPORATION</v>
          </cell>
          <cell r="C4239" t="str">
            <v>Dayse De Cassia Dos Santos Colantonio 36286829830</v>
          </cell>
          <cell r="D4239" t="str">
            <v>Lismaq Assessoria E Comercio De Ferramentas Para Solda</v>
          </cell>
          <cell r="E4239" t="str">
            <v>BR_CNPJ</v>
          </cell>
          <cell r="F4239" t="str">
            <v>40.714.104/0001-82</v>
          </cell>
        </row>
        <row r="4240">
          <cell r="A4240">
            <v>37974</v>
          </cell>
          <cell r="B4240" t="str">
            <v>CORPORATION</v>
          </cell>
          <cell r="C4240" t="str">
            <v>Caravan Exportacao &amp; Importacao Do Brasil Ltda</v>
          </cell>
          <cell r="D4240" t="str">
            <v>Caravan Do Brasil</v>
          </cell>
          <cell r="E4240" t="str">
            <v>BR_CNPJ</v>
          </cell>
          <cell r="F4240" t="str">
            <v>11.669.218/0001-50</v>
          </cell>
        </row>
        <row r="4241">
          <cell r="A4241">
            <v>37980</v>
          </cell>
          <cell r="B4241" t="str">
            <v>CORPORATION</v>
          </cell>
          <cell r="C4241" t="str">
            <v>Jose Fadul Cia Ltda</v>
          </cell>
          <cell r="D4241" t="str">
            <v>Jose Fadul</v>
          </cell>
          <cell r="E4241" t="str">
            <v>BR_CNPJ</v>
          </cell>
          <cell r="F4241" t="str">
            <v>04.566.519/0001-92</v>
          </cell>
        </row>
        <row r="4242">
          <cell r="A4242">
            <v>37990</v>
          </cell>
          <cell r="B4242" t="str">
            <v>CORPORATION</v>
          </cell>
          <cell r="C4242" t="str">
            <v>Lt Comercio De Maquinas E Ferramentas Eireli</v>
          </cell>
          <cell r="D4242" t="str">
            <v>Ipanema Soldas</v>
          </cell>
          <cell r="E4242" t="str">
            <v>BR_CNPJ</v>
          </cell>
          <cell r="F4242" t="str">
            <v>31.283.413/0001-54</v>
          </cell>
        </row>
        <row r="4243">
          <cell r="A4243">
            <v>37994</v>
          </cell>
          <cell r="B4243" t="str">
            <v>CORPORATION</v>
          </cell>
          <cell r="C4243" t="str">
            <v>Virgens Ferramentas Ltda</v>
          </cell>
          <cell r="D4243" t="str">
            <v>L.A. Comercio De Ferramentas</v>
          </cell>
          <cell r="E4243" t="str">
            <v>BR_CNPJ</v>
          </cell>
          <cell r="F4243" t="str">
            <v>27.838.738/0001-89</v>
          </cell>
        </row>
        <row r="4244">
          <cell r="A4244">
            <v>37996</v>
          </cell>
          <cell r="B4244" t="str">
            <v>CORPORATION</v>
          </cell>
          <cell r="C4244" t="str">
            <v>Universall Telhas E Acos Ltda</v>
          </cell>
          <cell r="D4244" t="str">
            <v>Universall Telhas E Acos Bttec</v>
          </cell>
          <cell r="E4244" t="str">
            <v>BR_CNPJ</v>
          </cell>
          <cell r="F4244" t="str">
            <v>47.341.676/0001-02</v>
          </cell>
          <cell r="G4244" t="str">
            <v>BTTEC</v>
          </cell>
        </row>
        <row r="4245">
          <cell r="A4245">
            <v>37999</v>
          </cell>
          <cell r="B4245" t="str">
            <v>CORPORATION</v>
          </cell>
          <cell r="C4245" t="str">
            <v>Almir Alves De Aguiar</v>
          </cell>
          <cell r="D4245" t="str">
            <v>Anzzfix Distribuidora</v>
          </cell>
          <cell r="E4245" t="str">
            <v>BR_CNPJ</v>
          </cell>
          <cell r="F4245" t="str">
            <v>11.830.460/0001-63</v>
          </cell>
        </row>
        <row r="4246">
          <cell r="A4246">
            <v>38022</v>
          </cell>
          <cell r="B4246" t="str">
            <v>CORPORATION</v>
          </cell>
          <cell r="C4246" t="str">
            <v>Alloy Com. De Maquinas E Equipamentos Ltda</v>
          </cell>
          <cell r="D4246" t="str">
            <v>Alloy Com</v>
          </cell>
          <cell r="E4246" t="str">
            <v>BR_CNPJ</v>
          </cell>
          <cell r="F4246" t="str">
            <v>11.488.758/0001-37</v>
          </cell>
        </row>
        <row r="4247">
          <cell r="A4247">
            <v>38025</v>
          </cell>
          <cell r="B4247" t="str">
            <v>CORPORATION</v>
          </cell>
          <cell r="C4247" t="str">
            <v>Mais Para Sua Empresa Comercio Em Geral Ltda</v>
          </cell>
          <cell r="D4247" t="str">
            <v>Mpse Personalize</v>
          </cell>
          <cell r="E4247" t="str">
            <v>BR_CNPJ</v>
          </cell>
          <cell r="F4247" t="str">
            <v>02.557.499/0001-68</v>
          </cell>
        </row>
        <row r="4248">
          <cell r="A4248">
            <v>38028</v>
          </cell>
          <cell r="B4248" t="str">
            <v>CORPORATION</v>
          </cell>
          <cell r="C4248" t="str">
            <v>Nova Geracao Comercial Eletrica Ltda</v>
          </cell>
          <cell r="D4248" t="str">
            <v>Nova Geracao</v>
          </cell>
          <cell r="E4248" t="str">
            <v>BR_CNPJ</v>
          </cell>
          <cell r="F4248" t="str">
            <v>67.801.142/0001-29</v>
          </cell>
        </row>
        <row r="4249">
          <cell r="A4249">
            <v>38037</v>
          </cell>
          <cell r="B4249" t="str">
            <v>CORPORATION</v>
          </cell>
          <cell r="C4249" t="str">
            <v>M De C Nassar</v>
          </cell>
          <cell r="D4249" t="str">
            <v>Premiumparts Suprimentos Industriais</v>
          </cell>
          <cell r="E4249" t="str">
            <v>BR_CNPJ</v>
          </cell>
          <cell r="F4249" t="str">
            <v>17.157.885/0001-30</v>
          </cell>
        </row>
        <row r="4250">
          <cell r="A4250">
            <v>38045</v>
          </cell>
          <cell r="B4250" t="str">
            <v>CORPORATION</v>
          </cell>
          <cell r="C4250" t="str">
            <v>Jose Garcia De Matos Eireli</v>
          </cell>
          <cell r="D4250" t="str">
            <v>Pregao Materiais De Construcao</v>
          </cell>
          <cell r="E4250" t="str">
            <v>BR_CNPJ</v>
          </cell>
          <cell r="F4250" t="str">
            <v>20.613.231/0001-88</v>
          </cell>
          <cell r="G4250" t="str">
            <v>PREGÃO</v>
          </cell>
        </row>
        <row r="4251">
          <cell r="A4251">
            <v>38057</v>
          </cell>
          <cell r="B4251" t="str">
            <v>CORPORATION</v>
          </cell>
          <cell r="C4251" t="str">
            <v>Solda Gas Comercio Ltda</v>
          </cell>
          <cell r="D4251" t="str">
            <v>Solda Gas</v>
          </cell>
          <cell r="E4251" t="str">
            <v>BR_CNPJ</v>
          </cell>
          <cell r="F4251" t="str">
            <v>01.040.744/0001-00</v>
          </cell>
        </row>
        <row r="4252">
          <cell r="A4252">
            <v>38066</v>
          </cell>
          <cell r="B4252" t="str">
            <v>CORPORATION</v>
          </cell>
          <cell r="C4252" t="str">
            <v>Equipe Mais - Comercio E Servicos Ltda - Me</v>
          </cell>
          <cell r="D4252" t="str">
            <v>Equipe Mais</v>
          </cell>
          <cell r="E4252" t="str">
            <v>BR_CNPJ</v>
          </cell>
          <cell r="F4252" t="str">
            <v>65.846.289/0001-00</v>
          </cell>
        </row>
        <row r="4253">
          <cell r="A4253">
            <v>38069</v>
          </cell>
          <cell r="B4253" t="str">
            <v>CORPORATION</v>
          </cell>
          <cell r="C4253" t="str">
            <v>Maria Do Carmo Pontin Calvo - Materiais De Construcao</v>
          </cell>
          <cell r="D4253" t="str">
            <v>Aqualuz</v>
          </cell>
          <cell r="E4253" t="str">
            <v>BR_CNPJ</v>
          </cell>
          <cell r="F4253" t="str">
            <v>11.386.360/0001-90</v>
          </cell>
        </row>
        <row r="4254">
          <cell r="A4254">
            <v>38074</v>
          </cell>
          <cell r="B4254" t="str">
            <v>CORPORATION</v>
          </cell>
          <cell r="C4254" t="str">
            <v>Sulcabos Comercio E Servicos Eireli</v>
          </cell>
          <cell r="D4254" t="str">
            <v>Sulcabos Comercio E Servicos Eireli</v>
          </cell>
          <cell r="E4254" t="str">
            <v>BR_CNPJ</v>
          </cell>
          <cell r="F4254" t="str">
            <v>24.793.806/0001-42</v>
          </cell>
        </row>
        <row r="4255">
          <cell r="A4255">
            <v>38075</v>
          </cell>
          <cell r="B4255" t="str">
            <v>CORPORATION</v>
          </cell>
          <cell r="C4255" t="str">
            <v>Weber E Branda Comercio De Revestimentos E Decoracao Ltda</v>
          </cell>
          <cell r="D4255" t="str">
            <v>Weber E Branda</v>
          </cell>
          <cell r="E4255" t="str">
            <v>BR_CNPJ</v>
          </cell>
          <cell r="F4255" t="str">
            <v>40.896.107/0001-84</v>
          </cell>
        </row>
        <row r="4256">
          <cell r="A4256">
            <v>38086</v>
          </cell>
          <cell r="B4256" t="str">
            <v>CORPORATION</v>
          </cell>
          <cell r="C4256" t="str">
            <v>Ferragista Rr Ltda</v>
          </cell>
          <cell r="D4256" t="str">
            <v>Ferragista Rr</v>
          </cell>
          <cell r="E4256" t="str">
            <v>BR_CNPJ</v>
          </cell>
          <cell r="F4256" t="str">
            <v>41.369.517/0001-30</v>
          </cell>
        </row>
        <row r="4257">
          <cell r="A4257">
            <v>38093</v>
          </cell>
          <cell r="B4257" t="str">
            <v>CORPORATION</v>
          </cell>
          <cell r="C4257" t="str">
            <v>Aj Da Silva Ferragista Ltda</v>
          </cell>
          <cell r="D4257" t="str">
            <v>Ferragista Delta</v>
          </cell>
          <cell r="E4257" t="str">
            <v>BR_CNPJ</v>
          </cell>
          <cell r="F4257" t="str">
            <v>38.652.067/0001-83</v>
          </cell>
          <cell r="G4257" t="str">
            <v>ISMAIK FERRAGENS</v>
          </cell>
        </row>
        <row r="4258">
          <cell r="A4258">
            <v>38099</v>
          </cell>
          <cell r="B4258" t="str">
            <v>CORPORATION</v>
          </cell>
          <cell r="C4258" t="str">
            <v>Jm Comercial Parafusos Ltda</v>
          </cell>
          <cell r="D4258" t="str">
            <v>Jm Parafusos E Acessorios</v>
          </cell>
          <cell r="E4258" t="str">
            <v>BR_CNPJ</v>
          </cell>
          <cell r="F4258" t="str">
            <v>47.188.742/0001-56</v>
          </cell>
        </row>
        <row r="4259">
          <cell r="A4259">
            <v>38102</v>
          </cell>
          <cell r="B4259" t="str">
            <v>CORPORATION</v>
          </cell>
          <cell r="C4259" t="str">
            <v>Jb Ferramentas E Parafusos Ltda</v>
          </cell>
          <cell r="D4259" t="str">
            <v>Jn Parafusos</v>
          </cell>
          <cell r="E4259" t="str">
            <v>BR_CNPJ</v>
          </cell>
          <cell r="F4259" t="str">
            <v>52.702.025/0001-30</v>
          </cell>
        </row>
        <row r="4260">
          <cell r="A4260">
            <v>38109</v>
          </cell>
          <cell r="B4260" t="str">
            <v>CORPORATION</v>
          </cell>
          <cell r="C4260" t="str">
            <v>Aladin Comercio E Importacao De Materiais Eletricos E Eletronicos Eireli</v>
          </cell>
          <cell r="D4260" t="str">
            <v>Aladin Materias De Construcao</v>
          </cell>
          <cell r="E4260" t="str">
            <v>BR_CNPJ</v>
          </cell>
          <cell r="F4260" t="str">
            <v>14.176.788/0001-04</v>
          </cell>
        </row>
        <row r="4261">
          <cell r="A4261">
            <v>38110</v>
          </cell>
          <cell r="B4261" t="str">
            <v>CORPORATION</v>
          </cell>
          <cell r="C4261" t="str">
            <v>Guimepa Suprimentos Industriais Ltda</v>
          </cell>
          <cell r="D4261" t="str">
            <v>Guimepa Suprimentos Industriais Ltda</v>
          </cell>
          <cell r="E4261" t="str">
            <v>BR_CNPJ</v>
          </cell>
          <cell r="F4261" t="str">
            <v>14.213.283/0002-45</v>
          </cell>
          <cell r="G4261" t="str">
            <v>GUIMEPA</v>
          </cell>
        </row>
        <row r="4262">
          <cell r="A4262">
            <v>38122</v>
          </cell>
          <cell r="B4262" t="str">
            <v>CORPORATION</v>
          </cell>
          <cell r="C4262" t="str">
            <v>Marcos R. Barbosa &amp; Scarpeta Ltda</v>
          </cell>
          <cell r="D4262" t="str">
            <v>Eletrofil</v>
          </cell>
          <cell r="E4262" t="str">
            <v>BR_CNPJ</v>
          </cell>
          <cell r="F4262" t="str">
            <v>21.429.326/0001-09</v>
          </cell>
        </row>
        <row r="4263">
          <cell r="A4263">
            <v>38130</v>
          </cell>
          <cell r="B4263" t="str">
            <v>CORPORATION</v>
          </cell>
          <cell r="C4263" t="str">
            <v>Transtocki Ltda</v>
          </cell>
          <cell r="D4263" t="str">
            <v>Transtocki Ltda</v>
          </cell>
          <cell r="E4263" t="str">
            <v>BR_CNPJ</v>
          </cell>
          <cell r="F4263" t="str">
            <v>52.750.681/0001-09</v>
          </cell>
          <cell r="G4263" t="str">
            <v>STOCKI</v>
          </cell>
        </row>
        <row r="4264">
          <cell r="A4264">
            <v>38132</v>
          </cell>
          <cell r="B4264" t="str">
            <v>CORPORATION</v>
          </cell>
          <cell r="C4264" t="str">
            <v>D. P. Lemos Eletrica</v>
          </cell>
          <cell r="D4264" t="str">
            <v>Eletrica Goi</v>
          </cell>
          <cell r="E4264" t="str">
            <v>BR_CNPJ</v>
          </cell>
          <cell r="F4264" t="str">
            <v>11.135.150/0001-29</v>
          </cell>
        </row>
        <row r="4265">
          <cell r="A4265">
            <v>38136</v>
          </cell>
          <cell r="B4265" t="str">
            <v>CORPORATION</v>
          </cell>
          <cell r="C4265" t="str">
            <v>Marina Lucia Pereira</v>
          </cell>
          <cell r="D4265" t="str">
            <v>Casa De Solucoes Em Equipamentos</v>
          </cell>
          <cell r="E4265" t="str">
            <v>BR_CNPJ</v>
          </cell>
          <cell r="F4265" t="str">
            <v>44.673.017/0001-85</v>
          </cell>
        </row>
        <row r="4266">
          <cell r="A4266">
            <v>38140</v>
          </cell>
          <cell r="B4266" t="str">
            <v>CORPORATION</v>
          </cell>
          <cell r="C4266" t="str">
            <v>Casa Dos Acessorios De Alfenas Ltda</v>
          </cell>
          <cell r="D4266" t="str">
            <v>Casa Dos Acessorios De Alfenas Ltda</v>
          </cell>
          <cell r="E4266" t="str">
            <v>BR_CNPJ</v>
          </cell>
          <cell r="F4266" t="str">
            <v>43.639.684/0001-89</v>
          </cell>
        </row>
        <row r="4267">
          <cell r="A4267">
            <v>38142</v>
          </cell>
          <cell r="B4267" t="str">
            <v>CORPORATION</v>
          </cell>
          <cell r="C4267" t="str">
            <v>Psan Industria E Comercio De Estruturas Metalicas Ltda</v>
          </cell>
          <cell r="D4267" t="str">
            <v>Psan Ferro &amp; Aco</v>
          </cell>
          <cell r="E4267" t="str">
            <v>BR_CNPJ</v>
          </cell>
          <cell r="F4267" t="str">
            <v>53.198.007/0001-26</v>
          </cell>
          <cell r="G4267" t="str">
            <v>TORRES SANTANA</v>
          </cell>
        </row>
        <row r="4268">
          <cell r="A4268">
            <v>38143</v>
          </cell>
          <cell r="B4268" t="str">
            <v>CORPORATION</v>
          </cell>
          <cell r="C4268" t="str">
            <v>L.J. Da Silva Distribuicoes Eireli</v>
          </cell>
          <cell r="D4268" t="str">
            <v>Mega Store</v>
          </cell>
          <cell r="E4268" t="str">
            <v>BR_CNPJ</v>
          </cell>
          <cell r="F4268" t="str">
            <v>08.355.660/0001-05</v>
          </cell>
        </row>
        <row r="4269">
          <cell r="A4269">
            <v>38150</v>
          </cell>
          <cell r="B4269" t="str">
            <v>CORPORATION</v>
          </cell>
          <cell r="C4269" t="str">
            <v>Gru Comercial Eletrica Ltda</v>
          </cell>
          <cell r="D4269" t="str">
            <v>Gru Comercial Eletrica Ltda</v>
          </cell>
          <cell r="E4269" t="str">
            <v>BR_CNPJ</v>
          </cell>
          <cell r="F4269" t="str">
            <v>15.372.630/0001-64</v>
          </cell>
        </row>
        <row r="4270">
          <cell r="A4270">
            <v>38156</v>
          </cell>
          <cell r="B4270" t="str">
            <v>CORPORATION</v>
          </cell>
          <cell r="C4270" t="str">
            <v>Juscelia Pereira Dos Santos 96607424872</v>
          </cell>
          <cell r="D4270" t="str">
            <v>Casa Da Luva</v>
          </cell>
          <cell r="E4270" t="str">
            <v>BR_CNPJ</v>
          </cell>
          <cell r="F4270" t="str">
            <v>32.090.510/0001-93</v>
          </cell>
          <cell r="G4270" t="str">
            <v>CASA DA LUVA</v>
          </cell>
        </row>
        <row r="4271">
          <cell r="A4271">
            <v>38159</v>
          </cell>
          <cell r="B4271" t="str">
            <v>CORPORATION</v>
          </cell>
          <cell r="C4271" t="str">
            <v>R Weld Tecnologia Em Solda Ltda</v>
          </cell>
          <cell r="D4271" t="str">
            <v>R Weld (Eletrorafa)</v>
          </cell>
          <cell r="E4271" t="str">
            <v>BR_CNPJ</v>
          </cell>
          <cell r="F4271" t="str">
            <v>15.190.314/0001-71</v>
          </cell>
          <cell r="G4271" t="str">
            <v>ELETRORAFA</v>
          </cell>
        </row>
        <row r="4272">
          <cell r="A4272">
            <v>38163</v>
          </cell>
          <cell r="B4272" t="str">
            <v>CORPORATION</v>
          </cell>
          <cell r="C4272" t="str">
            <v>Vanessa Cristine Frederico 30257283889</v>
          </cell>
          <cell r="D4272" t="str">
            <v>So Maquinas Assistencia Tecnica , Vendas E Acessorios</v>
          </cell>
          <cell r="E4272" t="str">
            <v>BR_CNPJ</v>
          </cell>
          <cell r="F4272" t="str">
            <v>13.290.084/0001-97</v>
          </cell>
        </row>
        <row r="4273">
          <cell r="A4273">
            <v>38170</v>
          </cell>
          <cell r="B4273" t="str">
            <v>CORPORATION</v>
          </cell>
          <cell r="C4273" t="str">
            <v>D &amp; S Materiais Para Construcao Ltda</v>
          </cell>
          <cell r="D4273" t="str">
            <v>Ds Tarumã</v>
          </cell>
          <cell r="E4273" t="str">
            <v>BR_CNPJ</v>
          </cell>
          <cell r="F4273" t="str">
            <v>12.914.154/0001-78</v>
          </cell>
        </row>
        <row r="4274">
          <cell r="A4274">
            <v>38171</v>
          </cell>
          <cell r="B4274" t="str">
            <v>CORPORATION</v>
          </cell>
          <cell r="C4274" t="str">
            <v>Francisco Alexandre Miranda Eufrasio Ltda</v>
          </cell>
          <cell r="D4274" t="str">
            <v>Galpao Do Aco</v>
          </cell>
          <cell r="E4274" t="str">
            <v>BR_CNPJ</v>
          </cell>
          <cell r="F4274" t="str">
            <v>30.395.559/0001-29</v>
          </cell>
        </row>
        <row r="4275">
          <cell r="A4275">
            <v>38178</v>
          </cell>
          <cell r="B4275" t="str">
            <v>CORPORATION</v>
          </cell>
          <cell r="C4275" t="str">
            <v>Fabiane Goncalves Da Silva 05053235678</v>
          </cell>
          <cell r="D4275" t="str">
            <v>Hidraulica E Eletrica Morais</v>
          </cell>
          <cell r="E4275" t="str">
            <v>BR_CNPJ</v>
          </cell>
          <cell r="F4275" t="str">
            <v>26.578.729/0001-33</v>
          </cell>
        </row>
        <row r="4276">
          <cell r="A4276">
            <v>38182</v>
          </cell>
          <cell r="B4276" t="str">
            <v>CORPORATION</v>
          </cell>
          <cell r="C4276" t="str">
            <v>Ferramenta Com. E Distribuidora Ltda</v>
          </cell>
          <cell r="D4276" t="str">
            <v>Intermaq Maquinas E Ferramentas</v>
          </cell>
          <cell r="E4276" t="str">
            <v>BR_CNPJ</v>
          </cell>
          <cell r="F4276" t="str">
            <v>27.269.270/0001-59</v>
          </cell>
        </row>
        <row r="4277">
          <cell r="A4277">
            <v>38183</v>
          </cell>
          <cell r="B4277" t="str">
            <v>CORPORATION</v>
          </cell>
          <cell r="C4277" t="str">
            <v>Metalfer Ferro E Aco Ltda</v>
          </cell>
          <cell r="D4277" t="str">
            <v>Metalfer Ferro E Aco</v>
          </cell>
          <cell r="E4277" t="str">
            <v>BR_CNPJ</v>
          </cell>
          <cell r="F4277" t="str">
            <v>37.675.511/0001-13</v>
          </cell>
          <cell r="G4277" t="str">
            <v xml:space="preserve">Metalfer </v>
          </cell>
        </row>
        <row r="4278">
          <cell r="A4278">
            <v>38185</v>
          </cell>
          <cell r="B4278" t="str">
            <v>CORPORATION</v>
          </cell>
          <cell r="C4278" t="str">
            <v>Iris Santos Filomeno 03415355594</v>
          </cell>
          <cell r="D4278" t="str">
            <v>It Soldas E Montagens</v>
          </cell>
          <cell r="E4278" t="str">
            <v>BR_CNPJ</v>
          </cell>
          <cell r="F4278" t="str">
            <v>41.611.378/0001-09</v>
          </cell>
        </row>
        <row r="4279">
          <cell r="A4279">
            <v>38186</v>
          </cell>
          <cell r="B4279" t="str">
            <v>CORPORATION</v>
          </cell>
          <cell r="C4279" t="str">
            <v>R M Holanda Cordeiro</v>
          </cell>
          <cell r="D4279" t="str">
            <v>Roma Motos</v>
          </cell>
          <cell r="E4279" t="str">
            <v>BR_CNPJ</v>
          </cell>
          <cell r="F4279" t="str">
            <v>35.023.191/0001-91</v>
          </cell>
          <cell r="G4279" t="str">
            <v>ROMA MOTOS</v>
          </cell>
        </row>
        <row r="4280">
          <cell r="A4280">
            <v>38188</v>
          </cell>
          <cell r="B4280" t="str">
            <v>CORPORATION</v>
          </cell>
          <cell r="C4280" t="str">
            <v>L.A.S. Balan Pecas Industriais</v>
          </cell>
          <cell r="D4280" t="str">
            <v>L3 Parts</v>
          </cell>
          <cell r="E4280" t="str">
            <v>BR_CNPJ</v>
          </cell>
          <cell r="F4280" t="str">
            <v>30.556.130/0001-76</v>
          </cell>
        </row>
        <row r="4281">
          <cell r="A4281">
            <v>38189</v>
          </cell>
          <cell r="B4281" t="str">
            <v>CORPORATION</v>
          </cell>
          <cell r="C4281" t="str">
            <v>Baratao Das Mansoes Comercio Eireli</v>
          </cell>
          <cell r="D4281" t="str">
            <v>Baratao Das Mansoes</v>
          </cell>
          <cell r="E4281" t="str">
            <v>BR_CNPJ</v>
          </cell>
          <cell r="F4281" t="str">
            <v>07.064.048/0001-02</v>
          </cell>
        </row>
        <row r="4282">
          <cell r="A4282">
            <v>38190</v>
          </cell>
          <cell r="B4282" t="str">
            <v>CORPORATION</v>
          </cell>
          <cell r="C4282" t="str">
            <v>Ferraminas Maquinas E Ferramentas Ltda</v>
          </cell>
          <cell r="D4282" t="str">
            <v>Ferraminas Maquinas E Ferramentas Ltda</v>
          </cell>
          <cell r="E4282" t="str">
            <v>BR_CNPJ</v>
          </cell>
          <cell r="F4282" t="str">
            <v>19.038.069/0002-13</v>
          </cell>
          <cell r="G4282" t="str">
            <v>FERRAMINAS</v>
          </cell>
        </row>
        <row r="4283">
          <cell r="A4283">
            <v>38192</v>
          </cell>
          <cell r="B4283" t="str">
            <v>CORPORATION</v>
          </cell>
          <cell r="C4283" t="str">
            <v>Tapemag Comercio De Pecas E Acessorios Eireli</v>
          </cell>
          <cell r="D4283" t="str">
            <v>Tapemag Comercio De Pecas E Acessorios</v>
          </cell>
          <cell r="E4283" t="str">
            <v>BR_CNPJ</v>
          </cell>
          <cell r="F4283" t="str">
            <v>31.393.836/0001-27</v>
          </cell>
          <cell r="G4283" t="str">
            <v>TAPEMAG</v>
          </cell>
        </row>
        <row r="4284">
          <cell r="A4284">
            <v>38193</v>
          </cell>
          <cell r="B4284" t="str">
            <v>CORPORATION</v>
          </cell>
          <cell r="C4284" t="str">
            <v>David Joao Eugenio Leite Ltda</v>
          </cell>
          <cell r="D4284" t="str">
            <v>Colinas Materiais Eletricos</v>
          </cell>
          <cell r="E4284" t="str">
            <v>BR_CNPJ</v>
          </cell>
          <cell r="F4284" t="str">
            <v>22.046.246/0001-37</v>
          </cell>
        </row>
        <row r="4285">
          <cell r="A4285">
            <v>38198</v>
          </cell>
          <cell r="B4285" t="str">
            <v>CORPORATION</v>
          </cell>
          <cell r="C4285" t="str">
            <v>Yona'S Ferragens Ltda</v>
          </cell>
          <cell r="D4285" t="str">
            <v>Yona'S</v>
          </cell>
          <cell r="E4285" t="str">
            <v>BR_CNPJ</v>
          </cell>
          <cell r="F4285" t="str">
            <v>67.803.403/0001-40</v>
          </cell>
        </row>
        <row r="4286">
          <cell r="A4286">
            <v>38199</v>
          </cell>
          <cell r="B4286" t="str">
            <v>CORPORATION</v>
          </cell>
          <cell r="C4286" t="str">
            <v>K Comercial De Maquinas Eireli</v>
          </cell>
          <cell r="D4286" t="str">
            <v>Kasamar</v>
          </cell>
          <cell r="E4286" t="str">
            <v>BR_CNPJ</v>
          </cell>
          <cell r="F4286" t="str">
            <v>21.533.098/0002-01</v>
          </cell>
          <cell r="G4286" t="str">
            <v>KASAMAR</v>
          </cell>
        </row>
        <row r="4287">
          <cell r="A4287">
            <v>38201</v>
          </cell>
          <cell r="B4287" t="str">
            <v>CORPORATION</v>
          </cell>
          <cell r="C4287" t="str">
            <v>Mingotti E Ribeiro Materiais De Construcao Ltda</v>
          </cell>
          <cell r="D4287" t="str">
            <v>Acha Tudo</v>
          </cell>
          <cell r="E4287" t="str">
            <v>BR_CNPJ</v>
          </cell>
          <cell r="F4287" t="str">
            <v>07.091.475/0001-80</v>
          </cell>
        </row>
        <row r="4288">
          <cell r="A4288">
            <v>38209</v>
          </cell>
          <cell r="B4288" t="str">
            <v>CORPORATION</v>
          </cell>
          <cell r="C4288" t="str">
            <v>Scandelai Material De Construcao Ltda</v>
          </cell>
          <cell r="D4288" t="str">
            <v>Casa Riograndense</v>
          </cell>
          <cell r="E4288" t="str">
            <v>BR_CNPJ</v>
          </cell>
          <cell r="F4288" t="str">
            <v>00.999.460/0001-75</v>
          </cell>
        </row>
        <row r="4289">
          <cell r="A4289">
            <v>38212</v>
          </cell>
          <cell r="B4289" t="str">
            <v>CORPORATION</v>
          </cell>
          <cell r="C4289" t="str">
            <v>Mixandi Comercio De Gases E Materiais De Solda Ltda</v>
          </cell>
          <cell r="D4289" t="str">
            <v>Mixandi</v>
          </cell>
          <cell r="E4289" t="str">
            <v>BR_CNPJ</v>
          </cell>
          <cell r="F4289" t="str">
            <v>57.365.553/0001-65</v>
          </cell>
          <cell r="G4289" t="str">
            <v>MIXANDI</v>
          </cell>
        </row>
        <row r="4290">
          <cell r="A4290">
            <v>38229</v>
          </cell>
          <cell r="B4290" t="str">
            <v>CORPORATION</v>
          </cell>
          <cell r="C4290" t="str">
            <v>Refer Comercio Eireli</v>
          </cell>
          <cell r="D4290" t="str">
            <v>Refer Comercio Maquinas E Ferramentas</v>
          </cell>
          <cell r="E4290" t="str">
            <v>BR_CNPJ</v>
          </cell>
          <cell r="F4290" t="str">
            <v>17.952.028/0001-21</v>
          </cell>
        </row>
        <row r="4291">
          <cell r="A4291">
            <v>38237</v>
          </cell>
          <cell r="B4291" t="str">
            <v>CORPORATION</v>
          </cell>
          <cell r="C4291" t="str">
            <v>Deltatop Comercio Eletronico Eireli</v>
          </cell>
          <cell r="D4291" t="str">
            <v>Deltatop/Guimepa</v>
          </cell>
          <cell r="E4291" t="str">
            <v>BR_CNPJ</v>
          </cell>
          <cell r="F4291" t="str">
            <v>29.300.337/0001-04</v>
          </cell>
          <cell r="G4291" t="str">
            <v>GUIMEPA</v>
          </cell>
        </row>
        <row r="4292">
          <cell r="A4292">
            <v>38239</v>
          </cell>
          <cell r="B4292" t="str">
            <v>CORPORATION</v>
          </cell>
          <cell r="C4292" t="str">
            <v>Weldtec Automacao &amp; Soldagens Ltda</v>
          </cell>
          <cell r="D4292" t="str">
            <v>Weldtec Automacao &amp; Soldagens</v>
          </cell>
          <cell r="E4292" t="str">
            <v>BR_CNPJ</v>
          </cell>
          <cell r="F4292" t="str">
            <v>23.726.747/0001-27</v>
          </cell>
        </row>
        <row r="4293">
          <cell r="A4293">
            <v>38240</v>
          </cell>
          <cell r="B4293" t="str">
            <v>CORPORATION</v>
          </cell>
          <cell r="C4293" t="str">
            <v>Gmp Suprimentos Gerais Ltda</v>
          </cell>
          <cell r="D4293" t="str">
            <v>Gmp Suprimentos Industriais</v>
          </cell>
          <cell r="E4293" t="str">
            <v>BR_CNPJ</v>
          </cell>
          <cell r="F4293" t="str">
            <v>23.157.174/0001-68</v>
          </cell>
          <cell r="G4293" t="str">
            <v>GUIMEPA</v>
          </cell>
        </row>
        <row r="4294">
          <cell r="A4294">
            <v>38244</v>
          </cell>
          <cell r="B4294" t="str">
            <v>CORPORATION</v>
          </cell>
          <cell r="C4294" t="str">
            <v>Gmk8 Comercio Eletronico Eireli</v>
          </cell>
          <cell r="D4294" t="str">
            <v>Gmk8 Comercio Eletronico Eireli</v>
          </cell>
          <cell r="E4294" t="str">
            <v>BR_CNPJ</v>
          </cell>
          <cell r="F4294" t="str">
            <v>39.590.561/0001-23</v>
          </cell>
          <cell r="G4294" t="str">
            <v>GUIMEPA</v>
          </cell>
        </row>
        <row r="4295">
          <cell r="A4295">
            <v>38246</v>
          </cell>
          <cell r="B4295" t="str">
            <v>CORPORATION</v>
          </cell>
          <cell r="C4295" t="str">
            <v>Giofer Comercio De Ferragens Ltda</v>
          </cell>
          <cell r="D4295" t="str">
            <v>Giofer</v>
          </cell>
          <cell r="E4295" t="str">
            <v>BR_CNPJ</v>
          </cell>
          <cell r="F4295" t="str">
            <v>31.003.227/0001-14</v>
          </cell>
        </row>
        <row r="4296">
          <cell r="A4296">
            <v>38249</v>
          </cell>
          <cell r="B4296" t="str">
            <v>CORPORATION</v>
          </cell>
          <cell r="C4296" t="str">
            <v>R. Casagrande &amp; Ferreira Ltda Me</v>
          </cell>
          <cell r="D4296" t="str">
            <v>Casagrande - Material De Construcao</v>
          </cell>
          <cell r="E4296" t="str">
            <v>BR_CNPJ</v>
          </cell>
          <cell r="F4296" t="str">
            <v>07.791.226/0001-05</v>
          </cell>
        </row>
        <row r="4297">
          <cell r="A4297">
            <v>38251</v>
          </cell>
          <cell r="B4297" t="str">
            <v>CORPORATION</v>
          </cell>
          <cell r="C4297" t="str">
            <v>Conexao - Comercio De Ferramentas Ltda</v>
          </cell>
          <cell r="D4297" t="str">
            <v>Conexao Ferramentas</v>
          </cell>
          <cell r="E4297" t="str">
            <v>BR_CNPJ</v>
          </cell>
          <cell r="F4297" t="str">
            <v>07.821.059/0001-90</v>
          </cell>
        </row>
        <row r="4298">
          <cell r="A4298">
            <v>38253</v>
          </cell>
          <cell r="B4298" t="str">
            <v>CORPORATION</v>
          </cell>
          <cell r="C4298" t="str">
            <v>Ctga Equipamentos E Ferramentas Ltda</v>
          </cell>
          <cell r="D4298" t="str">
            <v>Caratinga Equipamentos E Ferramentas</v>
          </cell>
          <cell r="E4298" t="str">
            <v>BR_CNPJ</v>
          </cell>
          <cell r="F4298" t="str">
            <v>08.257.066/0001-73</v>
          </cell>
          <cell r="G4298" t="str">
            <v>CARATINGA</v>
          </cell>
        </row>
        <row r="4299">
          <cell r="A4299">
            <v>38261</v>
          </cell>
          <cell r="B4299" t="str">
            <v>CORPORATION</v>
          </cell>
          <cell r="C4299" t="str">
            <v>Comercial De Alimentos Padrao Ltda</v>
          </cell>
          <cell r="D4299" t="str">
            <v>Super Padrao Supermercado</v>
          </cell>
          <cell r="E4299" t="str">
            <v>BR_CNPJ</v>
          </cell>
          <cell r="F4299" t="str">
            <v>43.539.332/0001-51</v>
          </cell>
          <cell r="G4299" t="str">
            <v>FERRAGISTA FERNANDES</v>
          </cell>
        </row>
        <row r="4300">
          <cell r="A4300">
            <v>38262</v>
          </cell>
          <cell r="B4300" t="str">
            <v>CORPORATION</v>
          </cell>
          <cell r="C4300" t="str">
            <v>Tiete Parafusos - Comercio De Ferramentas E Ferragens Ltda</v>
          </cell>
          <cell r="D4300" t="str">
            <v>Tiete Parafusos</v>
          </cell>
          <cell r="E4300" t="str">
            <v>BR_CNPJ</v>
          </cell>
          <cell r="F4300" t="str">
            <v>21.644.607/0001-84</v>
          </cell>
          <cell r="G4300" t="str">
            <v>TIETE</v>
          </cell>
        </row>
        <row r="4301">
          <cell r="A4301">
            <v>38265</v>
          </cell>
          <cell r="B4301" t="str">
            <v>CORPORATION</v>
          </cell>
          <cell r="C4301" t="str">
            <v>P K Ferramentas Ltda</v>
          </cell>
          <cell r="D4301" t="str">
            <v>P K Ferramentas</v>
          </cell>
          <cell r="E4301" t="str">
            <v>BR_CNPJ</v>
          </cell>
          <cell r="F4301" t="str">
            <v>14.524.450/0001-98</v>
          </cell>
        </row>
        <row r="4302">
          <cell r="A4302">
            <v>38269</v>
          </cell>
          <cell r="B4302" t="str">
            <v>CORPORATION</v>
          </cell>
          <cell r="C4302" t="str">
            <v>Lider Parafusos Comercio De Ferragens Ltda</v>
          </cell>
          <cell r="D4302" t="str">
            <v>Lider Parafusos</v>
          </cell>
          <cell r="E4302" t="str">
            <v>BR_CNPJ</v>
          </cell>
          <cell r="F4302" t="str">
            <v>24.915.329/0001-40</v>
          </cell>
        </row>
        <row r="4303">
          <cell r="A4303">
            <v>38273</v>
          </cell>
          <cell r="B4303" t="str">
            <v>CORPORATION</v>
          </cell>
          <cell r="C4303" t="str">
            <v>Ra Martins Borges &amp; Negocios Ltda</v>
          </cell>
          <cell r="D4303" t="str">
            <v>Ismafer - Goiania</v>
          </cell>
          <cell r="E4303" t="str">
            <v>BR_CNPJ</v>
          </cell>
          <cell r="F4303" t="str">
            <v>08.492.961/0001-72</v>
          </cell>
          <cell r="G4303" t="str">
            <v>ISMAFER</v>
          </cell>
        </row>
        <row r="4304">
          <cell r="A4304">
            <v>38277</v>
          </cell>
          <cell r="B4304" t="str">
            <v>CORPORATION</v>
          </cell>
          <cell r="C4304" t="str">
            <v>Izabela Luzia Da Silva 11348273690</v>
          </cell>
          <cell r="D4304" t="str">
            <v>Ribeiro Ferramentas</v>
          </cell>
          <cell r="E4304" t="str">
            <v>BR_CNPJ</v>
          </cell>
          <cell r="F4304" t="str">
            <v>27.078.176/0001-12</v>
          </cell>
          <cell r="G4304" t="str">
            <v>RIBEIRO FERRAMENTAS</v>
          </cell>
        </row>
        <row r="4305">
          <cell r="A4305">
            <v>38291</v>
          </cell>
          <cell r="B4305" t="str">
            <v>CORPORATION</v>
          </cell>
          <cell r="C4305" t="str">
            <v>Kapdima Comercio E Manutencao De Maquinas E Equipamentos Industriais Eireli</v>
          </cell>
          <cell r="D4305" t="str">
            <v>Kapdima</v>
          </cell>
          <cell r="E4305" t="str">
            <v>BR_CNPJ</v>
          </cell>
          <cell r="F4305" t="str">
            <v>15.661.668/0001-57</v>
          </cell>
        </row>
        <row r="4306">
          <cell r="A4306">
            <v>38295</v>
          </cell>
          <cell r="B4306" t="str">
            <v>CORPORATION</v>
          </cell>
          <cell r="C4306" t="str">
            <v>Prime Suprimentos Industriais Eireli</v>
          </cell>
          <cell r="D4306" t="str">
            <v>Prime Suprimentos</v>
          </cell>
          <cell r="E4306" t="str">
            <v>BR_CNPJ</v>
          </cell>
          <cell r="F4306" t="str">
            <v>24.764.650/0001-71</v>
          </cell>
          <cell r="G4306" t="str">
            <v>PRIME SUPRIMENTOS</v>
          </cell>
        </row>
        <row r="4307">
          <cell r="A4307">
            <v>38296</v>
          </cell>
          <cell r="B4307" t="str">
            <v>CORPORATION</v>
          </cell>
          <cell r="C4307" t="str">
            <v>Aldy - Equipamentos E Servicos Ltda</v>
          </cell>
          <cell r="D4307" t="str">
            <v>Aldy - Equipamentos E Servicos Ltda</v>
          </cell>
          <cell r="E4307" t="str">
            <v>BR_CNPJ</v>
          </cell>
          <cell r="F4307" t="str">
            <v>02.061.784/0001-93</v>
          </cell>
        </row>
        <row r="4308">
          <cell r="A4308">
            <v>38302</v>
          </cell>
          <cell r="B4308" t="str">
            <v>CORPORATION</v>
          </cell>
          <cell r="C4308" t="str">
            <v>50.324.627 Joao Victor Ferreira Pinto</v>
          </cell>
          <cell r="D4308" t="str">
            <v>Mf Distribuidora</v>
          </cell>
          <cell r="E4308" t="str">
            <v>BR_CNPJ</v>
          </cell>
          <cell r="F4308" t="str">
            <v>50.324.627/0001-76</v>
          </cell>
          <cell r="G4308" t="str">
            <v>MF DISTRIBUIDORA</v>
          </cell>
        </row>
        <row r="4309">
          <cell r="A4309">
            <v>38303</v>
          </cell>
          <cell r="B4309" t="str">
            <v>CORPORATION</v>
          </cell>
          <cell r="C4309" t="str">
            <v>Pg Montagem E Manutencao Industrial Ltda</v>
          </cell>
          <cell r="D4309" t="str">
            <v>Pg Locacoes E Montagem (Prana Ferramentas)</v>
          </cell>
          <cell r="E4309" t="str">
            <v>BR_CNPJ</v>
          </cell>
          <cell r="F4309" t="str">
            <v>27.546.367/0001-61</v>
          </cell>
          <cell r="G4309" t="str">
            <v>PRANA</v>
          </cell>
        </row>
        <row r="4310">
          <cell r="A4310">
            <v>38304</v>
          </cell>
          <cell r="B4310" t="str">
            <v>CORPORATION</v>
          </cell>
          <cell r="C4310" t="str">
            <v>Flecha Fer Ferragens &amp; Ferramentas Ltda</v>
          </cell>
          <cell r="D4310" t="str">
            <v>Flechafer</v>
          </cell>
          <cell r="E4310" t="str">
            <v>BR_CNPJ</v>
          </cell>
          <cell r="F4310" t="str">
            <v>23.830.342/0001-34</v>
          </cell>
        </row>
        <row r="4311">
          <cell r="A4311">
            <v>38308</v>
          </cell>
          <cell r="B4311" t="str">
            <v>CORPORATION</v>
          </cell>
          <cell r="C4311" t="str">
            <v>M. M De Lemos Comercio De Ferramentas</v>
          </cell>
          <cell r="D4311" t="str">
            <v>Macae Suprimentos</v>
          </cell>
          <cell r="E4311" t="str">
            <v>BR_CNPJ</v>
          </cell>
          <cell r="F4311" t="str">
            <v>30.975.259/0001-19</v>
          </cell>
        </row>
        <row r="4312">
          <cell r="A4312">
            <v>38314</v>
          </cell>
          <cell r="B4312" t="str">
            <v>CORPORATION</v>
          </cell>
          <cell r="C4312" t="str">
            <v>P. Isabel De Sousa Vasconcelos Ltda</v>
          </cell>
          <cell r="D4312" t="str">
            <v>Comafel</v>
          </cell>
          <cell r="E4312" t="str">
            <v>BR_CNPJ</v>
          </cell>
          <cell r="F4312" t="str">
            <v>07.865.230/0001-62</v>
          </cell>
          <cell r="G4312" t="str">
            <v>COMAFEL</v>
          </cell>
        </row>
        <row r="4313">
          <cell r="A4313">
            <v>38329</v>
          </cell>
          <cell r="B4313" t="str">
            <v>CORPORATION</v>
          </cell>
          <cell r="C4313" t="str">
            <v>Vieira Offshore Ltda</v>
          </cell>
          <cell r="D4313" t="str">
            <v>Vieira Offshore</v>
          </cell>
          <cell r="E4313" t="str">
            <v>BR_CNPJ</v>
          </cell>
          <cell r="F4313" t="str">
            <v>23.809.137/0001-97</v>
          </cell>
        </row>
        <row r="4314">
          <cell r="A4314">
            <v>38348</v>
          </cell>
          <cell r="B4314" t="str">
            <v>CORPORATION</v>
          </cell>
          <cell r="C4314" t="str">
            <v>Vanderley Do Carmo Vito Materiais De Construcao Eireli</v>
          </cell>
          <cell r="D4314" t="str">
            <v>Casa Forte</v>
          </cell>
          <cell r="E4314" t="str">
            <v>BR_CNPJ</v>
          </cell>
          <cell r="F4314" t="str">
            <v>05.948.469/0001-70</v>
          </cell>
        </row>
        <row r="4315">
          <cell r="A4315">
            <v>38353</v>
          </cell>
          <cell r="B4315" t="str">
            <v>CORPORATION</v>
          </cell>
          <cell r="C4315" t="str">
            <v>Agropisco Comercio E Servicos De Equipamentos Eireli</v>
          </cell>
          <cell r="D4315" t="str">
            <v>Agropisco</v>
          </cell>
          <cell r="E4315" t="str">
            <v>BR_CNPJ</v>
          </cell>
          <cell r="F4315" t="str">
            <v>84.125.962/0001-67</v>
          </cell>
        </row>
        <row r="4316">
          <cell r="A4316">
            <v>38354</v>
          </cell>
          <cell r="B4316" t="str">
            <v>CORPORATION</v>
          </cell>
          <cell r="C4316" t="str">
            <v>Agnaldo Sergio Goncalves Materiais De Construcao</v>
          </cell>
          <cell r="D4316" t="str">
            <v>Materiais De Construcao Felipe</v>
          </cell>
          <cell r="E4316" t="str">
            <v>BR_CNPJ</v>
          </cell>
          <cell r="F4316" t="str">
            <v>03.433.546/0001-24</v>
          </cell>
        </row>
        <row r="4317">
          <cell r="A4317">
            <v>38358</v>
          </cell>
          <cell r="B4317" t="str">
            <v>CORPORATION</v>
          </cell>
          <cell r="C4317" t="str">
            <v>44.312.199 Anderson Da Conceicao Araujo</v>
          </cell>
          <cell r="D4317" t="str">
            <v>Anderson Da Conceicao Araujo</v>
          </cell>
          <cell r="E4317" t="str">
            <v>BR_CNPJ</v>
          </cell>
          <cell r="F4317" t="str">
            <v>44.312.199/0001-69</v>
          </cell>
        </row>
        <row r="4318">
          <cell r="A4318">
            <v>38363</v>
          </cell>
          <cell r="B4318" t="str">
            <v>CORPORATION</v>
          </cell>
          <cell r="C4318" t="str">
            <v>Companhia Da Solda Ltda</v>
          </cell>
          <cell r="D4318" t="str">
            <v>Cia Solda (Sia Solda)</v>
          </cell>
          <cell r="E4318" t="str">
            <v>BR_CNPJ</v>
          </cell>
          <cell r="F4318" t="str">
            <v>53.310.768/0001-28</v>
          </cell>
          <cell r="G4318" t="str">
            <v>SIA SOLDA</v>
          </cell>
        </row>
        <row r="4319">
          <cell r="A4319">
            <v>38370</v>
          </cell>
          <cell r="B4319" t="str">
            <v>CORPORATION</v>
          </cell>
          <cell r="C4319" t="str">
            <v>La Stor Comercio E Servicos Ltda</v>
          </cell>
          <cell r="D4319" t="str">
            <v>La Stor</v>
          </cell>
          <cell r="E4319" t="str">
            <v>BR_CNPJ</v>
          </cell>
          <cell r="F4319" t="str">
            <v>30.500.671/0001-82</v>
          </cell>
        </row>
        <row r="4320">
          <cell r="A4320">
            <v>38371</v>
          </cell>
          <cell r="B4320" t="str">
            <v>CORPORATION</v>
          </cell>
          <cell r="C4320" t="str">
            <v>Peterson De Jesus Medeiros 29568162844</v>
          </cell>
          <cell r="D4320" t="str">
            <v>Peterson</v>
          </cell>
          <cell r="E4320" t="str">
            <v>BR_CNPJ</v>
          </cell>
          <cell r="F4320" t="str">
            <v>12.527.730/0001-24</v>
          </cell>
        </row>
        <row r="4321">
          <cell r="A4321">
            <v>38374</v>
          </cell>
          <cell r="B4321" t="str">
            <v>CORPORATION</v>
          </cell>
          <cell r="C4321" t="str">
            <v>Engeshop Comercio De Ferramentas Ltda</v>
          </cell>
          <cell r="D4321" t="str">
            <v>Engeshop</v>
          </cell>
          <cell r="E4321" t="str">
            <v>BR_CNPJ</v>
          </cell>
          <cell r="F4321" t="str">
            <v>05.755.867/0001-70</v>
          </cell>
        </row>
        <row r="4322">
          <cell r="A4322">
            <v>38375</v>
          </cell>
          <cell r="B4322" t="str">
            <v>CORPORATION</v>
          </cell>
          <cell r="C4322" t="str">
            <v>William De Siqueira Scherrer 43959787898</v>
          </cell>
          <cell r="D4322" t="str">
            <v>Casa Da Luva</v>
          </cell>
          <cell r="E4322" t="str">
            <v>BR_CNPJ</v>
          </cell>
          <cell r="F4322" t="str">
            <v>32.619.184/0001-69</v>
          </cell>
          <cell r="G4322" t="str">
            <v>CASA DA LUVA</v>
          </cell>
        </row>
        <row r="4323">
          <cell r="A4323">
            <v>38381</v>
          </cell>
          <cell r="B4323" t="str">
            <v>CORPORATION</v>
          </cell>
          <cell r="C4323" t="str">
            <v>Daupar Comercio De Ferragens E Ferramentas Ltda</v>
          </cell>
          <cell r="D4323" t="str">
            <v>Daupar</v>
          </cell>
          <cell r="E4323" t="str">
            <v>BR_CNPJ</v>
          </cell>
          <cell r="F4323" t="str">
            <v>14.551.660/0001-75</v>
          </cell>
        </row>
        <row r="4324">
          <cell r="A4324">
            <v>38389</v>
          </cell>
          <cell r="B4324" t="str">
            <v>CORPORATION</v>
          </cell>
          <cell r="C4324" t="str">
            <v>Mg Suprimentos Industriais Ltda</v>
          </cell>
          <cell r="D4324" t="str">
            <v>Tradipar</v>
          </cell>
          <cell r="E4324" t="str">
            <v>BR_CNPJ</v>
          </cell>
          <cell r="F4324" t="str">
            <v>07.956.465/0001-60</v>
          </cell>
          <cell r="G4324" t="str">
            <v>TRADIPAR</v>
          </cell>
        </row>
        <row r="4325">
          <cell r="A4325">
            <v>38397</v>
          </cell>
          <cell r="B4325" t="str">
            <v>CORPORATION</v>
          </cell>
          <cell r="C4325" t="str">
            <v>Aco-Fer Comercio De Produtos Siderurgicos Ltda</v>
          </cell>
          <cell r="D4325" t="str">
            <v>Aço Fer - Filial</v>
          </cell>
          <cell r="E4325" t="str">
            <v>BR_CNPJ</v>
          </cell>
          <cell r="F4325" t="str">
            <v>03.240.029/0002-10</v>
          </cell>
          <cell r="G4325" t="str">
            <v>AÇO-FER</v>
          </cell>
        </row>
        <row r="4326">
          <cell r="A4326">
            <v>38398</v>
          </cell>
          <cell r="B4326" t="str">
            <v>CORPORATION</v>
          </cell>
          <cell r="C4326" t="str">
            <v>Marcos Paulo Camacho</v>
          </cell>
          <cell r="D4326" t="str">
            <v>Fixogeral Parafusos &amp; Ferramentas</v>
          </cell>
          <cell r="E4326" t="str">
            <v>BR_CNPJ</v>
          </cell>
          <cell r="F4326" t="str">
            <v>07.789.628/0001-67</v>
          </cell>
        </row>
        <row r="4327">
          <cell r="A4327">
            <v>38402</v>
          </cell>
          <cell r="B4327" t="str">
            <v>CORPORATION</v>
          </cell>
          <cell r="C4327" t="str">
            <v>Digicorte Cnc Maquinas Ltda</v>
          </cell>
          <cell r="D4327" t="str">
            <v>Digicorte Cnc Maquinas</v>
          </cell>
          <cell r="E4327" t="str">
            <v>BR_CNPJ</v>
          </cell>
          <cell r="F4327" t="str">
            <v>22.500.485/0001-15</v>
          </cell>
        </row>
        <row r="4328">
          <cell r="A4328">
            <v>38403</v>
          </cell>
          <cell r="B4328" t="str">
            <v>CORPORATION</v>
          </cell>
          <cell r="C4328" t="str">
            <v>Distribuidora Blumenau Ltda</v>
          </cell>
          <cell r="D4328" t="str">
            <v>Distribuidora Blumenau</v>
          </cell>
          <cell r="E4328" t="str">
            <v>BR_CNPJ</v>
          </cell>
          <cell r="F4328" t="str">
            <v>03.910.903/0001-06</v>
          </cell>
        </row>
        <row r="4329">
          <cell r="A4329">
            <v>38406</v>
          </cell>
          <cell r="B4329" t="str">
            <v>CORPORATION</v>
          </cell>
          <cell r="C4329" t="str">
            <v>Fs Suprimentos - Eireli</v>
          </cell>
          <cell r="D4329" t="str">
            <v>Fs Suprimentos</v>
          </cell>
          <cell r="E4329" t="str">
            <v>BR_CNPJ</v>
          </cell>
          <cell r="F4329" t="str">
            <v>11.523.678/0001-75</v>
          </cell>
        </row>
        <row r="4330">
          <cell r="A4330">
            <v>38413</v>
          </cell>
          <cell r="B4330" t="str">
            <v>CORPORATION</v>
          </cell>
          <cell r="C4330" t="str">
            <v>W T De Souza &amp; Cia Ltda</v>
          </cell>
          <cell r="D4330" t="str">
            <v>Souza Materiais De Construcao</v>
          </cell>
          <cell r="E4330" t="str">
            <v>BR_CNPJ</v>
          </cell>
          <cell r="F4330" t="str">
            <v>18.402.554/0001-80</v>
          </cell>
          <cell r="G4330" t="str">
            <v>W T</v>
          </cell>
        </row>
        <row r="4331">
          <cell r="A4331">
            <v>38415</v>
          </cell>
          <cell r="B4331" t="str">
            <v>CORPORATION</v>
          </cell>
          <cell r="C4331" t="str">
            <v>Cooperativa Dos Plantadores De Cana Do Estado Sao Paulo</v>
          </cell>
          <cell r="D4331" t="str">
            <v>Coplacana (Nova Odessa)</v>
          </cell>
          <cell r="E4331" t="str">
            <v>BR_CNPJ</v>
          </cell>
          <cell r="F4331" t="str">
            <v>54.366.547/0021-88</v>
          </cell>
          <cell r="G4331" t="str">
            <v>COPLACANA</v>
          </cell>
        </row>
        <row r="4332">
          <cell r="A4332">
            <v>38419</v>
          </cell>
          <cell r="B4332" t="str">
            <v>CORPORATION</v>
          </cell>
          <cell r="C4332" t="str">
            <v>Monfardini Serraria Ltda</v>
          </cell>
          <cell r="D4332" t="str">
            <v>Monfardini Madeiras</v>
          </cell>
          <cell r="E4332" t="str">
            <v>BR_CNPJ</v>
          </cell>
          <cell r="F4332" t="str">
            <v>20.127.977/0001-81</v>
          </cell>
          <cell r="G4332" t="str">
            <v>MONFARDINI</v>
          </cell>
        </row>
        <row r="4333">
          <cell r="A4333">
            <v>38428</v>
          </cell>
          <cell r="B4333" t="str">
            <v>CORPORATION</v>
          </cell>
          <cell r="C4333" t="str">
            <v>Pivo E Cia Eireli</v>
          </cell>
          <cell r="D4333" t="str">
            <v>Pivo E Cia</v>
          </cell>
          <cell r="E4333" t="str">
            <v>BR_CNPJ</v>
          </cell>
          <cell r="F4333" t="str">
            <v>43.206.749/0001-00</v>
          </cell>
        </row>
        <row r="4334">
          <cell r="A4334">
            <v>38434</v>
          </cell>
          <cell r="B4334" t="str">
            <v>CORPORATION</v>
          </cell>
          <cell r="C4334" t="str">
            <v>Ra Martins Borges &amp; Negocios Ltda</v>
          </cell>
          <cell r="D4334" t="str">
            <v>Ismafer - Sp</v>
          </cell>
          <cell r="E4334" t="str">
            <v>BR_CNPJ</v>
          </cell>
          <cell r="F4334" t="str">
            <v>08.492.961/0003-34</v>
          </cell>
          <cell r="G4334" t="str">
            <v>ISMAFER</v>
          </cell>
        </row>
        <row r="4335">
          <cell r="A4335">
            <v>38440</v>
          </cell>
          <cell r="B4335" t="str">
            <v>CORPORATION</v>
          </cell>
          <cell r="C4335" t="str">
            <v>Paiol Storehouse Ltda</v>
          </cell>
          <cell r="D4335" t="str">
            <v>Paiol Storehouse</v>
          </cell>
          <cell r="E4335" t="str">
            <v>BR_CNPJ</v>
          </cell>
          <cell r="F4335" t="str">
            <v>03.523.474/0001-06</v>
          </cell>
        </row>
        <row r="4336">
          <cell r="A4336">
            <v>38441</v>
          </cell>
          <cell r="B4336" t="str">
            <v>CORPORATION</v>
          </cell>
          <cell r="C4336" t="str">
            <v>M.N Teruya Comercial De Ferramentas Ltda</v>
          </cell>
          <cell r="D4336" t="str">
            <v>Cofema Sumaré 2</v>
          </cell>
          <cell r="E4336" t="str">
            <v>BR_CNPJ</v>
          </cell>
          <cell r="F4336" t="str">
            <v>69.194.454/0006-51</v>
          </cell>
          <cell r="G4336" t="str">
            <v>COFEMA</v>
          </cell>
        </row>
        <row r="4337">
          <cell r="A4337">
            <v>38445</v>
          </cell>
          <cell r="B4337" t="str">
            <v>CORPORATION</v>
          </cell>
          <cell r="C4337" t="str">
            <v>Elite Maquinas Eletricas Ltda</v>
          </cell>
          <cell r="D4337" t="str">
            <v>Elite Maquinas</v>
          </cell>
          <cell r="E4337" t="str">
            <v>BR_CNPJ</v>
          </cell>
          <cell r="F4337" t="str">
            <v>00.750.894/0001-37</v>
          </cell>
        </row>
        <row r="4338">
          <cell r="A4338">
            <v>38449</v>
          </cell>
          <cell r="B4338" t="str">
            <v>CORPORATION</v>
          </cell>
          <cell r="C4338" t="str">
            <v>Vercezi &amp; Vercezi Ltda</v>
          </cell>
          <cell r="D4338" t="str">
            <v>Depósito Avenida</v>
          </cell>
          <cell r="E4338" t="str">
            <v>BR_CNPJ</v>
          </cell>
          <cell r="F4338" t="str">
            <v>12.535.268/0001-07</v>
          </cell>
        </row>
        <row r="4339">
          <cell r="A4339">
            <v>38450</v>
          </cell>
          <cell r="B4339" t="str">
            <v>CORPORATION</v>
          </cell>
          <cell r="C4339" t="str">
            <v>C. Iseppi Schreiber &amp; Cia Ltda</v>
          </cell>
          <cell r="D4339" t="str">
            <v>Sulforce</v>
          </cell>
          <cell r="E4339" t="str">
            <v>BR_CNPJ</v>
          </cell>
          <cell r="F4339" t="str">
            <v>38.400.744/0001-76</v>
          </cell>
        </row>
        <row r="4340">
          <cell r="A4340">
            <v>38452</v>
          </cell>
          <cell r="B4340" t="str">
            <v>CORPORATION</v>
          </cell>
          <cell r="C4340" t="str">
            <v>Bruna Comercio De Epis Eireli</v>
          </cell>
          <cell r="D4340" t="str">
            <v>Br Comercio</v>
          </cell>
          <cell r="E4340" t="str">
            <v>BR_CNPJ</v>
          </cell>
          <cell r="F4340" t="str">
            <v>03.626.667/0001-92</v>
          </cell>
        </row>
        <row r="4341">
          <cell r="A4341">
            <v>38458</v>
          </cell>
          <cell r="B4341" t="str">
            <v>CORPORATION</v>
          </cell>
          <cell r="C4341" t="str">
            <v>Salvador De Barros Primo &amp; Cia Ltda</v>
          </cell>
          <cell r="D4341" t="str">
            <v>Ventilar Maquinas E Ferramentas</v>
          </cell>
          <cell r="E4341" t="str">
            <v>BR_CNPJ</v>
          </cell>
          <cell r="F4341" t="str">
            <v>58.216.011/0001-93</v>
          </cell>
        </row>
        <row r="4342">
          <cell r="A4342">
            <v>38466</v>
          </cell>
          <cell r="B4342" t="str">
            <v>CORPORATION</v>
          </cell>
          <cell r="C4342" t="str">
            <v>Tintas Barreirinha Ltda</v>
          </cell>
          <cell r="D4342" t="str">
            <v>Tintas Barreirinha</v>
          </cell>
          <cell r="E4342" t="str">
            <v>BR_CNPJ</v>
          </cell>
          <cell r="F4342" t="str">
            <v>21.063.374/0001-26</v>
          </cell>
        </row>
        <row r="4343">
          <cell r="A4343">
            <v>38475</v>
          </cell>
          <cell r="B4343" t="str">
            <v>CORPORATION</v>
          </cell>
          <cell r="C4343" t="str">
            <v>Selmacon Materiais De Construcao Ltda</v>
          </cell>
          <cell r="D4343" t="str">
            <v>So Irmaos</v>
          </cell>
          <cell r="E4343" t="str">
            <v>BR_CNPJ</v>
          </cell>
          <cell r="F4343" t="str">
            <v>03.093.340/0001-00</v>
          </cell>
        </row>
        <row r="4344">
          <cell r="A4344">
            <v>38477</v>
          </cell>
          <cell r="B4344" t="str">
            <v>CORPORATION</v>
          </cell>
          <cell r="C4344" t="str">
            <v>Construdecor S/A</v>
          </cell>
          <cell r="D4344" t="str">
            <v>Dicico (Cd) (Sodimac)</v>
          </cell>
          <cell r="E4344" t="str">
            <v>BR_CNPJ</v>
          </cell>
          <cell r="F4344" t="str">
            <v>03.439.316/0064-56</v>
          </cell>
          <cell r="G4344" t="str">
            <v>SODIMAC</v>
          </cell>
        </row>
        <row r="4345">
          <cell r="A4345">
            <v>38479</v>
          </cell>
          <cell r="B4345" t="str">
            <v>CORPORATION</v>
          </cell>
          <cell r="C4345" t="str">
            <v>Prisma Comercio De Ferragens E Ferramentas Ltda</v>
          </cell>
          <cell r="D4345" t="str">
            <v>Prisma Ferramentas E Ferragens</v>
          </cell>
          <cell r="E4345" t="str">
            <v>BR_CNPJ</v>
          </cell>
          <cell r="F4345" t="str">
            <v>42.866.766/0001-01</v>
          </cell>
        </row>
        <row r="4346">
          <cell r="A4346">
            <v>38481</v>
          </cell>
          <cell r="B4346" t="str">
            <v>CORPORATION</v>
          </cell>
          <cell r="C4346" t="str">
            <v>Angelo Mozzaquatro &amp; Cia Ltda</v>
          </cell>
          <cell r="D4346" t="str">
            <v>Angelo Mozzaquatro</v>
          </cell>
          <cell r="E4346" t="str">
            <v>BR_CNPJ</v>
          </cell>
          <cell r="F4346" t="str">
            <v>08.140.330/0001-94</v>
          </cell>
        </row>
        <row r="4347">
          <cell r="A4347">
            <v>38483</v>
          </cell>
          <cell r="B4347" t="str">
            <v>CORPORATION</v>
          </cell>
          <cell r="C4347" t="str">
            <v>P H Lorini</v>
          </cell>
          <cell r="D4347" t="str">
            <v>Comercial Navel</v>
          </cell>
          <cell r="E4347" t="str">
            <v>BR_CNPJ</v>
          </cell>
          <cell r="F4347" t="str">
            <v>29.898.138/0001-31</v>
          </cell>
          <cell r="G4347" t="str">
            <v>NAVEL</v>
          </cell>
        </row>
        <row r="4348">
          <cell r="A4348">
            <v>38484</v>
          </cell>
          <cell r="B4348" t="str">
            <v>CORPORATION</v>
          </cell>
          <cell r="C4348" t="str">
            <v>Amc Ferragens E Ferramentas Ltda</v>
          </cell>
          <cell r="D4348" t="str">
            <v>Amc Ferragens</v>
          </cell>
          <cell r="E4348" t="str">
            <v>BR_CNPJ</v>
          </cell>
          <cell r="F4348" t="str">
            <v>34.039.917/0001-11</v>
          </cell>
        </row>
        <row r="4349">
          <cell r="A4349">
            <v>38486</v>
          </cell>
          <cell r="B4349" t="str">
            <v>CORPORATION</v>
          </cell>
          <cell r="C4349" t="str">
            <v>Abrasul Abrasivo Epi Soldas Ltda</v>
          </cell>
          <cell r="D4349" t="str">
            <v>Abrasul Abrasivo Epi Soldas Ltda</v>
          </cell>
          <cell r="E4349" t="str">
            <v>BR_CNPJ</v>
          </cell>
          <cell r="F4349" t="str">
            <v>10.619.499/0003-35</v>
          </cell>
        </row>
        <row r="4350">
          <cell r="A4350">
            <v>38488</v>
          </cell>
          <cell r="B4350" t="str">
            <v>CORPORATION</v>
          </cell>
          <cell r="C4350" t="str">
            <v>R M Ferreira - Me</v>
          </cell>
          <cell r="D4350" t="str">
            <v>Rural Maquinas</v>
          </cell>
          <cell r="E4350" t="str">
            <v>BR_CNPJ</v>
          </cell>
          <cell r="F4350" t="str">
            <v>28.589.874/0001-45</v>
          </cell>
        </row>
        <row r="4351">
          <cell r="A4351">
            <v>38490</v>
          </cell>
          <cell r="B4351" t="str">
            <v>CORPORATION</v>
          </cell>
          <cell r="C4351" t="str">
            <v>L &amp; C Ferro E Aco Ltda</v>
          </cell>
          <cell r="D4351" t="str">
            <v>Lc Ferro E Aco</v>
          </cell>
          <cell r="E4351" t="str">
            <v>BR_CNPJ</v>
          </cell>
          <cell r="F4351" t="str">
            <v>23.990.599/0001-53</v>
          </cell>
        </row>
        <row r="4352">
          <cell r="A4352">
            <v>38491</v>
          </cell>
          <cell r="B4352" t="str">
            <v>CORPORATION</v>
          </cell>
          <cell r="C4352" t="str">
            <v>Rei Das Ferragens Ltda</v>
          </cell>
          <cell r="D4352" t="str">
            <v>Rei Das Ferragens</v>
          </cell>
          <cell r="E4352" t="str">
            <v>BR_CNPJ</v>
          </cell>
          <cell r="F4352" t="str">
            <v>07.601.990/0001-62</v>
          </cell>
        </row>
        <row r="4353">
          <cell r="A4353">
            <v>38495</v>
          </cell>
          <cell r="B4353" t="str">
            <v>CORPORATION</v>
          </cell>
          <cell r="C4353" t="str">
            <v>Marcio De Nazare Alves Gonzalez 59519703268</v>
          </cell>
          <cell r="D4353" t="str">
            <v>Makferr</v>
          </cell>
          <cell r="E4353" t="str">
            <v>BR_CNPJ</v>
          </cell>
          <cell r="F4353" t="str">
            <v>37.995.934/0001-10</v>
          </cell>
        </row>
        <row r="4354">
          <cell r="A4354">
            <v>38497</v>
          </cell>
          <cell r="B4354" t="str">
            <v>CORPORATION</v>
          </cell>
          <cell r="C4354" t="str">
            <v>J.E Comercio De Maquinas E Equipamentos Ltda</v>
          </cell>
          <cell r="D4354" t="str">
            <v>J.E Comercio De Maquinas E Equipamentos</v>
          </cell>
          <cell r="E4354" t="str">
            <v>BR_CNPJ</v>
          </cell>
          <cell r="F4354" t="str">
            <v>11.068.446/0001-74</v>
          </cell>
        </row>
        <row r="4355">
          <cell r="A4355">
            <v>38506</v>
          </cell>
          <cell r="B4355" t="str">
            <v>CORPORATION</v>
          </cell>
          <cell r="C4355" t="str">
            <v>Metatronica Eletronica E Automocao Industrial Ltda</v>
          </cell>
          <cell r="D4355" t="str">
            <v>Metatronica</v>
          </cell>
          <cell r="E4355" t="str">
            <v>BR_CNPJ</v>
          </cell>
          <cell r="F4355" t="str">
            <v>35.466.778/0001-75</v>
          </cell>
        </row>
        <row r="4356">
          <cell r="A4356">
            <v>38508</v>
          </cell>
          <cell r="B4356" t="str">
            <v>CORPORATION</v>
          </cell>
          <cell r="C4356" t="str">
            <v>Casa Dos Parafusos Guaiba Ltda</v>
          </cell>
          <cell r="D4356" t="str">
            <v>Casa Do Parafuso &amp; Cia.</v>
          </cell>
          <cell r="E4356" t="str">
            <v>BR_CNPJ</v>
          </cell>
          <cell r="F4356" t="str">
            <v>15.700.773/0001-58</v>
          </cell>
        </row>
        <row r="4357">
          <cell r="A4357">
            <v>38509</v>
          </cell>
          <cell r="B4357" t="str">
            <v>CORPORATION</v>
          </cell>
          <cell r="C4357" t="str">
            <v>Invertig Comercio De Equipamentos E Servicos Ltda</v>
          </cell>
          <cell r="D4357" t="str">
            <v>Invertig Comercio De Equipamentos E Servicos Ltda</v>
          </cell>
          <cell r="E4357" t="str">
            <v>BR_CNPJ</v>
          </cell>
          <cell r="F4357" t="str">
            <v>04.398.924/0001-49</v>
          </cell>
          <cell r="G4357" t="str">
            <v>INTERTIG</v>
          </cell>
        </row>
        <row r="4358">
          <cell r="A4358">
            <v>38512</v>
          </cell>
          <cell r="B4358" t="str">
            <v>CORPORATION</v>
          </cell>
          <cell r="C4358" t="str">
            <v>Protesoldas Equipamentos De Protecao E Soldagem Ltda</v>
          </cell>
          <cell r="D4358" t="str">
            <v>Protesoldas</v>
          </cell>
          <cell r="E4358" t="str">
            <v>BR_CNPJ</v>
          </cell>
          <cell r="F4358" t="str">
            <v>03.472.583/0001-41</v>
          </cell>
        </row>
        <row r="4359">
          <cell r="A4359">
            <v>38516</v>
          </cell>
          <cell r="B4359" t="str">
            <v>CORPORATION</v>
          </cell>
          <cell r="C4359" t="str">
            <v>Perfilferros Industria E Comercio De Ferro E Aco Ltda</v>
          </cell>
          <cell r="D4359" t="str">
            <v>Perfilferros</v>
          </cell>
          <cell r="E4359" t="str">
            <v>BR_CNPJ</v>
          </cell>
          <cell r="F4359" t="str">
            <v>06.060.491/0001-42</v>
          </cell>
        </row>
        <row r="4360">
          <cell r="A4360">
            <v>38518</v>
          </cell>
          <cell r="B4360" t="str">
            <v>CORPORATION</v>
          </cell>
          <cell r="C4360" t="str">
            <v>Obratec Atacarejo Da Construcao Ltda</v>
          </cell>
          <cell r="D4360" t="str">
            <v>Obratec Atacarejo Da Construcao</v>
          </cell>
          <cell r="E4360" t="str">
            <v>BR_CNPJ</v>
          </cell>
          <cell r="F4360" t="str">
            <v>53.077.185/0001-07</v>
          </cell>
        </row>
        <row r="4361">
          <cell r="A4361">
            <v>38521</v>
          </cell>
          <cell r="B4361" t="str">
            <v>CORPORATION</v>
          </cell>
          <cell r="C4361" t="str">
            <v>Luitex Maquinas E Ferramentas Ltda</v>
          </cell>
          <cell r="D4361" t="str">
            <v>Cd Luitex Americana</v>
          </cell>
          <cell r="E4361" t="str">
            <v>BR_CNPJ</v>
          </cell>
          <cell r="F4361" t="str">
            <v>51.051.811/0007-48</v>
          </cell>
          <cell r="G4361" t="str">
            <v>LUITEX</v>
          </cell>
        </row>
        <row r="4362">
          <cell r="A4362">
            <v>38526</v>
          </cell>
          <cell r="B4362" t="str">
            <v>CORPORATION</v>
          </cell>
          <cell r="C4362" t="str">
            <v>Noma Truck Parts Comercio Atacadista, Importacao E Exportacao De Pecas Para Veiculos Ltda</v>
          </cell>
          <cell r="D4362" t="str">
            <v>Molas Noma Distribuidora De Pecas</v>
          </cell>
          <cell r="E4362" t="str">
            <v>BR_CNPJ</v>
          </cell>
          <cell r="F4362" t="str">
            <v>04.775.185/0001-67</v>
          </cell>
        </row>
        <row r="4363">
          <cell r="A4363">
            <v>38527</v>
          </cell>
          <cell r="B4363" t="str">
            <v>CORPORATION</v>
          </cell>
          <cell r="C4363" t="str">
            <v>Casa Fusco Materiais Para Construcoes Ltda</v>
          </cell>
          <cell r="D4363" t="str">
            <v>Casa Fusco</v>
          </cell>
          <cell r="E4363" t="str">
            <v>BR_CNPJ</v>
          </cell>
          <cell r="F4363" t="str">
            <v>06.073.358/0001-20</v>
          </cell>
          <cell r="G4363" t="str">
            <v>CASA FUSCO</v>
          </cell>
        </row>
        <row r="4364">
          <cell r="A4364">
            <v>38538</v>
          </cell>
          <cell r="B4364" t="str">
            <v>CORPORATION</v>
          </cell>
          <cell r="C4364" t="str">
            <v>Mais Seguranca Ltda</v>
          </cell>
          <cell r="D4364" t="str">
            <v>Mais Seguranca</v>
          </cell>
          <cell r="E4364" t="str">
            <v>BR_CNPJ</v>
          </cell>
          <cell r="F4364" t="str">
            <v>43.903.641/0001-69</v>
          </cell>
        </row>
        <row r="4365">
          <cell r="A4365">
            <v>38542</v>
          </cell>
          <cell r="B4365" t="str">
            <v>CORPORATION</v>
          </cell>
          <cell r="C4365" t="str">
            <v>R Martins Ferramentas E Maquinas Ltda</v>
          </cell>
          <cell r="D4365" t="str">
            <v>R Martins</v>
          </cell>
          <cell r="E4365" t="str">
            <v>BR_CNPJ</v>
          </cell>
          <cell r="F4365" t="str">
            <v>52.201.407/0001-80</v>
          </cell>
        </row>
        <row r="4366">
          <cell r="A4366">
            <v>38546</v>
          </cell>
          <cell r="B4366" t="str">
            <v>CORPORATION</v>
          </cell>
          <cell r="C4366" t="str">
            <v>Grupo Tudo Para Casa E Construcao Ltda</v>
          </cell>
          <cell r="D4366" t="str">
            <v>Guapore Pisos</v>
          </cell>
          <cell r="E4366" t="str">
            <v>BR_CNPJ</v>
          </cell>
          <cell r="F4366" t="str">
            <v>30.940.642/0001-31</v>
          </cell>
        </row>
        <row r="4367">
          <cell r="A4367">
            <v>38550</v>
          </cell>
          <cell r="B4367" t="str">
            <v>CORPORATION</v>
          </cell>
          <cell r="C4367" t="str">
            <v>Comercial Vic-Mafer Ltda</v>
          </cell>
          <cell r="D4367" t="str">
            <v>Comercial Vic-Mafer</v>
          </cell>
          <cell r="E4367" t="str">
            <v>BR_CNPJ</v>
          </cell>
          <cell r="F4367" t="str">
            <v>01.969.638/0001-06</v>
          </cell>
        </row>
        <row r="4368">
          <cell r="A4368">
            <v>38552</v>
          </cell>
          <cell r="B4368" t="str">
            <v>CORPORATION</v>
          </cell>
          <cell r="C4368" t="str">
            <v>Athena Comercial Ltda</v>
          </cell>
          <cell r="D4368" t="str">
            <v>Athena</v>
          </cell>
          <cell r="E4368" t="str">
            <v>BR_CNPJ</v>
          </cell>
          <cell r="F4368" t="str">
            <v>44.104.637/0001-01</v>
          </cell>
        </row>
        <row r="4369">
          <cell r="A4369">
            <v>38566</v>
          </cell>
          <cell r="B4369" t="str">
            <v>CORPORATION</v>
          </cell>
          <cell r="C4369" t="str">
            <v>Fausto Silveira De Paiva</v>
          </cell>
          <cell r="D4369" t="str">
            <v>Deposito Silveira</v>
          </cell>
          <cell r="E4369" t="str">
            <v>BR_CNPJ</v>
          </cell>
          <cell r="F4369" t="str">
            <v>08.874.195/0001-00</v>
          </cell>
        </row>
        <row r="4370">
          <cell r="A4370">
            <v>38574</v>
          </cell>
          <cell r="B4370" t="str">
            <v>CORPORATION</v>
          </cell>
          <cell r="C4370" t="str">
            <v>Eygtec Solucoes Ltda</v>
          </cell>
          <cell r="D4370" t="str">
            <v>Eygtec Solucoes</v>
          </cell>
          <cell r="E4370" t="str">
            <v>BR_CNPJ</v>
          </cell>
          <cell r="F4370" t="str">
            <v>27.393.427/0001-53</v>
          </cell>
        </row>
        <row r="4371">
          <cell r="A4371">
            <v>38575</v>
          </cell>
          <cell r="B4371" t="str">
            <v>CORPORATION</v>
          </cell>
          <cell r="C4371" t="str">
            <v>Univarejo Comercio De Ferramentas Eireli</v>
          </cell>
          <cell r="D4371" t="str">
            <v>Univarejo</v>
          </cell>
          <cell r="E4371" t="str">
            <v>BR_CNPJ</v>
          </cell>
          <cell r="F4371" t="str">
            <v>27.171.435/0002-36</v>
          </cell>
          <cell r="G4371" t="str">
            <v>UNIVAREJO</v>
          </cell>
        </row>
        <row r="4372">
          <cell r="A4372">
            <v>38577</v>
          </cell>
          <cell r="B4372" t="str">
            <v>CORPORATION</v>
          </cell>
          <cell r="C4372" t="str">
            <v>Daiana Nascimento Sedrez</v>
          </cell>
          <cell r="D4372" t="str">
            <v>Eletrorafa</v>
          </cell>
          <cell r="E4372" t="str">
            <v>BR_CNPJ</v>
          </cell>
          <cell r="F4372" t="str">
            <v>33.268.248/0001-97</v>
          </cell>
          <cell r="G4372" t="str">
            <v>ELETRORAFA</v>
          </cell>
        </row>
        <row r="4373">
          <cell r="A4373">
            <v>38585</v>
          </cell>
          <cell r="B4373" t="str">
            <v>CORPORATION</v>
          </cell>
          <cell r="C4373" t="str">
            <v>Ferragista Acessorios Ltda</v>
          </cell>
          <cell r="D4373" t="str">
            <v>Ferragista Acessorios</v>
          </cell>
          <cell r="E4373" t="str">
            <v>BR_CNPJ</v>
          </cell>
          <cell r="F4373" t="str">
            <v>30.101.262/0001-03</v>
          </cell>
          <cell r="G4373" t="str">
            <v>FERRAGISTA</v>
          </cell>
        </row>
        <row r="4374">
          <cell r="A4374">
            <v>38587</v>
          </cell>
          <cell r="B4374" t="str">
            <v>CORPORATION</v>
          </cell>
          <cell r="C4374" t="str">
            <v>Lubriminas.Com.Br Ltda</v>
          </cell>
          <cell r="D4374" t="str">
            <v>Lubriminas.Com.Br</v>
          </cell>
          <cell r="E4374" t="str">
            <v>BR_CNPJ</v>
          </cell>
          <cell r="F4374" t="str">
            <v>41.730.464/0001-30</v>
          </cell>
        </row>
        <row r="4375">
          <cell r="A4375">
            <v>38588</v>
          </cell>
          <cell r="B4375" t="str">
            <v>CORPORATION</v>
          </cell>
          <cell r="C4375" t="str">
            <v>Diproseg Sp Ltda</v>
          </cell>
          <cell r="D4375" t="str">
            <v>Diproseg Sp</v>
          </cell>
          <cell r="E4375" t="str">
            <v>BR_CNPJ</v>
          </cell>
          <cell r="F4375" t="str">
            <v>04.329.973/0001-20</v>
          </cell>
          <cell r="G4375" t="str">
            <v>HCJ</v>
          </cell>
        </row>
        <row r="4376">
          <cell r="A4376">
            <v>38589</v>
          </cell>
          <cell r="B4376" t="str">
            <v>CORPORATION</v>
          </cell>
          <cell r="C4376" t="str">
            <v>Eduardo Pereira Costa 65611004334</v>
          </cell>
          <cell r="D4376" t="str">
            <v>Eduardo Serralheiro</v>
          </cell>
          <cell r="E4376" t="str">
            <v>BR_CNPJ</v>
          </cell>
          <cell r="F4376" t="str">
            <v>42.840.059/0001-38</v>
          </cell>
        </row>
        <row r="4377">
          <cell r="A4377">
            <v>38591</v>
          </cell>
          <cell r="B4377" t="str">
            <v>CORPORATION</v>
          </cell>
          <cell r="C4377" t="str">
            <v>Castro Alves Produtos Agropecuarios Ltda</v>
          </cell>
          <cell r="D4377" t="str">
            <v>A Pecuarista</v>
          </cell>
          <cell r="E4377" t="str">
            <v>BR_CNPJ</v>
          </cell>
          <cell r="F4377" t="str">
            <v>03.547.404/0001-98</v>
          </cell>
        </row>
        <row r="4378">
          <cell r="A4378">
            <v>38594</v>
          </cell>
          <cell r="B4378" t="str">
            <v>CORPORATION</v>
          </cell>
          <cell r="C4378" t="str">
            <v>Migsolda Com E Manutencao De Produtos De Solda Ltda</v>
          </cell>
          <cell r="D4378" t="str">
            <v>Migsolda</v>
          </cell>
          <cell r="E4378" t="str">
            <v>BR_CNPJ</v>
          </cell>
          <cell r="F4378" t="str">
            <v>00.699.759/0001-04</v>
          </cell>
        </row>
        <row r="4379">
          <cell r="A4379">
            <v>38598</v>
          </cell>
          <cell r="B4379" t="str">
            <v>CORPORATION</v>
          </cell>
          <cell r="C4379" t="str">
            <v>Tbf - Tocantins Borrachas E Ferramentas Ltda</v>
          </cell>
          <cell r="D4379" t="str">
            <v>Tocantins Borrachas</v>
          </cell>
          <cell r="E4379" t="str">
            <v>BR_CNPJ</v>
          </cell>
          <cell r="F4379" t="str">
            <v>30.031.713/0001-83</v>
          </cell>
        </row>
        <row r="4380">
          <cell r="A4380">
            <v>38611</v>
          </cell>
          <cell r="B4380" t="str">
            <v>CORPORATION</v>
          </cell>
          <cell r="C4380" t="str">
            <v>H. F. R. Albuquerque &amp; Cia Ltda</v>
          </cell>
          <cell r="D4380" t="str">
            <v>Constrel Materiais De Construcao</v>
          </cell>
          <cell r="E4380" t="str">
            <v>BR_CNPJ</v>
          </cell>
          <cell r="F4380" t="str">
            <v>34.561.795/0001-29</v>
          </cell>
        </row>
        <row r="4381">
          <cell r="A4381">
            <v>38612</v>
          </cell>
          <cell r="B4381" t="str">
            <v>CORPORATION</v>
          </cell>
          <cell r="C4381" t="str">
            <v>Eletrizza Eletrica E Mecanica Industrial Ltda</v>
          </cell>
          <cell r="D4381" t="str">
            <v>Mundo Da Manutenção</v>
          </cell>
          <cell r="E4381" t="str">
            <v>BR_CNPJ</v>
          </cell>
          <cell r="F4381" t="str">
            <v>37.181.727/0001-22</v>
          </cell>
        </row>
        <row r="4382">
          <cell r="A4382">
            <v>38614</v>
          </cell>
          <cell r="B4382" t="str">
            <v>CORPORATION</v>
          </cell>
          <cell r="C4382" t="str">
            <v>Jose Miranda Da Paixao &amp; Cia Ltda</v>
          </cell>
          <cell r="D4382" t="str">
            <v>J. C. Distribuidora</v>
          </cell>
          <cell r="E4382" t="str">
            <v>BR_CNPJ</v>
          </cell>
          <cell r="F4382" t="str">
            <v>29.245.765/0001-73</v>
          </cell>
        </row>
        <row r="4383">
          <cell r="A4383">
            <v>38615</v>
          </cell>
          <cell r="B4383" t="str">
            <v>CORPORATION</v>
          </cell>
          <cell r="C4383" t="str">
            <v>Construdecor S.A.</v>
          </cell>
          <cell r="D4383" t="str">
            <v>Cd Cumbica - Dicico - (Sodimac)</v>
          </cell>
          <cell r="E4383" t="str">
            <v>BR_CNPJ</v>
          </cell>
          <cell r="F4383" t="str">
            <v>03.439.316/0033-50</v>
          </cell>
          <cell r="G4383" t="str">
            <v>SODIMAC</v>
          </cell>
        </row>
        <row r="4384">
          <cell r="A4384">
            <v>38621</v>
          </cell>
          <cell r="B4384" t="str">
            <v>CORPORATION</v>
          </cell>
          <cell r="C4384" t="str">
            <v>Casa Simoes - Borrachas E Ferramentas Ltda.</v>
          </cell>
          <cell r="D4384" t="str">
            <v>Casa Simoes</v>
          </cell>
          <cell r="E4384" t="str">
            <v>BR_CNPJ</v>
          </cell>
          <cell r="F4384" t="str">
            <v>58.242.645/0001-10</v>
          </cell>
        </row>
        <row r="4385">
          <cell r="A4385">
            <v>38628</v>
          </cell>
          <cell r="B4385" t="str">
            <v>CORPORATION</v>
          </cell>
          <cell r="C4385" t="str">
            <v>H B Junior Multservice Eireli</v>
          </cell>
          <cell r="D4385" t="str">
            <v>H B Junior</v>
          </cell>
          <cell r="E4385" t="str">
            <v>BR_CNPJ</v>
          </cell>
          <cell r="F4385" t="str">
            <v>19.434.459/0001-21</v>
          </cell>
        </row>
        <row r="4386">
          <cell r="A4386">
            <v>38629</v>
          </cell>
          <cell r="B4386" t="str">
            <v>CORPORATION</v>
          </cell>
          <cell r="C4386" t="str">
            <v>Movata B M Comercio De Maquinas E Ferramentas Ltda</v>
          </cell>
          <cell r="D4386" t="str">
            <v>Movata B M Comercio De Maquinas E Ferramentas</v>
          </cell>
          <cell r="E4386" t="str">
            <v>BR_CNPJ</v>
          </cell>
          <cell r="F4386" t="str">
            <v>20.220.258/0001-00</v>
          </cell>
          <cell r="G4386" t="str">
            <v>MOVATA</v>
          </cell>
        </row>
        <row r="4387">
          <cell r="A4387">
            <v>38630</v>
          </cell>
          <cell r="B4387" t="str">
            <v>CORPORATION</v>
          </cell>
          <cell r="C4387" t="str">
            <v>Globaltec Comercio E Equipamentos Industriais Ltda</v>
          </cell>
          <cell r="D4387" t="str">
            <v>Globaltec Offshore</v>
          </cell>
          <cell r="E4387" t="str">
            <v>BR_CNPJ</v>
          </cell>
          <cell r="F4387" t="str">
            <v>23.547.609/0001-80</v>
          </cell>
        </row>
        <row r="4388">
          <cell r="A4388">
            <v>38640</v>
          </cell>
          <cell r="B4388" t="str">
            <v>CORPORATION</v>
          </cell>
          <cell r="C4388" t="str">
            <v>Abrasinox Comercio De Abrasivos E Equipamentos Ltda</v>
          </cell>
          <cell r="D4388" t="str">
            <v>Abrasinox</v>
          </cell>
          <cell r="E4388" t="str">
            <v>BR_CNPJ</v>
          </cell>
          <cell r="F4388" t="str">
            <v>24.047.918/0001-54</v>
          </cell>
        </row>
        <row r="4389">
          <cell r="A4389">
            <v>38645</v>
          </cell>
          <cell r="B4389" t="str">
            <v>CORPORATION</v>
          </cell>
          <cell r="C4389" t="str">
            <v>A P R Da Silva Ferragens-Me</v>
          </cell>
          <cell r="D4389" t="str">
            <v>Paulistex Comercial</v>
          </cell>
          <cell r="E4389" t="str">
            <v>BR_CNPJ</v>
          </cell>
          <cell r="F4389" t="str">
            <v>26.769.632/0001-08</v>
          </cell>
        </row>
        <row r="4390">
          <cell r="A4390">
            <v>38646</v>
          </cell>
          <cell r="B4390" t="str">
            <v>CORPORATION</v>
          </cell>
          <cell r="C4390" t="str">
            <v>Arlindo Antonio Sanseverino</v>
          </cell>
          <cell r="D4390" t="str">
            <v>Arlindo Antonio</v>
          </cell>
          <cell r="E4390" t="str">
            <v>BR_CNPJ</v>
          </cell>
          <cell r="F4390" t="str">
            <v>17.051.105/0001-72</v>
          </cell>
        </row>
        <row r="4391">
          <cell r="A4391">
            <v>38652</v>
          </cell>
          <cell r="B4391" t="str">
            <v>CORPORATION</v>
          </cell>
          <cell r="C4391" t="str">
            <v>Jc Schneider Ferramentas Ltda</v>
          </cell>
          <cell r="D4391" t="str">
            <v>Schneider Ferramentas</v>
          </cell>
          <cell r="E4391" t="str">
            <v>BR_CNPJ</v>
          </cell>
          <cell r="F4391" t="str">
            <v>45.812.350/0001-90</v>
          </cell>
          <cell r="G4391" t="str">
            <v>SCHNEIDER FERRAMENTAS</v>
          </cell>
        </row>
        <row r="4392">
          <cell r="A4392">
            <v>38654</v>
          </cell>
          <cell r="B4392" t="str">
            <v>CORPORATION</v>
          </cell>
          <cell r="C4392" t="str">
            <v>Dias Comercio De Ferramentas E Parafusos Ltda</v>
          </cell>
          <cell r="D4392" t="str">
            <v>Maxipar</v>
          </cell>
          <cell r="E4392" t="str">
            <v>BR_CNPJ</v>
          </cell>
          <cell r="F4392" t="str">
            <v>25.534.551/0001-66</v>
          </cell>
        </row>
        <row r="4393">
          <cell r="A4393">
            <v>38657</v>
          </cell>
          <cell r="B4393" t="str">
            <v>CORPORATION</v>
          </cell>
          <cell r="C4393" t="str">
            <v>Vinicius Simao De Oliveira</v>
          </cell>
          <cell r="D4393" t="str">
            <v>Simao Comercial</v>
          </cell>
          <cell r="E4393" t="str">
            <v>BR_CNPJ</v>
          </cell>
          <cell r="F4393" t="str">
            <v>22.880.770/0001-09</v>
          </cell>
        </row>
        <row r="4394">
          <cell r="A4394">
            <v>38658</v>
          </cell>
          <cell r="B4394" t="str">
            <v>CORPORATION</v>
          </cell>
          <cell r="C4394" t="str">
            <v>Comercio De Maquinas Pirabeiraba Ltda</v>
          </cell>
          <cell r="D4394" t="str">
            <v>Comercio De Maquinas Pirabeiraba</v>
          </cell>
          <cell r="E4394" t="str">
            <v>BR_CNPJ</v>
          </cell>
          <cell r="F4394" t="str">
            <v>07.021.248/0001-88</v>
          </cell>
        </row>
        <row r="4395">
          <cell r="A4395">
            <v>38661</v>
          </cell>
          <cell r="B4395" t="str">
            <v>CORPORATION</v>
          </cell>
          <cell r="C4395" t="str">
            <v>Soma Comercio E Servicos Eireli</v>
          </cell>
          <cell r="D4395" t="str">
            <v>Soma Comercio E Servicos</v>
          </cell>
          <cell r="E4395" t="str">
            <v>BR_CNPJ</v>
          </cell>
          <cell r="F4395" t="str">
            <v>26.877.656/0001-80</v>
          </cell>
        </row>
        <row r="4396">
          <cell r="A4396">
            <v>38667</v>
          </cell>
          <cell r="B4396" t="str">
            <v>CORPORATION</v>
          </cell>
          <cell r="C4396" t="str">
            <v>Real Tools Comercial Ltda</v>
          </cell>
          <cell r="D4396" t="str">
            <v>Real Tools</v>
          </cell>
          <cell r="E4396" t="str">
            <v>BR_CNPJ</v>
          </cell>
          <cell r="F4396" t="str">
            <v>00.022.488/0001-58</v>
          </cell>
        </row>
        <row r="4397">
          <cell r="A4397">
            <v>38672</v>
          </cell>
          <cell r="B4397" t="str">
            <v>CORPORATION</v>
          </cell>
          <cell r="C4397" t="str">
            <v>Hagoon Distribuidora De Equipamentos Ltda</v>
          </cell>
          <cell r="D4397" t="str">
            <v>Hagoon Distribuidora De Equipamentos</v>
          </cell>
          <cell r="E4397" t="str">
            <v>BR_CNPJ</v>
          </cell>
          <cell r="F4397" t="str">
            <v>33.293.947/0001-97</v>
          </cell>
        </row>
        <row r="4398">
          <cell r="A4398">
            <v>38674</v>
          </cell>
          <cell r="B4398" t="str">
            <v>CORPORATION</v>
          </cell>
          <cell r="C4398" t="str">
            <v>Ariosvaldo Soares Magalhaes Ltda</v>
          </cell>
          <cell r="D4398" t="str">
            <v>Capim Ferro</v>
          </cell>
          <cell r="E4398" t="str">
            <v>BR_CNPJ</v>
          </cell>
          <cell r="F4398" t="str">
            <v>16.086.530/0004-87</v>
          </cell>
          <cell r="G4398" t="str">
            <v>CAPIM FERRO</v>
          </cell>
        </row>
        <row r="4399">
          <cell r="A4399">
            <v>38678</v>
          </cell>
          <cell r="B4399" t="str">
            <v>CORPORATION</v>
          </cell>
          <cell r="C4399" t="str">
            <v>Ferragens Tome Eireli</v>
          </cell>
          <cell r="D4399" t="str">
            <v>Ferragens Tome</v>
          </cell>
          <cell r="E4399" t="str">
            <v>BR_CNPJ</v>
          </cell>
          <cell r="F4399" t="str">
            <v>24.310.190/0001-01</v>
          </cell>
        </row>
        <row r="4400">
          <cell r="A4400">
            <v>38682</v>
          </cell>
          <cell r="B4400" t="str">
            <v>CORPORATION</v>
          </cell>
          <cell r="C4400" t="str">
            <v>Erg Eletromotores Eireli</v>
          </cell>
          <cell r="D4400" t="str">
            <v>Eletrishop</v>
          </cell>
          <cell r="E4400" t="str">
            <v>BR_CNPJ</v>
          </cell>
          <cell r="F4400" t="str">
            <v>60.028.354/0001-76</v>
          </cell>
        </row>
        <row r="4401">
          <cell r="A4401">
            <v>38686</v>
          </cell>
          <cell r="B4401" t="str">
            <v>CORPORATION</v>
          </cell>
          <cell r="C4401" t="str">
            <v>Comercial Eletrica W.F. Ltda</v>
          </cell>
          <cell r="D4401" t="str">
            <v>Comercial Wf</v>
          </cell>
          <cell r="E4401" t="str">
            <v>BR_CNPJ</v>
          </cell>
          <cell r="F4401" t="str">
            <v>08.954.008/0001-07</v>
          </cell>
          <cell r="G4401" t="str">
            <v>COMERCIAL ELETRICA W.F.</v>
          </cell>
        </row>
        <row r="4402">
          <cell r="A4402">
            <v>38693</v>
          </cell>
          <cell r="B4402" t="str">
            <v>CORPORATION</v>
          </cell>
          <cell r="C4402" t="str">
            <v>Oeste Forte Ltda</v>
          </cell>
          <cell r="D4402" t="str">
            <v>Oeste Forte</v>
          </cell>
          <cell r="E4402" t="str">
            <v>BR_CNPJ</v>
          </cell>
          <cell r="F4402" t="str">
            <v>03.365.682/0001-24</v>
          </cell>
          <cell r="G4402" t="str">
            <v>OESTE FORTE</v>
          </cell>
        </row>
        <row r="4403">
          <cell r="A4403">
            <v>38695</v>
          </cell>
          <cell r="B4403" t="str">
            <v>CORPORATION</v>
          </cell>
          <cell r="C4403" t="str">
            <v>Je Ferramentas Aruana Ltda</v>
          </cell>
          <cell r="D4403" t="str">
            <v>Je Ferramentas</v>
          </cell>
          <cell r="E4403" t="str">
            <v>BR_CNPJ</v>
          </cell>
          <cell r="F4403" t="str">
            <v>43.628.373/0001-14</v>
          </cell>
          <cell r="G4403" t="str">
            <v>JE FERRAMENTAS</v>
          </cell>
        </row>
        <row r="4404">
          <cell r="A4404">
            <v>38700</v>
          </cell>
          <cell r="B4404" t="str">
            <v>CORPORATION</v>
          </cell>
          <cell r="C4404" t="str">
            <v>Imperio Cls Comercio De Bombas D Agua, Motores E Geradores Ltda</v>
          </cell>
          <cell r="D4404" t="str">
            <v>Coliseu Ferramentas</v>
          </cell>
          <cell r="E4404" t="str">
            <v>BR_CNPJ</v>
          </cell>
          <cell r="F4404" t="str">
            <v>29.851.278/0001-54</v>
          </cell>
          <cell r="G4404" t="str">
            <v>COLISEU</v>
          </cell>
        </row>
        <row r="4405">
          <cell r="A4405">
            <v>38704</v>
          </cell>
          <cell r="B4405" t="str">
            <v>CORPORATION</v>
          </cell>
          <cell r="C4405" t="str">
            <v>I. C. Bueno - Ferramentas E Parafusos</v>
          </cell>
          <cell r="D4405" t="str">
            <v>Armazem Do Parafuso</v>
          </cell>
          <cell r="E4405" t="str">
            <v>BR_CNPJ</v>
          </cell>
          <cell r="F4405" t="str">
            <v>06.122.128/0001-04</v>
          </cell>
        </row>
        <row r="4406">
          <cell r="A4406">
            <v>38711</v>
          </cell>
          <cell r="B4406" t="str">
            <v>CORPORATION</v>
          </cell>
          <cell r="C4406" t="str">
            <v>Oxi Araujo Comercio De Produtos Para Soldas Ltda</v>
          </cell>
          <cell r="D4406" t="str">
            <v>Oxi Araujo</v>
          </cell>
          <cell r="E4406" t="str">
            <v>BR_CNPJ</v>
          </cell>
          <cell r="F4406" t="str">
            <v>72.804.255/0001-18</v>
          </cell>
        </row>
        <row r="4407">
          <cell r="A4407">
            <v>38716</v>
          </cell>
          <cell r="B4407" t="str">
            <v>CORPORATION</v>
          </cell>
          <cell r="C4407" t="str">
            <v>3a Mangueiras E Fixadores Da Amazonia Ltda</v>
          </cell>
          <cell r="D4407" t="str">
            <v>3a Mangueiras E Fixadores</v>
          </cell>
          <cell r="E4407" t="str">
            <v>BR_CNPJ</v>
          </cell>
          <cell r="F4407" t="str">
            <v>13.009.630/0001-79</v>
          </cell>
        </row>
        <row r="4408">
          <cell r="A4408">
            <v>38719</v>
          </cell>
          <cell r="B4408" t="str">
            <v>CORPORATION</v>
          </cell>
          <cell r="C4408" t="str">
            <v>Pedro Leite Da Silva Junior 03797919190</v>
          </cell>
          <cell r="D4408" t="str">
            <v>Shop Regional Mt</v>
          </cell>
          <cell r="E4408" t="str">
            <v>BR_CNPJ</v>
          </cell>
          <cell r="F4408" t="str">
            <v>45.100.487/0001-12</v>
          </cell>
        </row>
        <row r="4409">
          <cell r="A4409">
            <v>38724</v>
          </cell>
          <cell r="B4409" t="str">
            <v>CORPORATION</v>
          </cell>
          <cell r="C4409" t="str">
            <v>Thais Clara Oliveira Silva 45639406828</v>
          </cell>
          <cell r="D4409" t="str">
            <v>Atm Materiais Para Soldas</v>
          </cell>
          <cell r="E4409" t="str">
            <v>BR_CNPJ</v>
          </cell>
          <cell r="F4409" t="str">
            <v>26.484.209/0001-61</v>
          </cell>
        </row>
        <row r="4410">
          <cell r="A4410">
            <v>38727</v>
          </cell>
          <cell r="B4410" t="str">
            <v>CORPORATION</v>
          </cell>
          <cell r="C4410" t="str">
            <v>Excelencia Comercio E Manutencao De Maquinas E Ferramentas Ltda</v>
          </cell>
          <cell r="D4410" t="str">
            <v>Casa Da Polia</v>
          </cell>
          <cell r="E4410" t="str">
            <v>BR_CNPJ</v>
          </cell>
          <cell r="F4410" t="str">
            <v>07.890.547/0001-59</v>
          </cell>
        </row>
        <row r="4411">
          <cell r="A4411">
            <v>38732</v>
          </cell>
          <cell r="B4411" t="str">
            <v>CORPORATION</v>
          </cell>
          <cell r="C4411" t="str">
            <v>Malf Materiais De Construcao E Agropecuaria Ltda</v>
          </cell>
          <cell r="D4411" t="str">
            <v>Malf Materiais De Construcao E Agropecuaria</v>
          </cell>
          <cell r="E4411" t="str">
            <v>BR_CNPJ</v>
          </cell>
          <cell r="F4411" t="str">
            <v>09.365.823/0001-95</v>
          </cell>
        </row>
        <row r="4412">
          <cell r="A4412">
            <v>38735</v>
          </cell>
          <cell r="B4412" t="str">
            <v>CORPORATION</v>
          </cell>
          <cell r="C4412" t="str">
            <v>Ccp Centro Comercial De Parafusos Limitada</v>
          </cell>
          <cell r="D4412" t="str">
            <v>Ccp Centro Comercial De Parafusos</v>
          </cell>
          <cell r="E4412" t="str">
            <v>BR_CNPJ</v>
          </cell>
          <cell r="F4412" t="str">
            <v>56.331.671/0001-90</v>
          </cell>
        </row>
        <row r="4413">
          <cell r="A4413">
            <v>38739</v>
          </cell>
          <cell r="B4413" t="str">
            <v>CORPORATION</v>
          </cell>
          <cell r="C4413" t="str">
            <v>K. Stefany Porto Nunes</v>
          </cell>
          <cell r="D4413" t="str">
            <v>Leo Brandao Soldas E Ferramentas E Epis</v>
          </cell>
          <cell r="E4413" t="str">
            <v>BR_CNPJ</v>
          </cell>
          <cell r="F4413" t="str">
            <v>29.422.810/0001-18</v>
          </cell>
        </row>
        <row r="4414">
          <cell r="A4414">
            <v>38745</v>
          </cell>
          <cell r="B4414" t="str">
            <v>CORPORATION</v>
          </cell>
          <cell r="C4414" t="str">
            <v>Flam-Ox Comercio De Ferramentas E Soldas Ltda</v>
          </cell>
          <cell r="D4414" t="str">
            <v>Flam-Ox Comercio De Ferramentas</v>
          </cell>
          <cell r="E4414" t="str">
            <v>BR_CNPJ</v>
          </cell>
          <cell r="F4414" t="str">
            <v>06.197.870/0001-89</v>
          </cell>
        </row>
        <row r="4415">
          <cell r="A4415">
            <v>38746</v>
          </cell>
          <cell r="B4415" t="str">
            <v>CORPORATION</v>
          </cell>
          <cell r="C4415" t="str">
            <v>Salete Rodrigues Da Silva Ribeiro</v>
          </cell>
          <cell r="D4415" t="str">
            <v>Wr Distribuidora</v>
          </cell>
          <cell r="E4415" t="str">
            <v>BR_CNPJ</v>
          </cell>
          <cell r="F4415" t="str">
            <v>10.692.887/0001-80</v>
          </cell>
        </row>
        <row r="4416">
          <cell r="A4416">
            <v>38748</v>
          </cell>
          <cell r="B4416" t="str">
            <v>CORPORATION</v>
          </cell>
          <cell r="C4416" t="str">
            <v>Ercol Ltda</v>
          </cell>
          <cell r="D4416" t="str">
            <v>Ercol</v>
          </cell>
          <cell r="E4416" t="str">
            <v>BR_CNPJ</v>
          </cell>
          <cell r="F4416" t="str">
            <v>18.481.960/0001-86</v>
          </cell>
          <cell r="G4416" t="str">
            <v>ERCOL</v>
          </cell>
        </row>
        <row r="4417">
          <cell r="A4417">
            <v>38755</v>
          </cell>
          <cell r="B4417" t="str">
            <v>CORPORATION</v>
          </cell>
          <cell r="C4417" t="str">
            <v>Ludwig &amp; Cia Ltda</v>
          </cell>
          <cell r="D4417" t="str">
            <v>Ferrati</v>
          </cell>
          <cell r="E4417" t="str">
            <v>BR_CNPJ</v>
          </cell>
          <cell r="F4417" t="str">
            <v>72.318.777/0001-00</v>
          </cell>
        </row>
        <row r="4418">
          <cell r="A4418">
            <v>38757</v>
          </cell>
          <cell r="B4418" t="str">
            <v>CORPORATION</v>
          </cell>
          <cell r="C4418" t="str">
            <v>Fsc Parafusos E Ferramentas Ltda Me</v>
          </cell>
          <cell r="D4418" t="str">
            <v>F.Souza</v>
          </cell>
          <cell r="E4418" t="str">
            <v>BR_CNPJ</v>
          </cell>
          <cell r="F4418" t="str">
            <v>12.655.053/0001-20</v>
          </cell>
        </row>
        <row r="4419">
          <cell r="A4419">
            <v>38760</v>
          </cell>
          <cell r="B4419" t="str">
            <v>CORPORATION</v>
          </cell>
          <cell r="C4419" t="str">
            <v>Ferquipe Comercio De Ferramentas Eireli</v>
          </cell>
          <cell r="D4419" t="str">
            <v>Ferquipe</v>
          </cell>
          <cell r="E4419" t="str">
            <v>BR_CNPJ</v>
          </cell>
          <cell r="F4419" t="str">
            <v>28.844.953/0001-55</v>
          </cell>
          <cell r="G4419" t="str">
            <v>LOJA FER</v>
          </cell>
        </row>
        <row r="4420">
          <cell r="A4420">
            <v>38764</v>
          </cell>
          <cell r="B4420" t="str">
            <v>CORPORATION</v>
          </cell>
          <cell r="C4420" t="str">
            <v>Ferramentas Bahia Eireli - Epp</v>
          </cell>
          <cell r="D4420" t="str">
            <v>Ferramentas Bahia</v>
          </cell>
          <cell r="E4420" t="str">
            <v>BR_CNPJ</v>
          </cell>
          <cell r="F4420" t="str">
            <v>10.778.083/0001-06</v>
          </cell>
        </row>
        <row r="4421">
          <cell r="A4421">
            <v>38765</v>
          </cell>
          <cell r="B4421" t="str">
            <v>CORPORATION</v>
          </cell>
          <cell r="C4421" t="str">
            <v>Cooperativa Dos Plantadores De Cana Do Estado Sao Paulo</v>
          </cell>
          <cell r="D4421" t="str">
            <v>Coplacana (Tupaciguara)</v>
          </cell>
          <cell r="E4421" t="str">
            <v>BR_CNPJ</v>
          </cell>
          <cell r="F4421" t="str">
            <v>54.366.547/0057-99</v>
          </cell>
          <cell r="G4421" t="str">
            <v>COPLACANA</v>
          </cell>
        </row>
        <row r="4422">
          <cell r="A4422">
            <v>38766</v>
          </cell>
          <cell r="B4422" t="str">
            <v>CORPORATION</v>
          </cell>
          <cell r="C4422" t="str">
            <v>C&amp;P Comercio Ltda</v>
          </cell>
          <cell r="D4422" t="str">
            <v>C&amp;P Comercio</v>
          </cell>
          <cell r="E4422" t="str">
            <v>BR_CNPJ</v>
          </cell>
          <cell r="F4422" t="str">
            <v>44.209.909/0001-20</v>
          </cell>
        </row>
        <row r="4423">
          <cell r="A4423">
            <v>38772</v>
          </cell>
          <cell r="B4423" t="str">
            <v>CORPORATION</v>
          </cell>
          <cell r="C4423" t="str">
            <v>Tamiris M. De Souza - Comercio De Variedades</v>
          </cell>
          <cell r="D4423" t="str">
            <v>Alau Imports</v>
          </cell>
          <cell r="E4423" t="str">
            <v>BR_CNPJ</v>
          </cell>
          <cell r="F4423" t="str">
            <v>37.612.463/0001-14</v>
          </cell>
        </row>
        <row r="4424">
          <cell r="A4424">
            <v>38775</v>
          </cell>
          <cell r="B4424" t="str">
            <v>CORPORATION</v>
          </cell>
          <cell r="C4424" t="str">
            <v>Coferminas Comercio De Ferramentas Ltda</v>
          </cell>
          <cell r="D4424" t="str">
            <v>Coferminas</v>
          </cell>
          <cell r="E4424" t="str">
            <v>BR_CNPJ</v>
          </cell>
          <cell r="F4424" t="str">
            <v>26.739.452/0001-83</v>
          </cell>
        </row>
        <row r="4425">
          <cell r="A4425">
            <v>38776</v>
          </cell>
          <cell r="B4425" t="str">
            <v>CORPORATION</v>
          </cell>
          <cell r="C4425" t="str">
            <v>Egs Comercio De Gases Industriais Ferramentas E Ferragens Ltda</v>
          </cell>
          <cell r="D4425" t="str">
            <v>Egs Comercio De Gases Industriais Ferramentas E Ferragens Ltda</v>
          </cell>
          <cell r="E4425" t="str">
            <v>BR_CNPJ</v>
          </cell>
          <cell r="F4425" t="str">
            <v>46.292.734/0001-92</v>
          </cell>
        </row>
        <row r="4426">
          <cell r="A4426">
            <v>38787</v>
          </cell>
          <cell r="B4426" t="str">
            <v>CORPORATION</v>
          </cell>
          <cell r="C4426" t="str">
            <v>Ande Materiais Eletricos Ltda</v>
          </cell>
          <cell r="D4426" t="str">
            <v>Ande Materiais Eletricos</v>
          </cell>
          <cell r="E4426" t="str">
            <v>BR_CNPJ</v>
          </cell>
          <cell r="F4426" t="str">
            <v>80.342.330/0001-02</v>
          </cell>
        </row>
        <row r="4427">
          <cell r="A4427">
            <v>38791</v>
          </cell>
          <cell r="B4427" t="str">
            <v>CORPORATION</v>
          </cell>
          <cell r="C4427" t="str">
            <v>Agrofoz Exportadora De Produtos Agropecuarios Ltda</v>
          </cell>
          <cell r="D4427" t="str">
            <v>Agrofoz Exportadora De Produtos Agropecuarios</v>
          </cell>
          <cell r="E4427" t="str">
            <v>BR_CNPJ</v>
          </cell>
          <cell r="F4427" t="str">
            <v>76.331.099/0001-76</v>
          </cell>
        </row>
        <row r="4428">
          <cell r="A4428">
            <v>38808</v>
          </cell>
          <cell r="B4428" t="str">
            <v>CORPORATION</v>
          </cell>
          <cell r="C4428" t="str">
            <v>Eduardo S Melo &amp; Cia Ltda</v>
          </cell>
          <cell r="D4428" t="str">
            <v>Eduardo S Melo &amp; Cia</v>
          </cell>
          <cell r="E4428" t="str">
            <v>BR_CNPJ</v>
          </cell>
          <cell r="F4428" t="str">
            <v>19.353.568/0001-14</v>
          </cell>
        </row>
        <row r="4429">
          <cell r="A4429">
            <v>38811</v>
          </cell>
          <cell r="B4429" t="str">
            <v>CORPORATION</v>
          </cell>
          <cell r="C4429" t="str">
            <v>Disbramafe Distrib Brasil De Maq E Ferramentas Ltda</v>
          </cell>
          <cell r="D4429" t="str">
            <v>Disbramafe</v>
          </cell>
          <cell r="E4429" t="str">
            <v>BR_CNPJ</v>
          </cell>
          <cell r="F4429" t="str">
            <v>55.104.616/0001-02</v>
          </cell>
        </row>
        <row r="4430">
          <cell r="A4430">
            <v>38812</v>
          </cell>
          <cell r="B4430" t="str">
            <v>CORPORATION</v>
          </cell>
          <cell r="C4430" t="str">
            <v>Teiletech Materiais E Ferramentas Ltda</v>
          </cell>
          <cell r="D4430" t="str">
            <v>Teiletech Materiais E Ferramentas</v>
          </cell>
          <cell r="E4430" t="str">
            <v>BR_CNPJ</v>
          </cell>
          <cell r="F4430" t="str">
            <v>42.347.791/0001-70</v>
          </cell>
        </row>
        <row r="4431">
          <cell r="A4431">
            <v>38815</v>
          </cell>
          <cell r="B4431" t="str">
            <v>CORPORATION</v>
          </cell>
          <cell r="C4431" t="str">
            <v>Casa Do Serralheiro Comercio De Ferragens E Ferramentas Ltda</v>
          </cell>
          <cell r="D4431" t="str">
            <v>Casa Do Serralheiro</v>
          </cell>
          <cell r="E4431" t="str">
            <v>BR_CNPJ</v>
          </cell>
          <cell r="F4431" t="str">
            <v>45.779.164/0001-05</v>
          </cell>
          <cell r="G4431" t="str">
            <v>CASA DO SERRALHEIRO</v>
          </cell>
        </row>
        <row r="4432">
          <cell r="A4432">
            <v>38822</v>
          </cell>
          <cell r="B4432" t="str">
            <v>CORPORATION</v>
          </cell>
          <cell r="C4432" t="str">
            <v>Terra E Rangel Ltda</v>
          </cell>
          <cell r="D4432" t="str">
            <v>Terra E Rangel Ltda</v>
          </cell>
          <cell r="E4432" t="str">
            <v>BR_CNPJ</v>
          </cell>
          <cell r="F4432" t="str">
            <v>12.184.239/0001-48</v>
          </cell>
        </row>
        <row r="4433">
          <cell r="A4433">
            <v>38823</v>
          </cell>
          <cell r="B4433" t="str">
            <v>CORPORATION</v>
          </cell>
          <cell r="C4433" t="str">
            <v>Joaquim Ferrarias Neto</v>
          </cell>
          <cell r="D4433" t="str">
            <v>Toca Da Solda</v>
          </cell>
          <cell r="E4433" t="str">
            <v>BR_CNPJ</v>
          </cell>
          <cell r="F4433" t="str">
            <v>00.141.884/0001-02</v>
          </cell>
          <cell r="G4433" t="str">
            <v>TOCA DA SOLDA</v>
          </cell>
        </row>
        <row r="4434">
          <cell r="A4434">
            <v>38825</v>
          </cell>
          <cell r="B4434" t="str">
            <v>CORPORATION</v>
          </cell>
          <cell r="C4434" t="str">
            <v>Palacio Dos Parafusos E Ferramentas Ltda</v>
          </cell>
          <cell r="D4434" t="str">
            <v>Palacio Dos Parafusos</v>
          </cell>
          <cell r="E4434" t="str">
            <v>BR_CNPJ</v>
          </cell>
          <cell r="F4434" t="str">
            <v>50.925.671/0001-31</v>
          </cell>
        </row>
        <row r="4435">
          <cell r="A4435">
            <v>38826</v>
          </cell>
          <cell r="B4435" t="str">
            <v>CORPORATION</v>
          </cell>
          <cell r="C4435" t="str">
            <v>Pf Solucoes Eireli</v>
          </cell>
          <cell r="D4435" t="str">
            <v>Pf Solucoes</v>
          </cell>
          <cell r="E4435" t="str">
            <v>BR_CNPJ</v>
          </cell>
          <cell r="F4435" t="str">
            <v>28.672.125/0001-87</v>
          </cell>
        </row>
        <row r="4436">
          <cell r="A4436">
            <v>38831</v>
          </cell>
          <cell r="B4436" t="str">
            <v>CORPORATION</v>
          </cell>
          <cell r="C4436" t="str">
            <v>Central Dos Parafusos Ltda</v>
          </cell>
          <cell r="D4436" t="str">
            <v>Central Dos Parafusos</v>
          </cell>
          <cell r="E4436" t="str">
            <v>BR_CNPJ</v>
          </cell>
          <cell r="F4436" t="str">
            <v>04.946.625/0001-00</v>
          </cell>
        </row>
        <row r="4437">
          <cell r="A4437">
            <v>38834</v>
          </cell>
          <cell r="B4437" t="str">
            <v>CORPORATION</v>
          </cell>
          <cell r="C4437" t="str">
            <v>Lagos Solar Energia Alternativa Ltda</v>
          </cell>
          <cell r="D4437" t="str">
            <v>Lagos Soluções</v>
          </cell>
          <cell r="E4437" t="str">
            <v>BR_CNPJ</v>
          </cell>
          <cell r="F4437" t="str">
            <v>25.164.437/0001-91</v>
          </cell>
        </row>
        <row r="4438">
          <cell r="A4438">
            <v>38835</v>
          </cell>
          <cell r="B4438" t="str">
            <v>CORPORATION</v>
          </cell>
          <cell r="C4438" t="str">
            <v>A. Rodrigues Da Silva Neto</v>
          </cell>
          <cell r="D4438" t="str">
            <v>Total Maquinas</v>
          </cell>
          <cell r="E4438" t="str">
            <v>BR_CNPJ</v>
          </cell>
          <cell r="F4438" t="str">
            <v>30.653.964/0001-08</v>
          </cell>
        </row>
        <row r="4439">
          <cell r="A4439">
            <v>38837</v>
          </cell>
          <cell r="B4439" t="str">
            <v>CORPORATION</v>
          </cell>
          <cell r="C4439" t="str">
            <v>Ltflex Ltda</v>
          </cell>
          <cell r="D4439" t="str">
            <v>Ltflex Ltda</v>
          </cell>
          <cell r="E4439" t="str">
            <v>BR_CNPJ</v>
          </cell>
          <cell r="F4439" t="str">
            <v>10.559.336/0002-23</v>
          </cell>
          <cell r="G4439" t="str">
            <v>COMASP</v>
          </cell>
        </row>
        <row r="4440">
          <cell r="A4440">
            <v>38838</v>
          </cell>
          <cell r="B4440" t="str">
            <v>CORPORATION</v>
          </cell>
          <cell r="C4440" t="str">
            <v>W B Pereira Filho Máquinas Agrícolas Ltda</v>
          </cell>
          <cell r="D4440" t="str">
            <v>W B Pereira</v>
          </cell>
          <cell r="E4440" t="str">
            <v>BR_CNPJ</v>
          </cell>
          <cell r="F4440" t="str">
            <v>31.037.104/0001-02</v>
          </cell>
        </row>
        <row r="4441">
          <cell r="A4441">
            <v>38839</v>
          </cell>
          <cell r="B4441" t="str">
            <v>CORPORATION</v>
          </cell>
          <cell r="C4441" t="str">
            <v>Comercio De Ferro E Aco Rodrigues Eireli</v>
          </cell>
          <cell r="D4441" t="str">
            <v>Coproaço</v>
          </cell>
          <cell r="E4441" t="str">
            <v>BR_CNPJ</v>
          </cell>
          <cell r="F4441" t="str">
            <v>20.696.318/0001-66</v>
          </cell>
        </row>
        <row r="4442">
          <cell r="A4442">
            <v>38844</v>
          </cell>
          <cell r="B4442" t="str">
            <v>CORPORATION</v>
          </cell>
          <cell r="C4442" t="str">
            <v>L Leite Vasconcelos De Souza</v>
          </cell>
          <cell r="D4442" t="str">
            <v>Plena Autopecas</v>
          </cell>
          <cell r="E4442" t="str">
            <v>BR_CNPJ</v>
          </cell>
          <cell r="F4442" t="str">
            <v>05.489.905/0001-90</v>
          </cell>
        </row>
        <row r="4443">
          <cell r="A4443">
            <v>38845</v>
          </cell>
          <cell r="B4443" t="str">
            <v>CORPORATION</v>
          </cell>
          <cell r="C4443" t="str">
            <v>Marcelo Soares De Souza Eireli</v>
          </cell>
          <cell r="D4443" t="str">
            <v>Ponto Certo</v>
          </cell>
          <cell r="E4443" t="str">
            <v>BR_CNPJ</v>
          </cell>
          <cell r="F4443" t="str">
            <v>33.688.739/0001-97</v>
          </cell>
        </row>
        <row r="4444">
          <cell r="A4444">
            <v>38852</v>
          </cell>
          <cell r="B4444" t="str">
            <v>CORPORATION</v>
          </cell>
          <cell r="C4444" t="str">
            <v>Marinalva Alves De Sousa 88272273500</v>
          </cell>
          <cell r="D4444" t="str">
            <v>Dois Irmaos Rolamentos</v>
          </cell>
          <cell r="E4444" t="str">
            <v>BR_CNPJ</v>
          </cell>
          <cell r="F4444" t="str">
            <v>31.363.857/0001-08</v>
          </cell>
        </row>
        <row r="4445">
          <cell r="A4445">
            <v>38861</v>
          </cell>
          <cell r="B4445" t="str">
            <v>CORPORATION</v>
          </cell>
          <cell r="C4445" t="str">
            <v>Du Ferramentas Eireli</v>
          </cell>
          <cell r="D4445" t="str">
            <v>Du Ferramentas</v>
          </cell>
          <cell r="E4445" t="str">
            <v>BR_CNPJ</v>
          </cell>
          <cell r="F4445" t="str">
            <v>33.233.184/0001-99</v>
          </cell>
        </row>
        <row r="4446">
          <cell r="A4446">
            <v>38864</v>
          </cell>
          <cell r="B4446" t="str">
            <v>CORPORATION</v>
          </cell>
          <cell r="C4446" t="str">
            <v>Importec Comercio De Ferramentas Tecnicas Ltda</v>
          </cell>
          <cell r="D4446" t="str">
            <v>Importec</v>
          </cell>
          <cell r="E4446" t="str">
            <v>BR_CNPJ</v>
          </cell>
          <cell r="F4446" t="str">
            <v>65.469.850/0001-89</v>
          </cell>
        </row>
        <row r="4447">
          <cell r="A4447">
            <v>38871</v>
          </cell>
          <cell r="B4447" t="str">
            <v>CORPORATION</v>
          </cell>
          <cell r="C4447" t="str">
            <v>49.812.353 Daniela Cristina Ayala Lacerda</v>
          </cell>
          <cell r="D4447" t="str">
            <v>Careca Solda E Cia</v>
          </cell>
          <cell r="E4447" t="str">
            <v>BR_CNPJ</v>
          </cell>
          <cell r="F4447" t="str">
            <v>49.812.353/0001-85</v>
          </cell>
        </row>
        <row r="4448">
          <cell r="A4448">
            <v>38872</v>
          </cell>
          <cell r="B4448" t="str">
            <v>CORPORATION</v>
          </cell>
          <cell r="C4448" t="str">
            <v>Rm Pires Da Cruz Eireli</v>
          </cell>
          <cell r="D4448" t="str">
            <v>Casa Da Solda</v>
          </cell>
          <cell r="E4448" t="str">
            <v>BR_CNPJ</v>
          </cell>
          <cell r="F4448" t="str">
            <v>07.129.537/0001-03</v>
          </cell>
          <cell r="G4448" t="str">
            <v>CASA DA SOLDA</v>
          </cell>
        </row>
        <row r="4449">
          <cell r="A4449">
            <v>38874</v>
          </cell>
          <cell r="B4449" t="str">
            <v>CORPORATION</v>
          </cell>
          <cell r="C4449" t="str">
            <v>Jofemax Ferragens Ltda</v>
          </cell>
          <cell r="D4449" t="str">
            <v>Jofemax Ferragens Ltda</v>
          </cell>
          <cell r="E4449" t="str">
            <v>BR_CNPJ</v>
          </cell>
          <cell r="F4449" t="str">
            <v>50.484.814/0001-17</v>
          </cell>
          <cell r="G4449" t="str">
            <v>PONTES FERRAGENS</v>
          </cell>
        </row>
        <row r="4450">
          <cell r="A4450">
            <v>38875</v>
          </cell>
          <cell r="B4450" t="str">
            <v>CORPORATION</v>
          </cell>
          <cell r="C4450" t="str">
            <v>Mix Fer Comercio De Ferros E Aco Ltda</v>
          </cell>
          <cell r="D4450" t="str">
            <v>Mix Fer</v>
          </cell>
          <cell r="E4450" t="str">
            <v>BR_CNPJ</v>
          </cell>
          <cell r="F4450" t="str">
            <v>26.175.742/0001-41</v>
          </cell>
        </row>
        <row r="4451">
          <cell r="A4451">
            <v>38879</v>
          </cell>
          <cell r="B4451" t="str">
            <v>CORPORATION</v>
          </cell>
          <cell r="C4451" t="str">
            <v>Motomaq Locacao E Comercio De Maquinas E Ferramentas Ltda</v>
          </cell>
          <cell r="D4451" t="str">
            <v>Motomaq Locacao E Comercio De Maquinas E Ferramentas Ltda</v>
          </cell>
          <cell r="E4451" t="str">
            <v>BR_CNPJ</v>
          </cell>
          <cell r="F4451" t="str">
            <v>23.874.016/0001-29</v>
          </cell>
        </row>
        <row r="4452">
          <cell r="A4452">
            <v>38882</v>
          </cell>
          <cell r="B4452" t="str">
            <v>CORPORATION</v>
          </cell>
          <cell r="C4452" t="str">
            <v>Casa De Construcao Gomes &amp; Almeida Ltda</v>
          </cell>
          <cell r="D4452" t="str">
            <v>Comercial Tamoyo</v>
          </cell>
          <cell r="E4452" t="str">
            <v>BR_CNPJ</v>
          </cell>
          <cell r="F4452" t="str">
            <v>12.273.612/0001-37</v>
          </cell>
        </row>
        <row r="4453">
          <cell r="A4453">
            <v>38883</v>
          </cell>
          <cell r="B4453" t="str">
            <v>CORPORATION</v>
          </cell>
          <cell r="C4453" t="str">
            <v>Vfl Locacoes E Servicos Ltda</v>
          </cell>
          <cell r="D4453" t="str">
            <v>Vifoli Services</v>
          </cell>
          <cell r="E4453" t="str">
            <v>BR_CNPJ</v>
          </cell>
          <cell r="F4453" t="str">
            <v>42.496.582/0001-99</v>
          </cell>
        </row>
        <row r="4454">
          <cell r="A4454">
            <v>38884</v>
          </cell>
          <cell r="B4454" t="str">
            <v>CORPORATION</v>
          </cell>
          <cell r="C4454" t="str">
            <v>Soldafer Máquinas E Equipamentos Me</v>
          </cell>
          <cell r="D4454" t="str">
            <v>Soldafer Máquinas</v>
          </cell>
          <cell r="E4454" t="str">
            <v>BR_CNPJ</v>
          </cell>
          <cell r="F4454" t="str">
            <v>29.177.155/0001-80</v>
          </cell>
        </row>
        <row r="4455">
          <cell r="A4455">
            <v>38885</v>
          </cell>
          <cell r="B4455" t="str">
            <v>CORPORATION</v>
          </cell>
          <cell r="C4455" t="str">
            <v>Cruz &amp; Cruz Soldas Ltda</v>
          </cell>
          <cell r="D4455" t="str">
            <v>Cruz &amp; Cruz Soldas</v>
          </cell>
          <cell r="E4455" t="str">
            <v>BR_CNPJ</v>
          </cell>
          <cell r="F4455" t="str">
            <v>10.439.112/0001-05</v>
          </cell>
        </row>
        <row r="4456">
          <cell r="A4456">
            <v>38886</v>
          </cell>
          <cell r="B4456" t="str">
            <v>CORPORATION</v>
          </cell>
          <cell r="C4456" t="str">
            <v>P. A. Esteves Do Rosario</v>
          </cell>
          <cell r="D4456" t="str">
            <v>Ferragens Santo Antonio</v>
          </cell>
          <cell r="E4456" t="str">
            <v>BR_CNPJ</v>
          </cell>
          <cell r="F4456" t="str">
            <v>04.922.256/0001-07</v>
          </cell>
        </row>
        <row r="4457">
          <cell r="A4457">
            <v>38891</v>
          </cell>
          <cell r="B4457" t="str">
            <v>CORPORATION</v>
          </cell>
          <cell r="C4457" t="str">
            <v>M C Comercio De Ferramentas, Ferragens E Parafusos Ltda</v>
          </cell>
          <cell r="D4457" t="str">
            <v>Imperio Ferragens</v>
          </cell>
          <cell r="E4457" t="str">
            <v>BR_CNPJ</v>
          </cell>
          <cell r="F4457" t="str">
            <v>20.831.424/0001-05</v>
          </cell>
        </row>
        <row r="4458">
          <cell r="A4458">
            <v>38895</v>
          </cell>
          <cell r="B4458" t="str">
            <v>CORPORATION</v>
          </cell>
          <cell r="C4458" t="str">
            <v>Kawa Equipamentos E Acessorios Para Solda Ltda</v>
          </cell>
          <cell r="D4458" t="str">
            <v>Kawa</v>
          </cell>
          <cell r="E4458" t="str">
            <v>BR_CNPJ</v>
          </cell>
          <cell r="F4458" t="str">
            <v>30.045.767/0001-06</v>
          </cell>
        </row>
        <row r="4459">
          <cell r="A4459">
            <v>38898</v>
          </cell>
          <cell r="B4459" t="str">
            <v>CORPORATION</v>
          </cell>
          <cell r="C4459" t="str">
            <v>Mundial Distrib. De Ferramentas, Ferragens, Equip. E Serv. Automotivos. Ltda</v>
          </cell>
          <cell r="D4459" t="str">
            <v>Mundial Ferramentaria</v>
          </cell>
          <cell r="E4459" t="str">
            <v>BR_CNPJ</v>
          </cell>
          <cell r="F4459" t="str">
            <v>26.431.551/0001-01</v>
          </cell>
          <cell r="G4459" t="str">
            <v>FERMAZON</v>
          </cell>
        </row>
        <row r="4460">
          <cell r="A4460">
            <v>38900</v>
          </cell>
          <cell r="B4460" t="str">
            <v>CORPORATION</v>
          </cell>
          <cell r="C4460" t="str">
            <v>Max Beatriz Comercio E Distribuicao Ltda</v>
          </cell>
          <cell r="D4460" t="str">
            <v>Locatil Empreendimentos</v>
          </cell>
          <cell r="E4460" t="str">
            <v>BR_CNPJ</v>
          </cell>
          <cell r="F4460" t="str">
            <v>20.616.974/0001-01</v>
          </cell>
        </row>
        <row r="4461">
          <cell r="A4461">
            <v>38904</v>
          </cell>
          <cell r="B4461" t="str">
            <v>CORPORATION</v>
          </cell>
          <cell r="C4461" t="str">
            <v>Alfa Inova Consultoria, Servicos E Solucoes Ltda</v>
          </cell>
          <cell r="D4461" t="str">
            <v>Alfa Inova</v>
          </cell>
          <cell r="E4461" t="str">
            <v>BR_CNPJ</v>
          </cell>
          <cell r="F4461" t="str">
            <v>41.852.557/0001-38</v>
          </cell>
        </row>
        <row r="4462">
          <cell r="A4462">
            <v>38908</v>
          </cell>
          <cell r="B4462" t="str">
            <v>CORPORATION</v>
          </cell>
          <cell r="C4462" t="str">
            <v>Casa J Nakao Ltda</v>
          </cell>
          <cell r="D4462" t="str">
            <v>Casa J Nakao</v>
          </cell>
          <cell r="E4462" t="str">
            <v>BR_CNPJ</v>
          </cell>
          <cell r="F4462" t="str">
            <v>53.794.996/0004-63</v>
          </cell>
          <cell r="G4462" t="str">
            <v>J NAKAO</v>
          </cell>
        </row>
        <row r="4463">
          <cell r="A4463">
            <v>38912</v>
          </cell>
          <cell r="B4463" t="str">
            <v>CORPORATION</v>
          </cell>
          <cell r="C4463" t="str">
            <v>Casa J Nakao Ltda</v>
          </cell>
          <cell r="D4463" t="str">
            <v>Casa J Nakao</v>
          </cell>
          <cell r="E4463" t="str">
            <v>BR_CNPJ</v>
          </cell>
          <cell r="F4463" t="str">
            <v>53.794.996/0003-82</v>
          </cell>
          <cell r="G4463" t="str">
            <v>J NAKAO</v>
          </cell>
        </row>
        <row r="4464">
          <cell r="A4464">
            <v>38917</v>
          </cell>
          <cell r="B4464" t="str">
            <v>CORPORATION</v>
          </cell>
          <cell r="C4464" t="str">
            <v>Casa J Nakao Ltda</v>
          </cell>
          <cell r="D4464" t="str">
            <v>Casa J Nakao</v>
          </cell>
          <cell r="E4464" t="str">
            <v>BR_CNPJ</v>
          </cell>
          <cell r="F4464" t="str">
            <v>53.794.996/0001-10</v>
          </cell>
          <cell r="G4464" t="str">
            <v>J NAKAO</v>
          </cell>
        </row>
        <row r="4465">
          <cell r="A4465">
            <v>38919</v>
          </cell>
          <cell r="B4465" t="str">
            <v>CORPORATION</v>
          </cell>
          <cell r="C4465" t="str">
            <v>Maberfix Parafusos E Ferramentas Ltda</v>
          </cell>
          <cell r="D4465" t="str">
            <v>Maberfix Parafusos E Ferramentas Ltda</v>
          </cell>
          <cell r="E4465" t="str">
            <v>BR_CNPJ</v>
          </cell>
          <cell r="F4465" t="str">
            <v>12.758.982/0001-64</v>
          </cell>
          <cell r="G4465" t="str">
            <v>MABERFIX</v>
          </cell>
        </row>
        <row r="4466">
          <cell r="A4466">
            <v>38921</v>
          </cell>
          <cell r="B4466" t="str">
            <v>CORPORATION</v>
          </cell>
          <cell r="C4466" t="str">
            <v>Fm Ferragens Ltda</v>
          </cell>
          <cell r="D4466" t="str">
            <v>Fm Ferragens</v>
          </cell>
          <cell r="E4466" t="str">
            <v>BR_CNPJ</v>
          </cell>
          <cell r="F4466" t="str">
            <v>14.401.170/0001-92</v>
          </cell>
        </row>
        <row r="4467">
          <cell r="A4467">
            <v>38922</v>
          </cell>
          <cell r="B4467" t="str">
            <v>CORPORATION</v>
          </cell>
          <cell r="C4467" t="str">
            <v>Monique Melo Martins</v>
          </cell>
          <cell r="D4467" t="str">
            <v>Nework Comercio</v>
          </cell>
          <cell r="E4467" t="str">
            <v>BR_CNPJ</v>
          </cell>
          <cell r="F4467" t="str">
            <v>33.448.413/0001-92</v>
          </cell>
        </row>
        <row r="4468">
          <cell r="A4468">
            <v>38923</v>
          </cell>
          <cell r="B4468" t="str">
            <v>CORPORATION</v>
          </cell>
          <cell r="C4468" t="str">
            <v>Oxibrasil Comercio E Transportes Ltda</v>
          </cell>
          <cell r="D4468" t="str">
            <v>Oxibrasil Comercio E Transportes Ltda</v>
          </cell>
          <cell r="E4468" t="str">
            <v>BR_CNPJ</v>
          </cell>
          <cell r="F4468" t="str">
            <v>04.838.501/0001-00</v>
          </cell>
        </row>
        <row r="4469">
          <cell r="A4469">
            <v>38924</v>
          </cell>
          <cell r="B4469" t="str">
            <v>CORPORATION</v>
          </cell>
          <cell r="C4469" t="str">
            <v>Cesar Augusto Stinchelli</v>
          </cell>
          <cell r="D4469" t="str">
            <v>C S Comercial</v>
          </cell>
          <cell r="E4469" t="str">
            <v>BR_CNPJ</v>
          </cell>
          <cell r="F4469" t="str">
            <v>27.241.486/0001-06</v>
          </cell>
        </row>
        <row r="4470">
          <cell r="A4470">
            <v>38925</v>
          </cell>
          <cell r="B4470" t="str">
            <v>CORPORATION</v>
          </cell>
          <cell r="C4470" t="str">
            <v>Movep- Motores Maquinas E Acessorios Para Industria Ltda.</v>
          </cell>
          <cell r="D4470" t="str">
            <v>Movep- Motores Maquinas E Acessorios Para Industria Ltda.</v>
          </cell>
          <cell r="E4470" t="str">
            <v>BR_CNPJ</v>
          </cell>
          <cell r="F4470" t="str">
            <v>45.552.676/0001-26</v>
          </cell>
        </row>
        <row r="4471">
          <cell r="A4471">
            <v>38928</v>
          </cell>
          <cell r="B4471" t="str">
            <v>CORPORATION</v>
          </cell>
          <cell r="C4471" t="str">
            <v>Center Maquinas Ltda</v>
          </cell>
          <cell r="D4471" t="str">
            <v>Center Maquinas</v>
          </cell>
          <cell r="E4471" t="str">
            <v>BR_CNPJ</v>
          </cell>
          <cell r="F4471" t="str">
            <v>04.038.525/0001-77</v>
          </cell>
        </row>
        <row r="4472">
          <cell r="A4472">
            <v>38929</v>
          </cell>
          <cell r="B4472" t="str">
            <v>CORPORATION</v>
          </cell>
          <cell r="C4472" t="str">
            <v>Soares Ferramentas E Equipamentos Automotivos Ltda</v>
          </cell>
          <cell r="D4472" t="str">
            <v>Soares Ferramentas</v>
          </cell>
          <cell r="E4472" t="str">
            <v>BR_CNPJ</v>
          </cell>
          <cell r="F4472" t="str">
            <v>52.313.876/0001-91</v>
          </cell>
        </row>
        <row r="4473">
          <cell r="A4473">
            <v>38932</v>
          </cell>
          <cell r="B4473" t="str">
            <v>CORPORATION</v>
          </cell>
          <cell r="C4473" t="str">
            <v>Pontual Materiais De Construcao Ltda</v>
          </cell>
          <cell r="D4473" t="str">
            <v>Pontual Material De Construcao</v>
          </cell>
          <cell r="E4473" t="str">
            <v>BR_CNPJ</v>
          </cell>
          <cell r="F4473" t="str">
            <v>31.737.093/0001-65</v>
          </cell>
        </row>
        <row r="4474">
          <cell r="A4474">
            <v>38933</v>
          </cell>
          <cell r="B4474" t="str">
            <v>CORPORATION</v>
          </cell>
          <cell r="C4474" t="str">
            <v>Reginaldo Elias Ferreira Martins 08076702607</v>
          </cell>
          <cell r="D4474" t="str">
            <v>Mega Net Informática</v>
          </cell>
          <cell r="E4474" t="str">
            <v>BR_CNPJ</v>
          </cell>
          <cell r="F4474" t="str">
            <v>11.981.777/0001-09</v>
          </cell>
        </row>
        <row r="4475">
          <cell r="A4475">
            <v>38935</v>
          </cell>
          <cell r="B4475" t="str">
            <v>CORPORATION</v>
          </cell>
          <cell r="C4475" t="str">
            <v>Interplasma Corte E Soldas Eireli</v>
          </cell>
          <cell r="D4475" t="str">
            <v>Interplasma</v>
          </cell>
          <cell r="E4475" t="str">
            <v>BR_CNPJ</v>
          </cell>
          <cell r="F4475" t="str">
            <v>13.491.227/0001-29</v>
          </cell>
          <cell r="G4475" t="str">
            <v>INTERPLASMA</v>
          </cell>
        </row>
        <row r="4476">
          <cell r="A4476">
            <v>38936</v>
          </cell>
          <cell r="B4476" t="str">
            <v>CORPORATION</v>
          </cell>
          <cell r="C4476" t="str">
            <v>Unimarcas Comercio De Produtos Eletronicos E Musicais Ltda</v>
          </cell>
          <cell r="D4476" t="str">
            <v>Loja Da Ferramenta - Unimarcas Distribuidora</v>
          </cell>
          <cell r="E4476" t="str">
            <v>BR_CNPJ</v>
          </cell>
          <cell r="F4476" t="str">
            <v>36.770.176/0001-70</v>
          </cell>
          <cell r="G4476" t="str">
            <v>NEWPORT</v>
          </cell>
        </row>
        <row r="4477">
          <cell r="A4477">
            <v>38938</v>
          </cell>
          <cell r="B4477" t="str">
            <v>CORPORATION</v>
          </cell>
          <cell r="C4477" t="str">
            <v>Flamox Gases E Soldas Ltda.</v>
          </cell>
          <cell r="D4477" t="str">
            <v>Flamox Gases E Soldas</v>
          </cell>
          <cell r="E4477" t="str">
            <v>BR_CNPJ</v>
          </cell>
          <cell r="F4477" t="str">
            <v>59.244.111/0001-96</v>
          </cell>
        </row>
        <row r="4478">
          <cell r="A4478">
            <v>38941</v>
          </cell>
          <cell r="B4478" t="str">
            <v>CORPORATION</v>
          </cell>
          <cell r="C4478" t="str">
            <v>Lindomar Ferreira Pedrozo Comercio E Servicos</v>
          </cell>
          <cell r="D4478" t="str">
            <v>L.F Pedroso</v>
          </cell>
          <cell r="E4478" t="str">
            <v>BR_CNPJ</v>
          </cell>
          <cell r="F4478" t="str">
            <v>26.253.441/0001-99</v>
          </cell>
        </row>
        <row r="4479">
          <cell r="A4479">
            <v>38943</v>
          </cell>
          <cell r="B4479" t="str">
            <v>CORPORATION</v>
          </cell>
          <cell r="C4479" t="str">
            <v>Bmb Material De Construcao S.A.</v>
          </cell>
          <cell r="D4479" t="str">
            <v>Obramax Benfica</v>
          </cell>
          <cell r="E4479" t="str">
            <v>BR_CNPJ</v>
          </cell>
          <cell r="F4479" t="str">
            <v>23.476.033/0005-31</v>
          </cell>
          <cell r="G4479" t="str">
            <v>OBRAMAX</v>
          </cell>
        </row>
        <row r="4480">
          <cell r="A4480">
            <v>38958</v>
          </cell>
          <cell r="B4480" t="str">
            <v>CORPORATION</v>
          </cell>
          <cell r="C4480" t="str">
            <v>Matheus Salla Muniz 36910218833</v>
          </cell>
          <cell r="D4480" t="str">
            <v>Mult Ferramentas</v>
          </cell>
          <cell r="E4480" t="str">
            <v>BR_CNPJ</v>
          </cell>
          <cell r="F4480" t="str">
            <v>32.882.377/0001-08</v>
          </cell>
        </row>
        <row r="4481">
          <cell r="A4481">
            <v>38963</v>
          </cell>
          <cell r="B4481" t="str">
            <v>CORPORATION</v>
          </cell>
          <cell r="C4481" t="str">
            <v>Jarmes Jose Rodrigues 54881609149</v>
          </cell>
          <cell r="D4481" t="str">
            <v>Ferragista Bene</v>
          </cell>
          <cell r="E4481" t="str">
            <v>BR_CNPJ</v>
          </cell>
          <cell r="F4481" t="str">
            <v>45.056.023/0001-56</v>
          </cell>
        </row>
        <row r="4482">
          <cell r="A4482">
            <v>38964</v>
          </cell>
          <cell r="B4482" t="str">
            <v>CORPORATION</v>
          </cell>
          <cell r="C4482" t="str">
            <v>Maracelma Carneiro Pimentel Da Silva 81738862704</v>
          </cell>
          <cell r="D4482" t="str">
            <v>Mcarneiro Ferragens E Ferramentas</v>
          </cell>
          <cell r="E4482" t="str">
            <v>BR_CNPJ</v>
          </cell>
          <cell r="F4482" t="str">
            <v>12.108.642/0001-98</v>
          </cell>
        </row>
        <row r="4483">
          <cell r="A4483">
            <v>38973</v>
          </cell>
          <cell r="B4483" t="str">
            <v>CORPORATION</v>
          </cell>
          <cell r="C4483" t="str">
            <v>Forte Material Eletrico Ltda - Epp</v>
          </cell>
          <cell r="D4483" t="str">
            <v>Forte Material Eletrico Ltda - Epp</v>
          </cell>
          <cell r="E4483" t="str">
            <v>BR_CNPJ</v>
          </cell>
          <cell r="F4483" t="str">
            <v>62.566.393/0001-52</v>
          </cell>
        </row>
        <row r="4484">
          <cell r="A4484">
            <v>38981</v>
          </cell>
          <cell r="B4484" t="str">
            <v>CORPORATION</v>
          </cell>
          <cell r="C4484" t="str">
            <v>Guerreiro Ferragista Ltda</v>
          </cell>
          <cell r="D4484" t="str">
            <v>Guerreiro Ferragista</v>
          </cell>
          <cell r="E4484" t="str">
            <v>BR_CNPJ</v>
          </cell>
          <cell r="F4484" t="str">
            <v>20.883.985/0001-58</v>
          </cell>
        </row>
        <row r="4485">
          <cell r="A4485">
            <v>38985</v>
          </cell>
          <cell r="B4485" t="str">
            <v>CORPORATION</v>
          </cell>
          <cell r="C4485" t="str">
            <v>Jose Marcio De Souza</v>
          </cell>
          <cell r="D4485" t="str">
            <v>Oicram</v>
          </cell>
          <cell r="E4485" t="str">
            <v>BR_CNPJ</v>
          </cell>
          <cell r="F4485" t="str">
            <v>02.520.348/0001-35</v>
          </cell>
        </row>
        <row r="4486">
          <cell r="A4486">
            <v>39010</v>
          </cell>
          <cell r="B4486" t="str">
            <v>CORPORATION</v>
          </cell>
          <cell r="C4486" t="str">
            <v>Ferpan Comercio E Artefatos De Ferro Ltda</v>
          </cell>
          <cell r="D4486" t="str">
            <v>Ferpan Comercio E Artefatos</v>
          </cell>
          <cell r="E4486" t="str">
            <v>BR_CNPJ</v>
          </cell>
          <cell r="F4486" t="str">
            <v>11.515.171/0001-70</v>
          </cell>
        </row>
        <row r="4487">
          <cell r="A4487">
            <v>39014</v>
          </cell>
          <cell r="B4487" t="str">
            <v>CORPORATION</v>
          </cell>
          <cell r="C4487" t="str">
            <v>Michael Mota Furquim 32122198826</v>
          </cell>
          <cell r="D4487" t="str">
            <v>Soldagem Da Paz</v>
          </cell>
          <cell r="E4487" t="str">
            <v>BR_CNPJ</v>
          </cell>
          <cell r="F4487" t="str">
            <v>20.655.166/0001-53</v>
          </cell>
        </row>
        <row r="4488">
          <cell r="A4488">
            <v>39021</v>
          </cell>
          <cell r="B4488" t="str">
            <v>CORPORATION</v>
          </cell>
          <cell r="C4488" t="str">
            <v>L.De Oliveira Consertos De Maquinas</v>
          </cell>
          <cell r="D4488" t="str">
            <v>Leandro Ferramentas</v>
          </cell>
          <cell r="E4488" t="str">
            <v>BR_CNPJ</v>
          </cell>
          <cell r="F4488" t="str">
            <v>09.191.402/0001-95</v>
          </cell>
        </row>
        <row r="4489">
          <cell r="A4489">
            <v>39035</v>
          </cell>
          <cell r="B4489" t="str">
            <v>CORPORATION</v>
          </cell>
          <cell r="C4489" t="str">
            <v>Nilo Comercio De Maquinas E Equipamentos Eletricos Ltda</v>
          </cell>
          <cell r="D4489" t="str">
            <v>Nilo Maquinas</v>
          </cell>
          <cell r="E4489" t="str">
            <v>BR_CNPJ</v>
          </cell>
          <cell r="F4489" t="str">
            <v>05.940.361/0001-31</v>
          </cell>
        </row>
        <row r="4490">
          <cell r="A4490">
            <v>39038</v>
          </cell>
          <cell r="B4490" t="str">
            <v>CORPORATION</v>
          </cell>
          <cell r="C4490" t="str">
            <v>Locaminas Loc. E Assist. Técnica Ltda</v>
          </cell>
          <cell r="D4490" t="str">
            <v>Locaminas</v>
          </cell>
          <cell r="E4490" t="str">
            <v>BR_CNPJ</v>
          </cell>
          <cell r="F4490" t="str">
            <v>02.090.591/0001-60</v>
          </cell>
          <cell r="G4490" t="str">
            <v>LOCAMINAS</v>
          </cell>
        </row>
        <row r="4491">
          <cell r="A4491">
            <v>39039</v>
          </cell>
          <cell r="B4491" t="str">
            <v>CORPORATION</v>
          </cell>
          <cell r="C4491" t="str">
            <v>O Martins Comercio De Maquinas E Ferramentas Ltda</v>
          </cell>
          <cell r="D4491" t="str">
            <v>Martins Peres</v>
          </cell>
          <cell r="E4491" t="str">
            <v>BR_CNPJ</v>
          </cell>
          <cell r="F4491" t="str">
            <v>61.098.190/0001-16</v>
          </cell>
        </row>
        <row r="4492">
          <cell r="A4492">
            <v>39042</v>
          </cell>
          <cell r="B4492" t="str">
            <v>CORPORATION</v>
          </cell>
          <cell r="C4492" t="str">
            <v>Joanna De Moraes Rocha Parafusos Epp</v>
          </cell>
          <cell r="D4492" t="str">
            <v>Polofix Ferramentas E Fixadores</v>
          </cell>
          <cell r="E4492" t="str">
            <v>BR_CNPJ</v>
          </cell>
          <cell r="F4492" t="str">
            <v>08.107.569/0001-62</v>
          </cell>
        </row>
        <row r="4493">
          <cell r="A4493">
            <v>39044</v>
          </cell>
          <cell r="B4493" t="str">
            <v>CORPORATION</v>
          </cell>
          <cell r="C4493" t="str">
            <v>Mtx Filtros Equipamentos E Servicos Ltda</v>
          </cell>
          <cell r="D4493" t="str">
            <v>Mtx Filtros</v>
          </cell>
          <cell r="E4493" t="str">
            <v>BR_CNPJ</v>
          </cell>
          <cell r="F4493" t="str">
            <v>20.535.028/0001-30</v>
          </cell>
        </row>
        <row r="4494">
          <cell r="A4494">
            <v>39057</v>
          </cell>
          <cell r="B4494" t="str">
            <v>CORPORATION</v>
          </cell>
          <cell r="C4494" t="str">
            <v>Aderson Lima De Andrade</v>
          </cell>
          <cell r="D4494" t="str">
            <v>Lojas Fixacao</v>
          </cell>
          <cell r="E4494" t="str">
            <v>BR_CNPJ</v>
          </cell>
          <cell r="F4494" t="str">
            <v>24.778.027/0001-78</v>
          </cell>
        </row>
        <row r="4495">
          <cell r="A4495">
            <v>39060</v>
          </cell>
          <cell r="B4495" t="str">
            <v>CORPORATION</v>
          </cell>
          <cell r="C4495" t="str">
            <v>Galvao Casa E Construcao Eireli</v>
          </cell>
          <cell r="D4495" t="str">
            <v>Galvao Casa E Construcao</v>
          </cell>
          <cell r="E4495" t="str">
            <v>BR_CNPJ</v>
          </cell>
          <cell r="F4495" t="str">
            <v>11.784.177/0001-42</v>
          </cell>
        </row>
        <row r="4496">
          <cell r="A4496">
            <v>39067</v>
          </cell>
          <cell r="B4496" t="str">
            <v>CORPORATION</v>
          </cell>
          <cell r="C4496" t="str">
            <v>R. T. Vieira Comercio Atacadista Ltda</v>
          </cell>
          <cell r="D4496" t="str">
            <v>R. T. Vieira Comercio Atacadista</v>
          </cell>
          <cell r="E4496" t="str">
            <v>BR_CNPJ</v>
          </cell>
          <cell r="F4496" t="str">
            <v>28.401.553/0001-75</v>
          </cell>
          <cell r="G4496" t="str">
            <v xml:space="preserve">BARATÃO FERRO E AÇO </v>
          </cell>
        </row>
        <row r="4497">
          <cell r="A4497">
            <v>39072</v>
          </cell>
          <cell r="B4497" t="str">
            <v>CORPORATION</v>
          </cell>
          <cell r="C4497" t="str">
            <v>Portal Distribuidora De Epis Ltda</v>
          </cell>
          <cell r="D4497" t="str">
            <v>Portal Epis</v>
          </cell>
          <cell r="E4497" t="str">
            <v>BR_CNPJ</v>
          </cell>
          <cell r="F4497" t="str">
            <v>10.436.594/0003-01</v>
          </cell>
          <cell r="G4497" t="str">
            <v>PORTAL EPIS</v>
          </cell>
        </row>
        <row r="4498">
          <cell r="A4498">
            <v>39080</v>
          </cell>
          <cell r="B4498" t="str">
            <v>CORPORATION</v>
          </cell>
          <cell r="C4498" t="str">
            <v>Portal Distribuidora De Epis Ltda</v>
          </cell>
          <cell r="D4498" t="str">
            <v>Portal Epis</v>
          </cell>
          <cell r="E4498" t="str">
            <v>BR_CNPJ</v>
          </cell>
          <cell r="F4498" t="str">
            <v>10.436.594/0001-31</v>
          </cell>
          <cell r="G4498" t="str">
            <v>PORTAL EPIS</v>
          </cell>
        </row>
        <row r="4499">
          <cell r="A4499">
            <v>39086</v>
          </cell>
          <cell r="B4499" t="str">
            <v>CORPORATION</v>
          </cell>
          <cell r="C4499" t="str">
            <v>Sao Benedito Materiais Para Construcao Ltda</v>
          </cell>
          <cell r="D4499" t="str">
            <v>Sao Benedito Materiais Para Construcao</v>
          </cell>
          <cell r="E4499" t="str">
            <v>BR_CNPJ</v>
          </cell>
          <cell r="F4499" t="str">
            <v>23.859.606/0001-82</v>
          </cell>
        </row>
        <row r="4500">
          <cell r="A4500">
            <v>39089</v>
          </cell>
          <cell r="B4500" t="str">
            <v>CORPORATION</v>
          </cell>
          <cell r="C4500" t="str">
            <v>Kempa Maquinas E Servicos Eireli</v>
          </cell>
          <cell r="D4500" t="str">
            <v>Kempa Maquinas</v>
          </cell>
          <cell r="E4500" t="str">
            <v>BR_CNPJ</v>
          </cell>
          <cell r="F4500" t="str">
            <v>28.188.708/0001-37</v>
          </cell>
        </row>
        <row r="4501">
          <cell r="A4501">
            <v>39092</v>
          </cell>
          <cell r="B4501" t="str">
            <v>CORPORATION</v>
          </cell>
          <cell r="C4501" t="str">
            <v>Douglas Cordeiro Ltda</v>
          </cell>
          <cell r="D4501" t="str">
            <v>Cordeiro Atacadista</v>
          </cell>
          <cell r="E4501" t="str">
            <v>BR_CNPJ</v>
          </cell>
          <cell r="F4501" t="str">
            <v>27.176.482/0001-91</v>
          </cell>
        </row>
        <row r="4502">
          <cell r="A4502">
            <v>39093</v>
          </cell>
          <cell r="B4502" t="str">
            <v>CORPORATION</v>
          </cell>
          <cell r="C4502" t="str">
            <v>Equipo 1 Ferramentas Eletricas Ltda</v>
          </cell>
          <cell r="D4502" t="str">
            <v>Equipo 1 Ferramentas</v>
          </cell>
          <cell r="E4502" t="str">
            <v>BR_CNPJ</v>
          </cell>
          <cell r="F4502" t="str">
            <v>39.488.499/0001-63</v>
          </cell>
        </row>
        <row r="4503">
          <cell r="A4503">
            <v>39094</v>
          </cell>
          <cell r="B4503" t="str">
            <v>CORPORATION</v>
          </cell>
          <cell r="C4503" t="str">
            <v>Jfj Comercio De Materiais Hidroeletricos Eireli</v>
          </cell>
          <cell r="D4503" t="str">
            <v>Roma Eletrica E Hidraulica</v>
          </cell>
          <cell r="E4503" t="str">
            <v>BR_CNPJ</v>
          </cell>
          <cell r="F4503" t="str">
            <v>00.645.936/0001-70</v>
          </cell>
        </row>
        <row r="4504">
          <cell r="A4504">
            <v>39098</v>
          </cell>
          <cell r="B4504" t="str">
            <v>CORPORATION</v>
          </cell>
          <cell r="C4504" t="str">
            <v>Alufer Metal Comercio Ltda</v>
          </cell>
          <cell r="D4504" t="str">
            <v>Alufer Metal</v>
          </cell>
          <cell r="E4504" t="str">
            <v>BR_CNPJ</v>
          </cell>
          <cell r="F4504" t="str">
            <v>11.608.084/0001-67</v>
          </cell>
        </row>
        <row r="4505">
          <cell r="A4505">
            <v>39099</v>
          </cell>
          <cell r="B4505" t="str">
            <v>CORPORATION</v>
          </cell>
          <cell r="C4505" t="str">
            <v>Nilo Azul Comercio Varejista De Materiais De Construções Ltda</v>
          </cell>
          <cell r="D4505" t="str">
            <v>Niloazul Da Amazonia</v>
          </cell>
          <cell r="E4505" t="str">
            <v>BR_CNPJ</v>
          </cell>
          <cell r="F4505" t="str">
            <v>28.264.271/0001-73</v>
          </cell>
        </row>
        <row r="4506">
          <cell r="A4506">
            <v>39101</v>
          </cell>
          <cell r="B4506" t="str">
            <v>CORPORATION</v>
          </cell>
          <cell r="C4506" t="str">
            <v>Mac Center - Comercio Atacadista De Artigos Para Borracharia E Pneumaticos Ltda</v>
          </cell>
          <cell r="D4506" t="str">
            <v>Mac Center</v>
          </cell>
          <cell r="E4506" t="str">
            <v>BR_CNPJ</v>
          </cell>
          <cell r="F4506" t="str">
            <v>00.228.329/0001-04</v>
          </cell>
        </row>
        <row r="4507">
          <cell r="A4507">
            <v>39102</v>
          </cell>
          <cell r="B4507" t="str">
            <v>CORPORATION</v>
          </cell>
          <cell r="C4507" t="str">
            <v>Atacadao Melo E Distribuidora Ltda</v>
          </cell>
          <cell r="D4507" t="str">
            <v>Atacadao Melo E Distribuidora</v>
          </cell>
          <cell r="E4507" t="str">
            <v>BR_CNPJ</v>
          </cell>
          <cell r="F4507" t="str">
            <v>40.461.259/0001-54</v>
          </cell>
          <cell r="G4507" t="str">
            <v>FERRAGISTA</v>
          </cell>
        </row>
        <row r="4508">
          <cell r="A4508">
            <v>39113</v>
          </cell>
          <cell r="B4508" t="str">
            <v>CORPORATION</v>
          </cell>
          <cell r="C4508" t="str">
            <v>Leonardo Tasca Woitg 09986104963</v>
          </cell>
          <cell r="D4508" t="str">
            <v>Mecanica Tasca E Representacoes</v>
          </cell>
          <cell r="E4508" t="str">
            <v>BR_CNPJ</v>
          </cell>
          <cell r="F4508" t="str">
            <v>24.888.856/0001-03</v>
          </cell>
        </row>
        <row r="4509">
          <cell r="A4509">
            <v>39116</v>
          </cell>
          <cell r="B4509" t="str">
            <v>CORPORATION</v>
          </cell>
          <cell r="C4509" t="str">
            <v>Almir Alves Da Cruz 01188424475</v>
          </cell>
          <cell r="D4509" t="str">
            <v>Alves &amp; Cruz Variedades</v>
          </cell>
          <cell r="E4509" t="str">
            <v>BR_CNPJ</v>
          </cell>
          <cell r="F4509" t="str">
            <v>28.731.475/0001-77</v>
          </cell>
        </row>
        <row r="4510">
          <cell r="A4510">
            <v>39117</v>
          </cell>
          <cell r="B4510" t="str">
            <v>CORPORATION</v>
          </cell>
          <cell r="C4510" t="str">
            <v>Centro Do Aluminio Ind. E Com. De Ferragens, Ferramentas E Madeiras Ltda</v>
          </cell>
          <cell r="D4510" t="str">
            <v>Centro Do Aluminio</v>
          </cell>
          <cell r="E4510" t="str">
            <v>BR_CNPJ</v>
          </cell>
          <cell r="F4510" t="str">
            <v>33.906.812/0005-83</v>
          </cell>
        </row>
        <row r="4511">
          <cell r="A4511">
            <v>39121</v>
          </cell>
          <cell r="B4511" t="str">
            <v>CORPORATION</v>
          </cell>
          <cell r="C4511" t="str">
            <v>Romac Ferramentas Ltda</v>
          </cell>
          <cell r="D4511" t="str">
            <v>Romac Ferramentas</v>
          </cell>
          <cell r="E4511" t="str">
            <v>BR_CNPJ</v>
          </cell>
          <cell r="F4511" t="str">
            <v>10.805.132/0001-44</v>
          </cell>
        </row>
        <row r="4512">
          <cell r="A4512">
            <v>39124</v>
          </cell>
          <cell r="B4512" t="str">
            <v>CORPORATION</v>
          </cell>
          <cell r="C4512" t="str">
            <v>Bahig Mikhael Merheb</v>
          </cell>
          <cell r="D4512" t="str">
            <v>Casa 52</v>
          </cell>
          <cell r="E4512" t="str">
            <v>BR_CNPJ</v>
          </cell>
          <cell r="F4512" t="str">
            <v>81.254.468/0001-04</v>
          </cell>
        </row>
        <row r="4513">
          <cell r="A4513">
            <v>39125</v>
          </cell>
          <cell r="B4513" t="str">
            <v>CORPORATION</v>
          </cell>
          <cell r="C4513" t="str">
            <v>Spaco Com De Ferragens Ferramentas E Eletricos Ltda</v>
          </cell>
          <cell r="D4513" t="str">
            <v>Spaco Com De Ferragens Ferramentas E Eletricos Ltda</v>
          </cell>
          <cell r="E4513" t="str">
            <v>BR_CNPJ</v>
          </cell>
          <cell r="F4513" t="str">
            <v>60.051.000/0001-42</v>
          </cell>
        </row>
        <row r="4514">
          <cell r="A4514">
            <v>39130</v>
          </cell>
          <cell r="B4514" t="str">
            <v>CORPORATION</v>
          </cell>
          <cell r="C4514" t="str">
            <v>Barreirinha Agropecuaria E Comercio Ltda</v>
          </cell>
          <cell r="D4514" t="str">
            <v>Casa Do Produtor</v>
          </cell>
          <cell r="E4514" t="str">
            <v>BR_CNPJ</v>
          </cell>
          <cell r="F4514" t="str">
            <v>11.291.739/0001-16</v>
          </cell>
        </row>
        <row r="4515">
          <cell r="A4515">
            <v>39131</v>
          </cell>
          <cell r="B4515" t="str">
            <v>CORPORATION</v>
          </cell>
          <cell r="C4515" t="str">
            <v>Rita De Kassia Costa Da Costa Alves</v>
          </cell>
          <cell r="D4515" t="str">
            <v>Casa Do Serralheiro</v>
          </cell>
          <cell r="E4515" t="str">
            <v>BR_CNPJ</v>
          </cell>
          <cell r="F4515" t="str">
            <v>42.598.523/0001-21</v>
          </cell>
        </row>
        <row r="4516">
          <cell r="A4516">
            <v>39133</v>
          </cell>
          <cell r="B4516" t="str">
            <v>CORPORATION</v>
          </cell>
          <cell r="C4516" t="str">
            <v>De Meo Comercial Importadora Ltda</v>
          </cell>
          <cell r="D4516" t="str">
            <v>Demeo</v>
          </cell>
          <cell r="E4516" t="str">
            <v>BR_CNPJ</v>
          </cell>
          <cell r="F4516" t="str">
            <v>60.872.124/0024-85</v>
          </cell>
          <cell r="G4516" t="str">
            <v>DEMEO</v>
          </cell>
        </row>
        <row r="4517">
          <cell r="A4517">
            <v>39135</v>
          </cell>
          <cell r="B4517" t="str">
            <v>CORPORATION</v>
          </cell>
          <cell r="C4517" t="str">
            <v>Vivo Licitacoes Ltda</v>
          </cell>
          <cell r="D4517" t="str">
            <v>Vivo Licitacoes</v>
          </cell>
          <cell r="E4517" t="str">
            <v>BR_CNPJ</v>
          </cell>
          <cell r="F4517" t="str">
            <v>30.041.676/0001-94</v>
          </cell>
        </row>
        <row r="4518">
          <cell r="A4518">
            <v>39143</v>
          </cell>
          <cell r="B4518" t="str">
            <v>CORPORATION</v>
          </cell>
          <cell r="C4518" t="str">
            <v>Vera Pereira Camargo Tassignon Boituva</v>
          </cell>
          <cell r="D4518" t="str">
            <v>Jv Maquinas</v>
          </cell>
          <cell r="E4518" t="str">
            <v>BR_CNPJ</v>
          </cell>
          <cell r="F4518" t="str">
            <v>10.548.590/0001-45</v>
          </cell>
        </row>
        <row r="4519">
          <cell r="A4519">
            <v>39147</v>
          </cell>
          <cell r="B4519" t="str">
            <v>CORPORATION</v>
          </cell>
          <cell r="C4519" t="str">
            <v>A. S. Da Silva &amp; A. M. Da Silva Ltda</v>
          </cell>
          <cell r="D4519" t="str">
            <v>Lubri Rio</v>
          </cell>
          <cell r="E4519" t="str">
            <v>BR_CNPJ</v>
          </cell>
          <cell r="F4519" t="str">
            <v>09.229.122/0001-29</v>
          </cell>
        </row>
        <row r="4520">
          <cell r="A4520">
            <v>39149</v>
          </cell>
          <cell r="B4520" t="str">
            <v>CORPORATION</v>
          </cell>
          <cell r="C4520" t="str">
            <v>Mofer Comercio De Ferro E Aco Eireli</v>
          </cell>
          <cell r="D4520" t="str">
            <v>Mofer</v>
          </cell>
          <cell r="E4520" t="str">
            <v>BR_CNPJ</v>
          </cell>
          <cell r="F4520" t="str">
            <v>68.998.582/0001-80</v>
          </cell>
        </row>
        <row r="4521">
          <cell r="A4521">
            <v>39152</v>
          </cell>
          <cell r="B4521" t="str">
            <v>CORPORATION</v>
          </cell>
          <cell r="C4521" t="str">
            <v>Ulisses J Cury Filho &amp; Cia Ltda</v>
          </cell>
          <cell r="D4521" t="str">
            <v>Rei Dos Parafusos</v>
          </cell>
          <cell r="E4521" t="str">
            <v>BR_CNPJ</v>
          </cell>
          <cell r="F4521" t="str">
            <v>59.963.330/0001-25</v>
          </cell>
        </row>
        <row r="4522">
          <cell r="A4522">
            <v>39156</v>
          </cell>
          <cell r="B4522" t="str">
            <v>CORPORATION</v>
          </cell>
          <cell r="C4522" t="str">
            <v>Telefer Parafusos E Ferramentas Ltda</v>
          </cell>
          <cell r="D4522" t="str">
            <v>Telefer Parafusos E Ferramentas Ltda</v>
          </cell>
          <cell r="E4522" t="str">
            <v>BR_CNPJ</v>
          </cell>
          <cell r="F4522" t="str">
            <v>13.959.817/0001-33</v>
          </cell>
        </row>
        <row r="4523">
          <cell r="A4523">
            <v>39158</v>
          </cell>
          <cell r="B4523" t="str">
            <v>CORPORATION</v>
          </cell>
          <cell r="C4523" t="str">
            <v>Altair Vieira Do Nascimento &amp; Cia Ltda</v>
          </cell>
          <cell r="D4523" t="str">
            <v>Altair Vieira</v>
          </cell>
          <cell r="E4523" t="str">
            <v>BR_CNPJ</v>
          </cell>
          <cell r="F4523" t="str">
            <v>01.485.205/0001-77</v>
          </cell>
        </row>
        <row r="4524">
          <cell r="A4524">
            <v>39161</v>
          </cell>
          <cell r="B4524" t="str">
            <v>CORPORATION</v>
          </cell>
          <cell r="C4524" t="str">
            <v>Ferreira &amp; Silva Comercio Ltda</v>
          </cell>
          <cell r="D4524" t="str">
            <v>Comercial Ferreira</v>
          </cell>
          <cell r="E4524" t="str">
            <v>BR_CNPJ</v>
          </cell>
          <cell r="F4524" t="str">
            <v>05.600.837/0001-95</v>
          </cell>
        </row>
        <row r="4525">
          <cell r="A4525">
            <v>39170</v>
          </cell>
          <cell r="B4525" t="str">
            <v>CORPORATION</v>
          </cell>
          <cell r="C4525" t="str">
            <v>Herman Ferragens Ltda</v>
          </cell>
          <cell r="D4525" t="str">
            <v>Herman Ferragens</v>
          </cell>
          <cell r="E4525" t="str">
            <v>BR_CNPJ</v>
          </cell>
          <cell r="F4525" t="str">
            <v>07.832.186/0001-94</v>
          </cell>
        </row>
        <row r="4526">
          <cell r="A4526">
            <v>39172</v>
          </cell>
          <cell r="B4526" t="str">
            <v>CORPORATION</v>
          </cell>
          <cell r="C4526" t="str">
            <v>Via Products Ltda</v>
          </cell>
          <cell r="D4526" t="str">
            <v>Via Products Ltda</v>
          </cell>
          <cell r="E4526" t="str">
            <v>BR_CNPJ</v>
          </cell>
          <cell r="F4526" t="str">
            <v>58.508.136/0001-97</v>
          </cell>
          <cell r="G4526" t="str">
            <v>CBV</v>
          </cell>
        </row>
        <row r="4527">
          <cell r="A4527">
            <v>39173</v>
          </cell>
          <cell r="B4527" t="str">
            <v>CORPORATION</v>
          </cell>
          <cell r="C4527" t="str">
            <v>Bergamaschi Serralheria Ltda</v>
          </cell>
          <cell r="D4527" t="str">
            <v>Bersel</v>
          </cell>
          <cell r="E4527" t="str">
            <v>BR_CNPJ</v>
          </cell>
          <cell r="F4527" t="str">
            <v>75.456.343/0001-64</v>
          </cell>
        </row>
        <row r="4528">
          <cell r="A4528">
            <v>39183</v>
          </cell>
          <cell r="B4528" t="str">
            <v>CORPORATION</v>
          </cell>
          <cell r="C4528" t="str">
            <v>Comercial E Pra Casa Lar E Construcao Ltda</v>
          </cell>
          <cell r="D4528" t="str">
            <v>Comercial E Pra Casa Lar E Construcao</v>
          </cell>
          <cell r="E4528" t="str">
            <v>BR_CNPJ</v>
          </cell>
          <cell r="F4528" t="str">
            <v>09.054.566/0001-70</v>
          </cell>
        </row>
        <row r="4529">
          <cell r="A4529">
            <v>39188</v>
          </cell>
          <cell r="B4529" t="str">
            <v>CORPORATION</v>
          </cell>
          <cell r="C4529" t="str">
            <v>Resende Nobre Ltda</v>
          </cell>
          <cell r="D4529" t="str">
            <v>Eletro Motor Rio</v>
          </cell>
          <cell r="E4529" t="str">
            <v>BR_CNPJ</v>
          </cell>
          <cell r="F4529" t="str">
            <v>03.669.542/0001-40</v>
          </cell>
        </row>
        <row r="4530">
          <cell r="A4530">
            <v>39189</v>
          </cell>
          <cell r="B4530" t="str">
            <v>CORPORATION</v>
          </cell>
          <cell r="C4530" t="str">
            <v>Darcol Implementos Agricolas Ltda</v>
          </cell>
          <cell r="D4530" t="str">
            <v>Darcol Implementos Agricolas</v>
          </cell>
          <cell r="E4530" t="str">
            <v>BR_CNPJ</v>
          </cell>
          <cell r="F4530" t="str">
            <v>05.449.300/0001-76</v>
          </cell>
        </row>
        <row r="4531">
          <cell r="A4531">
            <v>39190</v>
          </cell>
          <cell r="B4531" t="str">
            <v>CORPORATION</v>
          </cell>
          <cell r="C4531" t="str">
            <v>C. Lijun</v>
          </cell>
          <cell r="D4531" t="str">
            <v>C. Lijun</v>
          </cell>
          <cell r="E4531" t="str">
            <v>BR_CNPJ</v>
          </cell>
          <cell r="F4531" t="str">
            <v>23.520.913/0001-34</v>
          </cell>
        </row>
        <row r="4532">
          <cell r="A4532">
            <v>39192</v>
          </cell>
          <cell r="B4532" t="str">
            <v>CORPORATION</v>
          </cell>
          <cell r="C4532" t="str">
            <v>Vicente Fernandes Caruzo</v>
          </cell>
          <cell r="D4532" t="str">
            <v>Vicente Fernandes Caruzo</v>
          </cell>
          <cell r="E4532" t="str">
            <v>BR_CNPJ</v>
          </cell>
          <cell r="F4532" t="str">
            <v>14.184.036/0001-87</v>
          </cell>
          <cell r="G4532" t="str">
            <v>VICENTE FERNANDES</v>
          </cell>
        </row>
        <row r="4533">
          <cell r="A4533">
            <v>39209</v>
          </cell>
          <cell r="B4533" t="str">
            <v>CORPORATION</v>
          </cell>
          <cell r="C4533" t="str">
            <v>Maxjet Locacao De Maquinas E Equipamentos Ltda</v>
          </cell>
          <cell r="D4533" t="str">
            <v>Maxjet Locacao De Maquinas E Equipamentos Ltda</v>
          </cell>
          <cell r="E4533" t="str">
            <v>BR_CNPJ</v>
          </cell>
          <cell r="F4533" t="str">
            <v>14.027.062/0001-00</v>
          </cell>
        </row>
        <row r="4534">
          <cell r="A4534">
            <v>39210</v>
          </cell>
          <cell r="B4534" t="str">
            <v>CORPORATION</v>
          </cell>
          <cell r="C4534" t="str">
            <v>Leonardo Carneiro Ferreira 34720370837</v>
          </cell>
          <cell r="D4534" t="str">
            <v>Leonardo Carneiro Ferreira 34720370837</v>
          </cell>
          <cell r="E4534" t="str">
            <v>BR_CNPJ</v>
          </cell>
          <cell r="F4534" t="str">
            <v>15.384.618/0001-70</v>
          </cell>
        </row>
        <row r="4535">
          <cell r="A4535">
            <v>39215</v>
          </cell>
          <cell r="B4535" t="str">
            <v>CORPORATION</v>
          </cell>
          <cell r="C4535" t="str">
            <v>Abc Eletrodos Soldas E Abrasivos Ltda</v>
          </cell>
          <cell r="D4535" t="str">
            <v>Abc Soldas</v>
          </cell>
          <cell r="E4535" t="str">
            <v>BR_CNPJ</v>
          </cell>
          <cell r="F4535" t="str">
            <v>24.924.663/0001-60</v>
          </cell>
        </row>
        <row r="4536">
          <cell r="A4536">
            <v>39218</v>
          </cell>
          <cell r="B4536" t="str">
            <v>CORPORATION</v>
          </cell>
          <cell r="C4536" t="str">
            <v>Stephanie Da Silva Teixeira</v>
          </cell>
          <cell r="D4536" t="str">
            <v>Solemar</v>
          </cell>
          <cell r="E4536" t="str">
            <v>BR_CNPJ</v>
          </cell>
          <cell r="F4536" t="str">
            <v>28.035.932/0001-99</v>
          </cell>
        </row>
        <row r="4537">
          <cell r="A4537">
            <v>39222</v>
          </cell>
          <cell r="B4537" t="str">
            <v>CORPORATION</v>
          </cell>
          <cell r="C4537" t="str">
            <v>Mega Opcao Comercio De Ferro E Aco Ltda</v>
          </cell>
          <cell r="D4537" t="str">
            <v>Mega Opcao</v>
          </cell>
          <cell r="E4537" t="str">
            <v>BR_CNPJ</v>
          </cell>
          <cell r="F4537" t="str">
            <v>11.263.880/0001-05</v>
          </cell>
        </row>
        <row r="4538">
          <cell r="A4538">
            <v>39225</v>
          </cell>
          <cell r="B4538" t="str">
            <v>CORPORATION</v>
          </cell>
          <cell r="C4538" t="str">
            <v>Roberio De Jesus Santos</v>
          </cell>
          <cell r="D4538" t="str">
            <v>V R V Ferramentas</v>
          </cell>
          <cell r="E4538" t="str">
            <v>BR_CNPJ</v>
          </cell>
          <cell r="F4538" t="str">
            <v>13.710.436/0001-16</v>
          </cell>
        </row>
        <row r="4539">
          <cell r="A4539">
            <v>39228</v>
          </cell>
          <cell r="B4539" t="str">
            <v>CORPORATION</v>
          </cell>
          <cell r="C4539" t="str">
            <v>Ecologico Sao Paulo Eventos Promocoes E Gases Ltda</v>
          </cell>
          <cell r="D4539" t="str">
            <v>Ecologico Sao Paulo (Mixandi)</v>
          </cell>
          <cell r="E4539" t="str">
            <v>BR_CNPJ</v>
          </cell>
          <cell r="F4539" t="str">
            <v>05.162.969/0001-82</v>
          </cell>
          <cell r="G4539" t="str">
            <v>MIXANDI</v>
          </cell>
        </row>
        <row r="4540">
          <cell r="A4540">
            <v>39229</v>
          </cell>
          <cell r="B4540" t="str">
            <v>CORPORATION</v>
          </cell>
          <cell r="C4540" t="str">
            <v>Nirhoxi Maquinas, Ferramentas, Abrasivos E Epi Ltda</v>
          </cell>
          <cell r="D4540" t="str">
            <v>Nirhoxi Maquinas, Ferramentas, Abrasivos E Epi</v>
          </cell>
          <cell r="E4540" t="str">
            <v>BR_CNPJ</v>
          </cell>
          <cell r="F4540" t="str">
            <v>45.471.320/0001-68</v>
          </cell>
        </row>
        <row r="4541">
          <cell r="A4541">
            <v>39230</v>
          </cell>
          <cell r="B4541" t="str">
            <v>CORPORATION</v>
          </cell>
          <cell r="C4541" t="str">
            <v>Santarosa Lar E Construcao Ltda</v>
          </cell>
          <cell r="D4541" t="str">
            <v>Santarosa Lar E Construcao Ltda</v>
          </cell>
          <cell r="E4541" t="str">
            <v>BR_CNPJ</v>
          </cell>
          <cell r="F4541" t="str">
            <v>22.308.741/0001-77</v>
          </cell>
        </row>
        <row r="4542">
          <cell r="A4542">
            <v>39231</v>
          </cell>
          <cell r="B4542" t="str">
            <v>CORPORATION</v>
          </cell>
          <cell r="C4542" t="str">
            <v>Incofel Distribuicao Ltda</v>
          </cell>
          <cell r="D4542" t="str">
            <v>Incofel Distribuicao</v>
          </cell>
          <cell r="E4542" t="str">
            <v>BR_CNPJ</v>
          </cell>
          <cell r="F4542" t="str">
            <v>04.758.436/0001-03</v>
          </cell>
        </row>
        <row r="4543">
          <cell r="A4543">
            <v>39233</v>
          </cell>
          <cell r="B4543" t="str">
            <v>CORPORATION</v>
          </cell>
          <cell r="C4543" t="str">
            <v>Katral Suprimentos Ltda</v>
          </cell>
          <cell r="D4543" t="str">
            <v>Katral</v>
          </cell>
          <cell r="E4543" t="str">
            <v>BR_CNPJ</v>
          </cell>
          <cell r="F4543" t="str">
            <v>45.917.144/0001-45</v>
          </cell>
        </row>
        <row r="4544">
          <cell r="A4544">
            <v>39235</v>
          </cell>
          <cell r="B4544" t="str">
            <v>CORPORATION</v>
          </cell>
          <cell r="C4544" t="str">
            <v>Campsou Material De Construcao Ltda</v>
          </cell>
          <cell r="D4544" t="str">
            <v>Campsou</v>
          </cell>
          <cell r="E4544" t="str">
            <v>BR_CNPJ</v>
          </cell>
          <cell r="F4544" t="str">
            <v>12.652.892/0001-94</v>
          </cell>
        </row>
        <row r="4545">
          <cell r="A4545">
            <v>39239</v>
          </cell>
          <cell r="B4545" t="str">
            <v>CORPORATION</v>
          </cell>
          <cell r="C4545" t="str">
            <v>Aco E Ferro Globaco Ltda</v>
          </cell>
          <cell r="D4545" t="str">
            <v>Globaco</v>
          </cell>
          <cell r="E4545" t="str">
            <v>BR_CNPJ</v>
          </cell>
          <cell r="F4545" t="str">
            <v>11.275.974/0001-02</v>
          </cell>
        </row>
        <row r="4546">
          <cell r="A4546">
            <v>39245</v>
          </cell>
          <cell r="B4546" t="str">
            <v>CORPORATION</v>
          </cell>
          <cell r="C4546" t="str">
            <v>L.S. Ferramentas Ltda</v>
          </cell>
          <cell r="D4546" t="str">
            <v>L.S. Ferramentas</v>
          </cell>
          <cell r="E4546" t="str">
            <v>BR_CNPJ</v>
          </cell>
          <cell r="F4546" t="str">
            <v>05.391.673/0001-33</v>
          </cell>
        </row>
        <row r="4547">
          <cell r="A4547">
            <v>39248</v>
          </cell>
          <cell r="B4547" t="str">
            <v>CORPORATION</v>
          </cell>
          <cell r="C4547" t="str">
            <v>Metais Sao Cristovao Eireli</v>
          </cell>
          <cell r="D4547" t="str">
            <v>Metais Sao Cristovao Eireli</v>
          </cell>
          <cell r="E4547" t="str">
            <v>BR_CNPJ</v>
          </cell>
          <cell r="F4547" t="str">
            <v>03.878.840/0001-40</v>
          </cell>
        </row>
        <row r="4548">
          <cell r="A4548">
            <v>39250</v>
          </cell>
          <cell r="B4548" t="str">
            <v>CORPORATION</v>
          </cell>
          <cell r="C4548" t="str">
            <v>M M A Comercio Varejista Ltda</v>
          </cell>
          <cell r="D4548" t="str">
            <v>Primus Comercio De Maquinas E Ferramentas</v>
          </cell>
          <cell r="E4548" t="str">
            <v>BR_CNPJ</v>
          </cell>
          <cell r="F4548" t="str">
            <v>53.160.430/0001-37</v>
          </cell>
        </row>
        <row r="4549">
          <cell r="A4549">
            <v>39252</v>
          </cell>
          <cell r="B4549" t="str">
            <v>CORPORATION</v>
          </cell>
          <cell r="C4549" t="str">
            <v>Jr Naves Ferragista Ltda</v>
          </cell>
          <cell r="D4549" t="str">
            <v>Ferragista Naves</v>
          </cell>
          <cell r="E4549" t="str">
            <v>BR_CNPJ</v>
          </cell>
          <cell r="F4549" t="str">
            <v>25.335.855/0001-02</v>
          </cell>
        </row>
        <row r="4550">
          <cell r="A4550">
            <v>39253</v>
          </cell>
          <cell r="B4550" t="str">
            <v>CORPORATION</v>
          </cell>
          <cell r="C4550" t="str">
            <v>Mg Parafusos Industria E Comercio S/A</v>
          </cell>
          <cell r="D4550" t="str">
            <v>Mg Parafusos Industria E Comercio S/A</v>
          </cell>
          <cell r="E4550" t="str">
            <v>BR_CNPJ</v>
          </cell>
          <cell r="F4550" t="str">
            <v>18.535.773/0001-38</v>
          </cell>
        </row>
        <row r="4551">
          <cell r="A4551">
            <v>39255</v>
          </cell>
          <cell r="B4551" t="str">
            <v>CORPORATION</v>
          </cell>
          <cell r="C4551" t="str">
            <v>Fcauto Produtos Automotivos, Informatica, Eletronicos E Ferramentas Em Geral Ltda</v>
          </cell>
          <cell r="D4551" t="str">
            <v>Fcauto</v>
          </cell>
          <cell r="E4551" t="str">
            <v>BR_CNPJ</v>
          </cell>
          <cell r="F4551" t="str">
            <v>23.276.251/0001-07</v>
          </cell>
        </row>
        <row r="4552">
          <cell r="A4552">
            <v>39262</v>
          </cell>
          <cell r="B4552" t="str">
            <v>CORPORATION</v>
          </cell>
          <cell r="C4552" t="str">
            <v>Irma Bonetti Hadlich 35228040900</v>
          </cell>
          <cell r="D4552" t="str">
            <v>Htech 12</v>
          </cell>
          <cell r="E4552" t="str">
            <v>BR_CNPJ</v>
          </cell>
          <cell r="F4552" t="str">
            <v>42.017.131/0001-21</v>
          </cell>
          <cell r="G4552" t="str">
            <v>HTECH</v>
          </cell>
        </row>
        <row r="4553">
          <cell r="A4553">
            <v>39263</v>
          </cell>
          <cell r="B4553" t="str">
            <v>CORPORATION</v>
          </cell>
          <cell r="C4553" t="str">
            <v>Lucas Mariano Neto</v>
          </cell>
          <cell r="D4553" t="str">
            <v>Casa Do Corta Pau Tecnologia</v>
          </cell>
          <cell r="E4553" t="str">
            <v>BR_CNPJ</v>
          </cell>
          <cell r="F4553" t="str">
            <v>10.235.548/0001-74</v>
          </cell>
        </row>
        <row r="4554">
          <cell r="A4554">
            <v>39268</v>
          </cell>
          <cell r="B4554" t="str">
            <v>CORPORATION</v>
          </cell>
          <cell r="C4554" t="str">
            <v>Walcfer Distribuidora De Parafusos E Ferramentas Ltda</v>
          </cell>
          <cell r="D4554" t="str">
            <v>Walcfer</v>
          </cell>
          <cell r="E4554" t="str">
            <v>BR_CNPJ</v>
          </cell>
          <cell r="F4554" t="str">
            <v>66.134.016/0001-03</v>
          </cell>
        </row>
        <row r="4555">
          <cell r="A4555">
            <v>39269</v>
          </cell>
          <cell r="B4555" t="str">
            <v>CORPORATION</v>
          </cell>
          <cell r="C4555" t="str">
            <v>Oliveira Santos Ferragens E Ferramentas Ltda</v>
          </cell>
          <cell r="D4555" t="str">
            <v>Oliveira Santos Ferragens E Ferramentas Ltda</v>
          </cell>
          <cell r="E4555" t="str">
            <v>BR_CNPJ</v>
          </cell>
          <cell r="F4555" t="str">
            <v>53.857.973/0001-08</v>
          </cell>
          <cell r="G4555" t="str">
            <v>MI FERRAGENS</v>
          </cell>
        </row>
        <row r="4556">
          <cell r="A4556">
            <v>39271</v>
          </cell>
          <cell r="B4556" t="str">
            <v>CORPORATION</v>
          </cell>
          <cell r="C4556" t="str">
            <v>Lumafix Parafusos E Ferramentas Ltda</v>
          </cell>
          <cell r="D4556" t="str">
            <v>Lumafix</v>
          </cell>
          <cell r="E4556" t="str">
            <v>BR_CNPJ</v>
          </cell>
          <cell r="F4556" t="str">
            <v>05.765.445/0001-86</v>
          </cell>
        </row>
        <row r="4557">
          <cell r="A4557">
            <v>39274</v>
          </cell>
          <cell r="B4557" t="str">
            <v>CORPORATION</v>
          </cell>
          <cell r="C4557" t="str">
            <v>Comercial De Metais Usados Goias - Eireli</v>
          </cell>
          <cell r="D4557" t="str">
            <v>Ferro E Aco Goias</v>
          </cell>
          <cell r="E4557" t="str">
            <v>BR_CNPJ</v>
          </cell>
          <cell r="F4557" t="str">
            <v>37.048.386/0001-11</v>
          </cell>
        </row>
        <row r="4558">
          <cell r="A4558">
            <v>39280</v>
          </cell>
          <cell r="B4558" t="str">
            <v>CORPORATION</v>
          </cell>
          <cell r="C4558" t="str">
            <v>T H Naves Ferragista Eireli</v>
          </cell>
          <cell r="D4558" t="str">
            <v>Ferragista Naves</v>
          </cell>
          <cell r="E4558" t="str">
            <v>BR_CNPJ</v>
          </cell>
          <cell r="F4558" t="str">
            <v>19.353.933/0001-90</v>
          </cell>
          <cell r="G4558" t="str">
            <v>FERRAGISTA NAVES</v>
          </cell>
        </row>
        <row r="4559">
          <cell r="A4559">
            <v>39283</v>
          </cell>
          <cell r="B4559" t="str">
            <v>CORPORATION</v>
          </cell>
          <cell r="C4559" t="str">
            <v>Thaynara Rosa Dos Santos Evangelista 028097001-33</v>
          </cell>
          <cell r="D4559" t="str">
            <v>Ferragista Goias</v>
          </cell>
          <cell r="E4559" t="str">
            <v>BR_CNPJ</v>
          </cell>
          <cell r="F4559" t="str">
            <v>17.333.712/0001-25</v>
          </cell>
        </row>
        <row r="4560">
          <cell r="A4560">
            <v>39286</v>
          </cell>
          <cell r="B4560" t="str">
            <v>CORPORATION</v>
          </cell>
          <cell r="C4560" t="str">
            <v>H. M De Morais Materiais Para Construcao Ltda</v>
          </cell>
          <cell r="D4560" t="str">
            <v>Comercial Nossa Sra Aparecida Materiais P/ Construcao</v>
          </cell>
          <cell r="E4560" t="str">
            <v>BR_CNPJ</v>
          </cell>
          <cell r="F4560" t="str">
            <v>14.914.025/0001-05</v>
          </cell>
        </row>
        <row r="4561">
          <cell r="A4561">
            <v>39287</v>
          </cell>
          <cell r="B4561" t="str">
            <v>CORPORATION</v>
          </cell>
          <cell r="C4561" t="str">
            <v>Tecnosl Comercio E Locacao Ltda</v>
          </cell>
          <cell r="D4561" t="str">
            <v>Profer (Tecno Pro)</v>
          </cell>
          <cell r="E4561" t="str">
            <v>BR_CNPJ</v>
          </cell>
          <cell r="F4561" t="str">
            <v>43.208.135/0001-50</v>
          </cell>
          <cell r="G4561" t="str">
            <v>TECNO PRO</v>
          </cell>
        </row>
        <row r="4562">
          <cell r="A4562">
            <v>39289</v>
          </cell>
          <cell r="B4562" t="str">
            <v>CORPORATION</v>
          </cell>
          <cell r="C4562" t="str">
            <v>Zona Sul Comercio De Bombas E Motores Ltda</v>
          </cell>
          <cell r="D4562" t="str">
            <v>Zona Sul Comercio De Bombas E Motores</v>
          </cell>
          <cell r="E4562" t="str">
            <v>BR_CNPJ</v>
          </cell>
          <cell r="F4562" t="str">
            <v>58.500.752/0001-00</v>
          </cell>
        </row>
        <row r="4563">
          <cell r="A4563">
            <v>39291</v>
          </cell>
          <cell r="B4563" t="str">
            <v>CORPORATION</v>
          </cell>
          <cell r="C4563" t="str">
            <v>Mendonca E Oliveira Ltda</v>
          </cell>
          <cell r="D4563" t="str">
            <v>Casa Paraiba</v>
          </cell>
          <cell r="E4563" t="str">
            <v>BR_CNPJ</v>
          </cell>
          <cell r="F4563" t="str">
            <v>22.895.064/0001-30</v>
          </cell>
        </row>
        <row r="4564">
          <cell r="A4564">
            <v>39292</v>
          </cell>
          <cell r="B4564" t="str">
            <v>CORPORATION</v>
          </cell>
          <cell r="C4564" t="str">
            <v>Torkair Ferramentas Ltda</v>
          </cell>
          <cell r="D4564" t="str">
            <v>Torkair Ferramentas</v>
          </cell>
          <cell r="E4564" t="str">
            <v>BR_CNPJ</v>
          </cell>
          <cell r="F4564" t="str">
            <v>43.363.699/0001-67</v>
          </cell>
        </row>
        <row r="4565">
          <cell r="A4565">
            <v>39294</v>
          </cell>
          <cell r="B4565" t="str">
            <v>CORPORATION</v>
          </cell>
          <cell r="C4565" t="str">
            <v>Mjs Comercio E Assistencia Tecnica Ltda</v>
          </cell>
          <cell r="D4565" t="str">
            <v>Mjs Comercio E Assistencia Tecnica</v>
          </cell>
          <cell r="E4565" t="str">
            <v>BR_CNPJ</v>
          </cell>
          <cell r="F4565" t="str">
            <v>04.463.130/0001-11</v>
          </cell>
        </row>
        <row r="4566">
          <cell r="A4566">
            <v>39297</v>
          </cell>
          <cell r="B4566" t="str">
            <v>CORPORATION</v>
          </cell>
          <cell r="C4566" t="str">
            <v>Soparafuso Comercio De Material Industrial Ltda</v>
          </cell>
          <cell r="D4566" t="str">
            <v>Atacadao Industrial</v>
          </cell>
          <cell r="E4566" t="str">
            <v>BR_CNPJ</v>
          </cell>
          <cell r="F4566" t="str">
            <v>02.374.596/0001-15</v>
          </cell>
        </row>
        <row r="4567">
          <cell r="A4567">
            <v>39307</v>
          </cell>
          <cell r="B4567" t="str">
            <v>CORPORATION</v>
          </cell>
          <cell r="C4567" t="str">
            <v>Edfrio Comercio E Locacao Ltda</v>
          </cell>
          <cell r="D4567" t="str">
            <v>Edfrio</v>
          </cell>
          <cell r="E4567" t="str">
            <v>BR_CNPJ</v>
          </cell>
          <cell r="F4567" t="str">
            <v>20.461.854/0001-82</v>
          </cell>
        </row>
        <row r="4568">
          <cell r="A4568">
            <v>39308</v>
          </cell>
          <cell r="B4568" t="str">
            <v>CORPORATION</v>
          </cell>
          <cell r="C4568" t="str">
            <v>V. N. Sabino</v>
          </cell>
          <cell r="D4568" t="str">
            <v>Casa Das Rocadeiras</v>
          </cell>
          <cell r="E4568" t="str">
            <v>BR_CNPJ</v>
          </cell>
          <cell r="F4568" t="str">
            <v>25.134.140/0001-83</v>
          </cell>
        </row>
        <row r="4569">
          <cell r="A4569">
            <v>39313</v>
          </cell>
          <cell r="B4569" t="str">
            <v>CORPORATION</v>
          </cell>
          <cell r="C4569" t="str">
            <v>A C Ferro E Cia Ltda</v>
          </cell>
          <cell r="D4569" t="str">
            <v>A C Ferro</v>
          </cell>
          <cell r="E4569" t="str">
            <v>BR_CNPJ</v>
          </cell>
          <cell r="F4569" t="str">
            <v>30.481.143/0001-23</v>
          </cell>
        </row>
        <row r="4570">
          <cell r="A4570">
            <v>39319</v>
          </cell>
          <cell r="B4570" t="str">
            <v>CORPORATION</v>
          </cell>
          <cell r="C4570" t="str">
            <v>Uno Comercio De Materiais De Construcao Ltda</v>
          </cell>
          <cell r="D4570" t="str">
            <v>Uno Comercio</v>
          </cell>
          <cell r="E4570" t="str">
            <v>BR_CNPJ</v>
          </cell>
          <cell r="F4570" t="str">
            <v>74.220.112/0003-56</v>
          </cell>
          <cell r="G4570" t="str">
            <v>UNO COMÉRCIO</v>
          </cell>
        </row>
        <row r="4571">
          <cell r="A4571">
            <v>39323</v>
          </cell>
          <cell r="B4571" t="str">
            <v>CORPORATION</v>
          </cell>
          <cell r="C4571" t="str">
            <v>Arcos Industria E Comercio De Metais Ltda</v>
          </cell>
          <cell r="D4571" t="str">
            <v>Incometal</v>
          </cell>
          <cell r="E4571" t="str">
            <v>BR_CNPJ</v>
          </cell>
          <cell r="F4571" t="str">
            <v>16.801.080/0001-14</v>
          </cell>
          <cell r="G4571" t="str">
            <v>INCOMETAL</v>
          </cell>
        </row>
        <row r="4572">
          <cell r="A4572">
            <v>39326</v>
          </cell>
          <cell r="B4572" t="str">
            <v>CORPORATION</v>
          </cell>
          <cell r="C4572" t="str">
            <v>Incometal Industria E Comercio De Metais Ltda</v>
          </cell>
          <cell r="D4572" t="str">
            <v>Incometal</v>
          </cell>
          <cell r="E4572" t="str">
            <v>BR_CNPJ</v>
          </cell>
          <cell r="F4572" t="str">
            <v>01.741.602/0001-62</v>
          </cell>
          <cell r="G4572" t="str">
            <v>INCOMETAL</v>
          </cell>
        </row>
        <row r="4573">
          <cell r="A4573">
            <v>39330</v>
          </cell>
          <cell r="B4573" t="str">
            <v>CORPORATION</v>
          </cell>
          <cell r="C4573" t="str">
            <v>A M De Souza Gomes Comercio De Ferramentas Ltda</v>
          </cell>
          <cell r="D4573" t="str">
            <v>A M De Souza Gomes Comercio De Ferramentas Ltda</v>
          </cell>
          <cell r="E4573" t="str">
            <v>BR_CNPJ</v>
          </cell>
          <cell r="F4573" t="str">
            <v>03.182.704/0001-10</v>
          </cell>
        </row>
        <row r="4574">
          <cell r="A4574">
            <v>39332</v>
          </cell>
          <cell r="B4574" t="str">
            <v>CORPORATION</v>
          </cell>
          <cell r="C4574" t="str">
            <v>Cofepar - Cornelio Ferragens E Parafusos Ltda</v>
          </cell>
          <cell r="D4574" t="str">
            <v>Cofepar Ferragens E Parafusos</v>
          </cell>
          <cell r="E4574" t="str">
            <v>BR_CNPJ</v>
          </cell>
          <cell r="F4574" t="str">
            <v>06.205.337/0001-11</v>
          </cell>
          <cell r="G4574" t="str">
            <v>COFEPAR</v>
          </cell>
        </row>
        <row r="4575">
          <cell r="A4575">
            <v>39338</v>
          </cell>
          <cell r="B4575" t="str">
            <v>CORPORATION</v>
          </cell>
          <cell r="C4575" t="str">
            <v>Nichetti &amp; Nichetti Ferragens E Equipamentos Ltda</v>
          </cell>
          <cell r="D4575" t="str">
            <v>Nichetti &amp; Nichetti Ferragens E Equipamentos Ltda</v>
          </cell>
          <cell r="E4575" t="str">
            <v>BR_CNPJ</v>
          </cell>
          <cell r="F4575" t="str">
            <v>27.619.297/0001-24</v>
          </cell>
        </row>
        <row r="4576">
          <cell r="A4576">
            <v>39340</v>
          </cell>
          <cell r="B4576" t="str">
            <v>CORPORATION</v>
          </cell>
          <cell r="C4576" t="str">
            <v>Antonia Licia De Souza</v>
          </cell>
          <cell r="D4576" t="str">
            <v>Shopping Dos Parafusos</v>
          </cell>
          <cell r="E4576" t="str">
            <v>BR_CNPJ</v>
          </cell>
          <cell r="F4576" t="str">
            <v>17.960.530/0001-84</v>
          </cell>
        </row>
        <row r="4577">
          <cell r="A4577">
            <v>39342</v>
          </cell>
          <cell r="B4577" t="str">
            <v>CORPORATION</v>
          </cell>
          <cell r="C4577" t="str">
            <v>D &amp; R Tintas Automotivas Ltda</v>
          </cell>
          <cell r="D4577" t="str">
            <v>Drosda Tintas E Complementos</v>
          </cell>
          <cell r="E4577" t="str">
            <v>BR_CNPJ</v>
          </cell>
          <cell r="F4577" t="str">
            <v>08.330.220/0001-95</v>
          </cell>
        </row>
        <row r="4578">
          <cell r="A4578">
            <v>39349</v>
          </cell>
          <cell r="B4578" t="str">
            <v>CORPORATION</v>
          </cell>
          <cell r="C4578" t="str">
            <v>Francisco Lima Farias 00280679327</v>
          </cell>
          <cell r="D4578" t="str">
            <v>Casa Do Ferro</v>
          </cell>
          <cell r="E4578" t="str">
            <v>BR_CNPJ</v>
          </cell>
          <cell r="F4578" t="str">
            <v>31.026.167/0001-55</v>
          </cell>
        </row>
        <row r="4579">
          <cell r="A4579">
            <v>39352</v>
          </cell>
          <cell r="B4579" t="str">
            <v>CORPORATION</v>
          </cell>
          <cell r="C4579" t="str">
            <v>Cooperativa Dos Plantadores De Cana Do Estado Sao Paulo</v>
          </cell>
          <cell r="D4579" t="str">
            <v>Coplacana (Iracemapolis)</v>
          </cell>
          <cell r="E4579" t="str">
            <v>BR_CNPJ</v>
          </cell>
          <cell r="F4579" t="str">
            <v>54.366.547/0013-78</v>
          </cell>
          <cell r="G4579" t="str">
            <v>COPLACANA</v>
          </cell>
        </row>
        <row r="4580">
          <cell r="A4580">
            <v>39354</v>
          </cell>
          <cell r="B4580" t="str">
            <v>CORPORATION</v>
          </cell>
          <cell r="C4580" t="str">
            <v>Ferragista Monforty Ltda</v>
          </cell>
          <cell r="D4580" t="str">
            <v>Ferragista Monforty</v>
          </cell>
          <cell r="E4580" t="str">
            <v>BR_CNPJ</v>
          </cell>
          <cell r="F4580" t="str">
            <v>37.279.689/0001-45</v>
          </cell>
        </row>
        <row r="4581">
          <cell r="A4581">
            <v>39355</v>
          </cell>
          <cell r="B4581" t="str">
            <v>CORPORATION</v>
          </cell>
          <cell r="C4581" t="str">
            <v>Caetano De Tatui Materiais Para Construcao Ltda</v>
          </cell>
          <cell r="D4581" t="str">
            <v>Caetano Materiais Para Construcao</v>
          </cell>
          <cell r="E4581" t="str">
            <v>BR_CNPJ</v>
          </cell>
          <cell r="F4581" t="str">
            <v>00.173.353/0005-17</v>
          </cell>
          <cell r="G4581" t="str">
            <v>CAETANO</v>
          </cell>
        </row>
        <row r="4582">
          <cell r="A4582">
            <v>39359</v>
          </cell>
          <cell r="B4582" t="str">
            <v>CORPORATION</v>
          </cell>
          <cell r="C4582" t="str">
            <v>Caetano Ferramentas, E.P.I.S., Caca Pesca E Camping Eireli</v>
          </cell>
          <cell r="D4582" t="str">
            <v>Caetano Ferramentas, E.P.I.S., Caca Pesca E Camping Eireli</v>
          </cell>
          <cell r="E4582" t="str">
            <v>BR_CNPJ</v>
          </cell>
          <cell r="F4582" t="str">
            <v>29.741.582/0001-49</v>
          </cell>
          <cell r="G4582" t="str">
            <v>CAETANO</v>
          </cell>
        </row>
        <row r="4583">
          <cell r="A4583">
            <v>39362</v>
          </cell>
          <cell r="B4583" t="str">
            <v>CORPORATION</v>
          </cell>
          <cell r="C4583" t="str">
            <v>Janaine Fernandes Da Silva 02058439139</v>
          </cell>
          <cell r="D4583" t="str">
            <v>Master Eletronics</v>
          </cell>
          <cell r="E4583" t="str">
            <v>BR_CNPJ</v>
          </cell>
          <cell r="F4583" t="str">
            <v>33.634.448/0001-16</v>
          </cell>
        </row>
        <row r="4584">
          <cell r="A4584">
            <v>39367</v>
          </cell>
          <cell r="B4584" t="str">
            <v>CORPORATION</v>
          </cell>
          <cell r="C4584" t="str">
            <v>Francisca Maria Da Conceicao</v>
          </cell>
          <cell r="D4584" t="str">
            <v>Fran Ferramentas</v>
          </cell>
          <cell r="E4584" t="str">
            <v>BR_CNPJ</v>
          </cell>
          <cell r="F4584" t="str">
            <v>31.880.717/0001-07</v>
          </cell>
        </row>
        <row r="4585">
          <cell r="A4585">
            <v>39370</v>
          </cell>
          <cell r="B4585" t="str">
            <v>CORPORATION</v>
          </cell>
          <cell r="C4585" t="str">
            <v>Comercial Tefer Ltda</v>
          </cell>
          <cell r="D4585" t="str">
            <v>Comercial Tefer</v>
          </cell>
          <cell r="E4585" t="str">
            <v>BR_CNPJ</v>
          </cell>
          <cell r="F4585" t="str">
            <v>02.095.846/0001-88</v>
          </cell>
        </row>
        <row r="4586">
          <cell r="A4586">
            <v>39373</v>
          </cell>
          <cell r="B4586" t="str">
            <v>CORPORATION</v>
          </cell>
          <cell r="C4586" t="str">
            <v>Cesar Augusto Cirino Silva</v>
          </cell>
          <cell r="D4586" t="str">
            <v>Polibras</v>
          </cell>
          <cell r="E4586" t="str">
            <v>BR_CNPJ</v>
          </cell>
          <cell r="F4586" t="str">
            <v>05.074.278/0001-27</v>
          </cell>
        </row>
        <row r="4587">
          <cell r="A4587">
            <v>39378</v>
          </cell>
          <cell r="B4587" t="str">
            <v>CORPORATION</v>
          </cell>
          <cell r="C4587" t="str">
            <v>Ferragista Center Ltda</v>
          </cell>
          <cell r="D4587" t="str">
            <v>Ferragista Center</v>
          </cell>
          <cell r="E4587" t="str">
            <v>BR_CNPJ</v>
          </cell>
          <cell r="F4587" t="str">
            <v>33.295.262/0001-80</v>
          </cell>
        </row>
        <row r="4588">
          <cell r="A4588">
            <v>39381</v>
          </cell>
          <cell r="B4588" t="str">
            <v>CORPORATION</v>
          </cell>
          <cell r="C4588" t="str">
            <v>Eletrotec Campinas-Comercio De Maquinas E Pecas Ltda</v>
          </cell>
          <cell r="D4588" t="str">
            <v>Eletrotec</v>
          </cell>
          <cell r="E4588" t="str">
            <v>BR_CNPJ</v>
          </cell>
          <cell r="F4588" t="str">
            <v>59.339.846/0001-01</v>
          </cell>
        </row>
        <row r="4589">
          <cell r="A4589">
            <v>39382</v>
          </cell>
          <cell r="B4589" t="str">
            <v>CORPORATION</v>
          </cell>
          <cell r="C4589" t="str">
            <v>Reparus Vendas E Assistencia Tecnica Ltda</v>
          </cell>
          <cell r="D4589" t="str">
            <v>Reparus Vendas E Assistencia Tecnica Ltda</v>
          </cell>
          <cell r="E4589" t="str">
            <v>BR_CNPJ</v>
          </cell>
          <cell r="F4589" t="str">
            <v>49.708.429/0001-27</v>
          </cell>
        </row>
        <row r="4590">
          <cell r="A4590">
            <v>39384</v>
          </cell>
          <cell r="B4590" t="str">
            <v>CORPORATION</v>
          </cell>
          <cell r="C4590" t="str">
            <v>Mauricio Jokin Shimabukuro - Materiais De Construcoes</v>
          </cell>
          <cell r="D4590" t="str">
            <v>Facom Comercio</v>
          </cell>
          <cell r="E4590" t="str">
            <v>BR_CNPJ</v>
          </cell>
          <cell r="F4590" t="str">
            <v>15.712.464/0001-06</v>
          </cell>
          <cell r="G4590" t="str">
            <v>FACOM COMERCIO</v>
          </cell>
        </row>
        <row r="4591">
          <cell r="A4591">
            <v>39387</v>
          </cell>
          <cell r="B4591" t="str">
            <v>CORPORATION</v>
          </cell>
          <cell r="C4591" t="str">
            <v>Criativa Comercio E Representacoes Ltda</v>
          </cell>
          <cell r="D4591" t="str">
            <v>Ferragista Criativa</v>
          </cell>
          <cell r="E4591" t="str">
            <v>BR_CNPJ</v>
          </cell>
          <cell r="F4591" t="str">
            <v>39.375.570/0001-00</v>
          </cell>
        </row>
        <row r="4592">
          <cell r="A4592">
            <v>39389</v>
          </cell>
          <cell r="B4592" t="str">
            <v>CORPORATION</v>
          </cell>
          <cell r="C4592" t="str">
            <v>Exito Ferragens Ltda</v>
          </cell>
          <cell r="D4592" t="str">
            <v>Exito Ferragens</v>
          </cell>
          <cell r="E4592" t="str">
            <v>BR_CNPJ</v>
          </cell>
          <cell r="F4592" t="str">
            <v>11.656.771/0001-58</v>
          </cell>
        </row>
        <row r="4593">
          <cell r="A4593">
            <v>39393</v>
          </cell>
          <cell r="B4593" t="str">
            <v>CORPORATION</v>
          </cell>
          <cell r="C4593" t="str">
            <v>Nexfer Maquinas E Ferramentas Ltda</v>
          </cell>
          <cell r="D4593" t="str">
            <v>Nexfer</v>
          </cell>
          <cell r="E4593" t="str">
            <v>BR_CNPJ</v>
          </cell>
          <cell r="F4593" t="str">
            <v>30.834.530/0001-04</v>
          </cell>
        </row>
        <row r="4594">
          <cell r="A4594">
            <v>39394</v>
          </cell>
          <cell r="B4594" t="str">
            <v>CORPORATION</v>
          </cell>
          <cell r="C4594" t="str">
            <v>Jc Erudilho Artefatos De Borracha Ltda</v>
          </cell>
          <cell r="D4594" t="str">
            <v>Jardcap</v>
          </cell>
          <cell r="E4594" t="str">
            <v>BR_CNPJ</v>
          </cell>
          <cell r="F4594" t="str">
            <v>30.558.785/0001-83</v>
          </cell>
        </row>
        <row r="4595">
          <cell r="A4595">
            <v>39396</v>
          </cell>
          <cell r="B4595" t="str">
            <v>CORPORATION</v>
          </cell>
          <cell r="C4595" t="str">
            <v>Mepar Metais Parreira Ltda</v>
          </cell>
          <cell r="D4595" t="str">
            <v>Mepar</v>
          </cell>
          <cell r="E4595" t="str">
            <v>BR_CNPJ</v>
          </cell>
          <cell r="F4595" t="str">
            <v>03.996.396/0001-67</v>
          </cell>
        </row>
        <row r="4596">
          <cell r="A4596">
            <v>39399</v>
          </cell>
          <cell r="B4596" t="str">
            <v>CORPORATION</v>
          </cell>
          <cell r="C4596" t="str">
            <v>Jonatas Medeiros Silva</v>
          </cell>
          <cell r="D4596" t="str">
            <v>Jm Ferramentas Especiais</v>
          </cell>
          <cell r="E4596" t="str">
            <v>BR_CNPJ</v>
          </cell>
          <cell r="F4596" t="str">
            <v>24.757.632/0001-62</v>
          </cell>
        </row>
        <row r="4597">
          <cell r="A4597">
            <v>39403</v>
          </cell>
          <cell r="B4597" t="str">
            <v>CORPORATION</v>
          </cell>
          <cell r="C4597" t="str">
            <v>Harisson Charles Teixeira Santos 00645467138</v>
          </cell>
          <cell r="D4597" t="str">
            <v>Agro Tudo Ferragista</v>
          </cell>
          <cell r="E4597" t="str">
            <v>BR_CNPJ</v>
          </cell>
          <cell r="F4597" t="str">
            <v>39.515.777/0001-24</v>
          </cell>
        </row>
        <row r="4598">
          <cell r="A4598">
            <v>39405</v>
          </cell>
          <cell r="B4598" t="str">
            <v>CORPORATION</v>
          </cell>
          <cell r="C4598" t="str">
            <v>G.P.A Gerenciamento E Projetos Eireli</v>
          </cell>
          <cell r="D4598" t="str">
            <v>G.P.A Gerenciamento E Projetos</v>
          </cell>
          <cell r="E4598" t="str">
            <v>BR_CNPJ</v>
          </cell>
          <cell r="F4598" t="str">
            <v>11.175.931/0001-47</v>
          </cell>
        </row>
        <row r="4599">
          <cell r="A4599">
            <v>39406</v>
          </cell>
          <cell r="B4599" t="str">
            <v>CORPORATION</v>
          </cell>
          <cell r="C4599" t="str">
            <v>F. A. Comercio De Ferragens E Metais Ltda</v>
          </cell>
          <cell r="D4599" t="str">
            <v>Msc Ferramentas E Ferragens</v>
          </cell>
          <cell r="E4599" t="str">
            <v>BR_CNPJ</v>
          </cell>
          <cell r="F4599" t="str">
            <v>45.058.533/0001-62</v>
          </cell>
        </row>
        <row r="4600">
          <cell r="A4600">
            <v>39408</v>
          </cell>
          <cell r="B4600" t="str">
            <v>CORPORATION</v>
          </cell>
          <cell r="C4600" t="str">
            <v>M De Melo Ferragista Eireli</v>
          </cell>
          <cell r="D4600" t="str">
            <v>M De Melo Ferragista</v>
          </cell>
          <cell r="E4600" t="str">
            <v>BR_CNPJ</v>
          </cell>
          <cell r="F4600" t="str">
            <v>19.049.509/0001-57</v>
          </cell>
        </row>
        <row r="4601">
          <cell r="A4601">
            <v>39409</v>
          </cell>
          <cell r="B4601" t="str">
            <v>CORPORATION</v>
          </cell>
          <cell r="C4601" t="str">
            <v>Pemaq Maquinas E Ferramentas Ltda</v>
          </cell>
          <cell r="D4601" t="str">
            <v>Pemaq Maquinas E Ferramentas</v>
          </cell>
          <cell r="E4601" t="str">
            <v>BR_CNPJ</v>
          </cell>
          <cell r="F4601" t="str">
            <v>45.806.937/0001-97</v>
          </cell>
        </row>
        <row r="4602">
          <cell r="A4602">
            <v>39411</v>
          </cell>
          <cell r="B4602" t="str">
            <v>CORPORATION</v>
          </cell>
          <cell r="C4602" t="str">
            <v>Ultracorte Comercio De Ferramentas E Ferragens Ltda</v>
          </cell>
          <cell r="D4602" t="str">
            <v>Ultracorte</v>
          </cell>
          <cell r="E4602" t="str">
            <v>BR_CNPJ</v>
          </cell>
          <cell r="F4602" t="str">
            <v>53.905.378/0001-09</v>
          </cell>
        </row>
        <row r="4603">
          <cell r="A4603">
            <v>39414</v>
          </cell>
          <cell r="B4603" t="str">
            <v>CORPORATION</v>
          </cell>
          <cell r="C4603" t="str">
            <v>Ivana Hartmann Bertoldi</v>
          </cell>
          <cell r="D4603" t="str">
            <v>Cicampo Ivana</v>
          </cell>
          <cell r="E4603" t="str">
            <v>BR_CNPJ</v>
          </cell>
          <cell r="F4603" t="str">
            <v>10.792.559/0002-36</v>
          </cell>
          <cell r="G4603" t="str">
            <v>CICAMPO</v>
          </cell>
        </row>
        <row r="4604">
          <cell r="A4604">
            <v>39419</v>
          </cell>
          <cell r="B4604" t="str">
            <v>CORPORATION</v>
          </cell>
          <cell r="C4604" t="str">
            <v>Guadagnin E Martinez Ltda</v>
          </cell>
          <cell r="D4604" t="str">
            <v>Guada Epi'S</v>
          </cell>
          <cell r="E4604" t="str">
            <v>BR_CNPJ</v>
          </cell>
          <cell r="F4604" t="str">
            <v>30.822.604/0001-84</v>
          </cell>
        </row>
        <row r="4605">
          <cell r="A4605">
            <v>39426</v>
          </cell>
          <cell r="B4605" t="str">
            <v>CORPORATION</v>
          </cell>
          <cell r="C4605" t="str">
            <v>Eletroconstru Ltda</v>
          </cell>
          <cell r="D4605" t="str">
            <v>Eletro Constru</v>
          </cell>
          <cell r="E4605" t="str">
            <v>BR_CNPJ</v>
          </cell>
          <cell r="F4605" t="str">
            <v>33.649.454/0001-47</v>
          </cell>
        </row>
        <row r="4606">
          <cell r="A4606">
            <v>39427</v>
          </cell>
          <cell r="B4606" t="str">
            <v>CORPORATION</v>
          </cell>
          <cell r="C4606" t="str">
            <v>K K Dos Santos Barros</v>
          </cell>
          <cell r="D4606" t="str">
            <v>Comercial Teixeira</v>
          </cell>
          <cell r="E4606" t="str">
            <v>BR_CNPJ</v>
          </cell>
          <cell r="F4606" t="str">
            <v>08.954.351/0001-43</v>
          </cell>
          <cell r="G4606" t="str">
            <v>COMERCIAL TEIXEIRA</v>
          </cell>
        </row>
        <row r="4607">
          <cell r="A4607">
            <v>39430</v>
          </cell>
          <cell r="B4607" t="str">
            <v>CORPORATION</v>
          </cell>
          <cell r="C4607" t="str">
            <v>Plurimaquinas Comercio E Manutencao De Maquinas Ltda</v>
          </cell>
          <cell r="D4607" t="str">
            <v>Plurimaquinas</v>
          </cell>
          <cell r="E4607" t="str">
            <v>BR_CNPJ</v>
          </cell>
          <cell r="F4607" t="str">
            <v>04.564.003/0001-09</v>
          </cell>
        </row>
        <row r="4608">
          <cell r="A4608">
            <v>39435</v>
          </cell>
          <cell r="B4608" t="str">
            <v>CORPORATION</v>
          </cell>
          <cell r="C4608" t="str">
            <v>Camaq Maquinas E Motores Ltda</v>
          </cell>
          <cell r="D4608" t="str">
            <v>Camaq Maquinas E Motores Ltda</v>
          </cell>
          <cell r="E4608" t="str">
            <v>BR_CNPJ</v>
          </cell>
          <cell r="F4608" t="str">
            <v>79.224.994/0001-80</v>
          </cell>
        </row>
        <row r="4609">
          <cell r="A4609">
            <v>39443</v>
          </cell>
          <cell r="B4609" t="str">
            <v>CORPORATION</v>
          </cell>
          <cell r="C4609" t="str">
            <v>So Agricola Pecas E Implementos Eireli</v>
          </cell>
          <cell r="D4609" t="str">
            <v>So Agricola Pecas E Implementos</v>
          </cell>
          <cell r="E4609" t="str">
            <v>BR_CNPJ</v>
          </cell>
          <cell r="F4609" t="str">
            <v>03.932.031/0001-79</v>
          </cell>
        </row>
        <row r="4610">
          <cell r="A4610">
            <v>39445</v>
          </cell>
          <cell r="B4610" t="str">
            <v>CORPORATION</v>
          </cell>
          <cell r="C4610" t="str">
            <v>Agrogeo Metal Forte Industria Comercio Importacao E Exportacao Ltda</v>
          </cell>
          <cell r="D4610" t="str">
            <v>Agrogeo Metalurgica</v>
          </cell>
          <cell r="E4610" t="str">
            <v>BR_CNPJ</v>
          </cell>
          <cell r="F4610" t="str">
            <v>45.683.348/0001-69</v>
          </cell>
        </row>
        <row r="4611">
          <cell r="A4611">
            <v>39449</v>
          </cell>
          <cell r="B4611" t="str">
            <v>CORPORATION</v>
          </cell>
          <cell r="C4611" t="str">
            <v>Laranjeiras Materiais De Solda Eireli</v>
          </cell>
          <cell r="D4611" t="str">
            <v>Campo Limpo Oxigenio</v>
          </cell>
          <cell r="E4611" t="str">
            <v>BR_CNPJ</v>
          </cell>
          <cell r="F4611" t="str">
            <v>03.434.306/0001-44</v>
          </cell>
        </row>
        <row r="4612">
          <cell r="A4612">
            <v>39450</v>
          </cell>
          <cell r="B4612" t="str">
            <v>CORPORATION</v>
          </cell>
          <cell r="C4612" t="str">
            <v>A G Comercio De Ferragens E Ferramentas Ltda</v>
          </cell>
          <cell r="D4612" t="str">
            <v>Cavalcante Oliveira Industrial</v>
          </cell>
          <cell r="E4612" t="str">
            <v>BR_CNPJ</v>
          </cell>
          <cell r="F4612" t="str">
            <v>22.687.384/0001-03</v>
          </cell>
        </row>
        <row r="4613">
          <cell r="A4613">
            <v>39459</v>
          </cell>
          <cell r="B4613" t="str">
            <v>CORPORATION</v>
          </cell>
          <cell r="C4613" t="str">
            <v>A Carvalho Da Silva &amp; Cia Ltda</v>
          </cell>
          <cell r="D4613" t="str">
            <v>4 Irmaos Materiais De Construcao E Ferragens</v>
          </cell>
          <cell r="E4613" t="str">
            <v>BR_CNPJ</v>
          </cell>
          <cell r="F4613" t="str">
            <v>02.867.717/0001-60</v>
          </cell>
        </row>
        <row r="4614">
          <cell r="A4614">
            <v>39461</v>
          </cell>
          <cell r="B4614" t="str">
            <v>CORPORATION</v>
          </cell>
          <cell r="C4614" t="str">
            <v>Ivany Medeiros Gaspar</v>
          </cell>
          <cell r="D4614" t="str">
            <v>E V I Materias De Construcao</v>
          </cell>
          <cell r="E4614" t="str">
            <v>BR_CNPJ</v>
          </cell>
          <cell r="F4614" t="str">
            <v>02.492.731/0001-27</v>
          </cell>
        </row>
        <row r="4615">
          <cell r="A4615">
            <v>39465</v>
          </cell>
          <cell r="B4615" t="str">
            <v>CORPORATION</v>
          </cell>
          <cell r="C4615" t="str">
            <v>Ampla Tools Equipamentos Eireli</v>
          </cell>
          <cell r="D4615" t="str">
            <v>Ferramentas Mep</v>
          </cell>
          <cell r="E4615" t="str">
            <v>BR_CNPJ</v>
          </cell>
          <cell r="F4615" t="str">
            <v>32.293.724/0001-67</v>
          </cell>
          <cell r="G4615" t="str">
            <v>FERRAMENTAS MEP</v>
          </cell>
        </row>
        <row r="4616">
          <cell r="A4616">
            <v>39466</v>
          </cell>
          <cell r="B4616" t="str">
            <v>CORPORATION</v>
          </cell>
          <cell r="C4616" t="str">
            <v>Embalapar Ltda</v>
          </cell>
          <cell r="D4616" t="str">
            <v>Embalapar Ltda</v>
          </cell>
          <cell r="E4616" t="str">
            <v>BR_CNPJ</v>
          </cell>
          <cell r="F4616" t="str">
            <v>48.788.892/0001-63</v>
          </cell>
        </row>
        <row r="4617">
          <cell r="A4617">
            <v>39468</v>
          </cell>
          <cell r="B4617" t="str">
            <v>CORPORATION</v>
          </cell>
          <cell r="C4617" t="str">
            <v>Hpi Comercial Eireli</v>
          </cell>
          <cell r="D4617" t="str">
            <v>Ferramentas Mep</v>
          </cell>
          <cell r="E4617" t="str">
            <v>BR_CNPJ</v>
          </cell>
          <cell r="F4617" t="str">
            <v>24.732.600/0001-02</v>
          </cell>
          <cell r="G4617" t="str">
            <v>FERRAMENTAS MEP</v>
          </cell>
        </row>
        <row r="4618">
          <cell r="A4618">
            <v>39469</v>
          </cell>
          <cell r="B4618" t="str">
            <v>CORPORATION</v>
          </cell>
          <cell r="C4618" t="str">
            <v>53.163.964 Rafael De Paula Matias Moura</v>
          </cell>
          <cell r="D4618" t="str">
            <v>53.163.964 Rafael De Paula Matias Moura</v>
          </cell>
          <cell r="E4618" t="str">
            <v>BR_CNPJ</v>
          </cell>
          <cell r="F4618" t="str">
            <v>53.163.964/0001-17</v>
          </cell>
          <cell r="G4618" t="str">
            <v>GEMAC</v>
          </cell>
        </row>
        <row r="4619">
          <cell r="A4619">
            <v>39470</v>
          </cell>
          <cell r="B4619" t="str">
            <v>CORPORATION</v>
          </cell>
          <cell r="C4619" t="str">
            <v>A Favorita Comercio Ferragista Ltda</v>
          </cell>
          <cell r="D4619" t="str">
            <v>Ferragista A Favorita</v>
          </cell>
          <cell r="E4619" t="str">
            <v>BR_CNPJ</v>
          </cell>
          <cell r="F4619" t="str">
            <v>10.349.639/0001-30</v>
          </cell>
        </row>
        <row r="4620">
          <cell r="A4620">
            <v>39473</v>
          </cell>
          <cell r="B4620" t="str">
            <v>CORPORATION</v>
          </cell>
          <cell r="C4620" t="str">
            <v>R Vieira Rodrigues Ltda</v>
          </cell>
          <cell r="D4620" t="str">
            <v>Casa Do Serralheiro</v>
          </cell>
          <cell r="E4620" t="str">
            <v>BR_CNPJ</v>
          </cell>
          <cell r="F4620" t="str">
            <v>37.590.194/0001-32</v>
          </cell>
        </row>
        <row r="4621">
          <cell r="A4621">
            <v>39479</v>
          </cell>
          <cell r="B4621" t="str">
            <v>CORPORATION</v>
          </cell>
          <cell r="C4621" t="str">
            <v>Farol Ferramentas Eireli</v>
          </cell>
          <cell r="D4621" t="str">
            <v>Farol Ferramentas Eireli</v>
          </cell>
          <cell r="E4621" t="str">
            <v>BR_CNPJ</v>
          </cell>
          <cell r="F4621" t="str">
            <v>17.452.774/0001-56</v>
          </cell>
        </row>
        <row r="4622">
          <cell r="A4622">
            <v>39484</v>
          </cell>
          <cell r="B4622" t="str">
            <v>CORPORATION</v>
          </cell>
          <cell r="C4622" t="str">
            <v>Scr Acessorios Industriais Eireli</v>
          </cell>
          <cell r="D4622" t="str">
            <v>Rocar Comercio, Importacao De Acessorios Industriais</v>
          </cell>
          <cell r="E4622" t="str">
            <v>BR_CNPJ</v>
          </cell>
          <cell r="F4622" t="str">
            <v>10.763.372/0001-23</v>
          </cell>
        </row>
        <row r="4623">
          <cell r="A4623">
            <v>39490</v>
          </cell>
          <cell r="B4623" t="str">
            <v>CORPORATION</v>
          </cell>
          <cell r="C4623" t="str">
            <v>Faria Ferragens E Ferramentas Ltda</v>
          </cell>
          <cell r="D4623" t="str">
            <v>Ferragista Faria</v>
          </cell>
          <cell r="E4623" t="str">
            <v>BR_CNPJ</v>
          </cell>
          <cell r="F4623" t="str">
            <v>37.895.120/0001-04</v>
          </cell>
        </row>
        <row r="4624">
          <cell r="A4624">
            <v>39492</v>
          </cell>
          <cell r="B4624" t="str">
            <v>CORPORATION</v>
          </cell>
          <cell r="C4624" t="str">
            <v>Comercial Eletrica W.F. 02 Ltda</v>
          </cell>
          <cell r="D4624" t="str">
            <v>Comercial Eletrica W.F. 02</v>
          </cell>
          <cell r="E4624" t="str">
            <v>BR_CNPJ</v>
          </cell>
          <cell r="F4624" t="str">
            <v>22.685.643/0001-59</v>
          </cell>
          <cell r="G4624" t="str">
            <v>COMERCIAL ELETRICA W.F.</v>
          </cell>
        </row>
        <row r="4625">
          <cell r="A4625">
            <v>39494</v>
          </cell>
          <cell r="B4625" t="str">
            <v>CORPORATION</v>
          </cell>
          <cell r="C4625" t="str">
            <v>Aruseg Importacao, Exportacao E Comercio De Equipamentos Ltda</v>
          </cell>
          <cell r="D4625" t="str">
            <v>Aruseg Equipamentos</v>
          </cell>
          <cell r="E4625" t="str">
            <v>BR_CNPJ</v>
          </cell>
          <cell r="F4625" t="str">
            <v>11.885.690/0001-20</v>
          </cell>
        </row>
        <row r="4626">
          <cell r="A4626">
            <v>39496</v>
          </cell>
          <cell r="B4626" t="str">
            <v>CORPORATION</v>
          </cell>
          <cell r="C4626" t="str">
            <v>S.K. Uehara Cia Ltda</v>
          </cell>
          <cell r="D4626" t="str">
            <v>Comercio De Ferragens Largo Treze</v>
          </cell>
          <cell r="E4626" t="str">
            <v>BR_CNPJ</v>
          </cell>
          <cell r="F4626" t="str">
            <v>05.075.438/0001-52</v>
          </cell>
        </row>
        <row r="4627">
          <cell r="A4627">
            <v>39498</v>
          </cell>
          <cell r="B4627" t="str">
            <v>CORPORATION</v>
          </cell>
          <cell r="C4627" t="str">
            <v>Irrbra Fabricacao De Equipamentos Agricolas Ltda</v>
          </cell>
          <cell r="D4627" t="str">
            <v>Irrbra</v>
          </cell>
          <cell r="E4627" t="str">
            <v>BR_CNPJ</v>
          </cell>
          <cell r="F4627" t="str">
            <v>29.285.097/0001-08</v>
          </cell>
          <cell r="G4627" t="str">
            <v>AGRONIL</v>
          </cell>
        </row>
        <row r="4628">
          <cell r="A4628">
            <v>39506</v>
          </cell>
          <cell r="B4628" t="str">
            <v>CORPORATION</v>
          </cell>
          <cell r="C4628" t="str">
            <v>E P Comercial De Materiais Eletricos Ltda</v>
          </cell>
          <cell r="D4628" t="str">
            <v>Eletrica Padrao</v>
          </cell>
          <cell r="E4628" t="str">
            <v>BR_CNPJ</v>
          </cell>
          <cell r="F4628" t="str">
            <v>00.499.809/0001-00</v>
          </cell>
        </row>
        <row r="4629">
          <cell r="A4629">
            <v>39519</v>
          </cell>
          <cell r="B4629" t="str">
            <v>CORPORATION</v>
          </cell>
          <cell r="C4629" t="str">
            <v>S. Fix Distribuidora De Ferragens E Ferramentas Ltda</v>
          </cell>
          <cell r="D4629" t="str">
            <v>S. Fix (Superfix)</v>
          </cell>
          <cell r="E4629" t="str">
            <v>BR_CNPJ</v>
          </cell>
          <cell r="F4629" t="str">
            <v>21.402.762/0001-94</v>
          </cell>
        </row>
        <row r="4630">
          <cell r="A4630">
            <v>39522</v>
          </cell>
          <cell r="B4630" t="str">
            <v>CORPORATION</v>
          </cell>
          <cell r="C4630" t="str">
            <v>Cooperativa De Infra Estrutura De Arapoti - Ceral</v>
          </cell>
          <cell r="D4630" t="str">
            <v>Cooperativa De Infra Estrutura De Arapoti</v>
          </cell>
          <cell r="E4630" t="str">
            <v>BR_CNPJ</v>
          </cell>
          <cell r="F4630" t="str">
            <v>78.322.229/0001-30</v>
          </cell>
        </row>
        <row r="4631">
          <cell r="A4631">
            <v>39527</v>
          </cell>
          <cell r="B4631" t="str">
            <v>CORPORATION</v>
          </cell>
          <cell r="C4631" t="str">
            <v>Jaime Jair Ivanowski</v>
          </cell>
          <cell r="D4631" t="str">
            <v>Ivanowski Motoserras</v>
          </cell>
          <cell r="E4631" t="str">
            <v>BR_CNPJ</v>
          </cell>
          <cell r="F4631" t="str">
            <v>05.433.722/0001-53</v>
          </cell>
        </row>
        <row r="4632">
          <cell r="A4632">
            <v>39536</v>
          </cell>
          <cell r="B4632" t="str">
            <v>CORPORATION</v>
          </cell>
          <cell r="C4632" t="str">
            <v>Mamute Distribuidora E Importadora Ltda</v>
          </cell>
          <cell r="D4632" t="str">
            <v>Mamute Parafusos E Ferragens</v>
          </cell>
          <cell r="E4632" t="str">
            <v>BR_CNPJ</v>
          </cell>
          <cell r="F4632" t="str">
            <v>44.662.890/0001-72</v>
          </cell>
        </row>
        <row r="4633">
          <cell r="A4633">
            <v>39547</v>
          </cell>
          <cell r="B4633" t="str">
            <v>CORPORATION</v>
          </cell>
          <cell r="C4633" t="str">
            <v>Bignotto Ferramentas Ltda</v>
          </cell>
          <cell r="D4633" t="str">
            <v>Bignotto Ferramentas Ltda</v>
          </cell>
          <cell r="E4633" t="str">
            <v>BR_CNPJ</v>
          </cell>
          <cell r="F4633" t="str">
            <v>05.095.185/0002-60</v>
          </cell>
          <cell r="G4633" t="str">
            <v>BIGNOTTO FERRAMENTAS</v>
          </cell>
        </row>
        <row r="4634">
          <cell r="A4634">
            <v>39550</v>
          </cell>
          <cell r="B4634" t="str">
            <v>CORPORATION</v>
          </cell>
          <cell r="C4634" t="str">
            <v>Ferro &amp; Aco Comercial De Ferragens 130df Eireli</v>
          </cell>
          <cell r="D4634" t="str">
            <v>Ferro &amp; Aco Comercial De Ferragens 130df Eireli</v>
          </cell>
          <cell r="E4634" t="str">
            <v>BR_CNPJ</v>
          </cell>
          <cell r="F4634" t="str">
            <v>25.401.185/0001-77</v>
          </cell>
        </row>
        <row r="4635">
          <cell r="A4635">
            <v>39554</v>
          </cell>
          <cell r="B4635" t="str">
            <v>CORPORATION</v>
          </cell>
          <cell r="C4635" t="str">
            <v>Camfer Serralheria E Estruturas Metalicas Ltda</v>
          </cell>
          <cell r="D4635" t="str">
            <v>Camfer Serralheria</v>
          </cell>
          <cell r="E4635" t="str">
            <v>BR_CNPJ</v>
          </cell>
          <cell r="F4635" t="str">
            <v>02.822.240/0001-05</v>
          </cell>
        </row>
        <row r="4636">
          <cell r="A4636">
            <v>39559</v>
          </cell>
          <cell r="B4636" t="str">
            <v>CORPORATION</v>
          </cell>
          <cell r="C4636" t="str">
            <v>Comercio De Ferragens Ana Zoraide E Caroline Ltda</v>
          </cell>
          <cell r="D4636" t="str">
            <v>Ferragista Alianca</v>
          </cell>
          <cell r="E4636" t="str">
            <v>BR_CNPJ</v>
          </cell>
          <cell r="F4636" t="str">
            <v>02.954.080/0001-40</v>
          </cell>
        </row>
        <row r="4637">
          <cell r="A4637">
            <v>39561</v>
          </cell>
          <cell r="B4637" t="str">
            <v>CORPORATION</v>
          </cell>
          <cell r="C4637" t="str">
            <v>Zap Ferramentas Ltda</v>
          </cell>
          <cell r="D4637" t="str">
            <v>Zap Ferramentas</v>
          </cell>
          <cell r="E4637" t="str">
            <v>BR_CNPJ</v>
          </cell>
          <cell r="F4637" t="str">
            <v>39.582.837/0001-21</v>
          </cell>
        </row>
        <row r="4638">
          <cell r="A4638">
            <v>39562</v>
          </cell>
          <cell r="B4638" t="str">
            <v>CORPORATION</v>
          </cell>
          <cell r="C4638" t="str">
            <v>Rodrigues E Ribeiro Comercial E Ferragista Ltda - Me</v>
          </cell>
          <cell r="D4638" t="str">
            <v>Ferragista V5</v>
          </cell>
          <cell r="E4638" t="str">
            <v>BR_CNPJ</v>
          </cell>
          <cell r="F4638" t="str">
            <v>23.028.712/0001-14</v>
          </cell>
        </row>
        <row r="4639">
          <cell r="A4639">
            <v>39563</v>
          </cell>
          <cell r="B4639" t="str">
            <v>CORPORATION</v>
          </cell>
          <cell r="C4639" t="str">
            <v>Maquipel-Comercio De Maquinas E Pecas Ltda</v>
          </cell>
          <cell r="D4639" t="str">
            <v>Maquipel</v>
          </cell>
          <cell r="E4639" t="str">
            <v>BR_CNPJ</v>
          </cell>
          <cell r="F4639" t="str">
            <v>02.106.579/0006-01</v>
          </cell>
          <cell r="G4639" t="str">
            <v>MAQUIPEL</v>
          </cell>
        </row>
        <row r="4640">
          <cell r="A4640">
            <v>39572</v>
          </cell>
          <cell r="B4640" t="str">
            <v>CORPORATION</v>
          </cell>
          <cell r="C4640" t="str">
            <v>Wr Assistencia Tecnica E Preventiva Ltda</v>
          </cell>
          <cell r="D4640" t="str">
            <v>Prosetec Assistencia</v>
          </cell>
          <cell r="E4640" t="str">
            <v>BR_CNPJ</v>
          </cell>
          <cell r="F4640" t="str">
            <v>03.994.748/0001-45</v>
          </cell>
        </row>
        <row r="4641">
          <cell r="A4641">
            <v>39575</v>
          </cell>
          <cell r="B4641" t="str">
            <v>CORPORATION</v>
          </cell>
          <cell r="C4641" t="str">
            <v>Conceito Ferragista Ltda</v>
          </cell>
          <cell r="D4641" t="str">
            <v>Ferragista Cardoso</v>
          </cell>
          <cell r="E4641" t="str">
            <v>BR_CNPJ</v>
          </cell>
          <cell r="F4641" t="str">
            <v>07.049.870/0001-02</v>
          </cell>
          <cell r="G4641" t="str">
            <v>ORAVES FERRAGISTA</v>
          </cell>
        </row>
        <row r="4642">
          <cell r="A4642">
            <v>39579</v>
          </cell>
          <cell r="B4642" t="str">
            <v>CORPORATION</v>
          </cell>
          <cell r="C4642" t="str">
            <v>Comercial Aquarius Ltda</v>
          </cell>
          <cell r="D4642" t="str">
            <v>Comercial Aquarius</v>
          </cell>
          <cell r="E4642" t="str">
            <v>BR_CNPJ</v>
          </cell>
          <cell r="F4642" t="str">
            <v>00.967.356/0001-07</v>
          </cell>
        </row>
        <row r="4643">
          <cell r="A4643">
            <v>39584</v>
          </cell>
          <cell r="B4643" t="str">
            <v>CORPORATION</v>
          </cell>
          <cell r="C4643" t="str">
            <v>Mundial Vargas Material Eletrico Sul Capixaba Eireli</v>
          </cell>
          <cell r="D4643" t="str">
            <v>Mundial Vargas</v>
          </cell>
          <cell r="E4643" t="str">
            <v>BR_CNPJ</v>
          </cell>
          <cell r="F4643" t="str">
            <v>11.910.511/0001-67</v>
          </cell>
        </row>
        <row r="4644">
          <cell r="A4644">
            <v>39585</v>
          </cell>
          <cell r="B4644" t="str">
            <v>CORPORATION</v>
          </cell>
          <cell r="C4644" t="str">
            <v>Comercial Eletrica Wf 06 Ltda</v>
          </cell>
          <cell r="D4644" t="str">
            <v>Comercial Eletrica Wf 06 Ltda</v>
          </cell>
          <cell r="E4644" t="str">
            <v>BR_CNPJ</v>
          </cell>
          <cell r="F4644" t="str">
            <v>50.722.556/0001-60</v>
          </cell>
          <cell r="G4644" t="str">
            <v>COMERCIAL ELETRICA W.F.</v>
          </cell>
        </row>
        <row r="4645">
          <cell r="A4645">
            <v>39592</v>
          </cell>
          <cell r="B4645" t="str">
            <v>CORPORATION</v>
          </cell>
          <cell r="C4645" t="str">
            <v>Laysa Cancado Silva Terra Ltda</v>
          </cell>
          <cell r="D4645" t="str">
            <v>Ferragens D Abadia</v>
          </cell>
          <cell r="E4645" t="str">
            <v>BR_CNPJ</v>
          </cell>
          <cell r="F4645" t="str">
            <v>44.672.894/0001-31</v>
          </cell>
        </row>
        <row r="4646">
          <cell r="A4646">
            <v>39597</v>
          </cell>
          <cell r="B4646" t="str">
            <v>CORPORATION</v>
          </cell>
          <cell r="C4646" t="str">
            <v>Malut - Comercio De Ferragens E Autopecas Ltda</v>
          </cell>
          <cell r="D4646" t="str">
            <v>Malut - Comercio De Ferragens E Autopecas</v>
          </cell>
          <cell r="E4646" t="str">
            <v>BR_CNPJ</v>
          </cell>
          <cell r="F4646" t="str">
            <v>42.548.121/0001-12</v>
          </cell>
        </row>
        <row r="4647">
          <cell r="A4647">
            <v>39599</v>
          </cell>
          <cell r="B4647" t="str">
            <v>CORPORATION</v>
          </cell>
          <cell r="C4647" t="str">
            <v>Nordom Soldas - Comercio E Locacao Ltda</v>
          </cell>
          <cell r="D4647" t="str">
            <v>Nordom Soldas - Comercio E Locacao Ltda</v>
          </cell>
          <cell r="E4647" t="str">
            <v>BR_CNPJ</v>
          </cell>
          <cell r="F4647" t="str">
            <v>16.947.321/0001-38</v>
          </cell>
        </row>
        <row r="4648">
          <cell r="A4648">
            <v>39604</v>
          </cell>
          <cell r="B4648" t="str">
            <v>CORPORATION</v>
          </cell>
          <cell r="C4648" t="str">
            <v>Safra Agricola E Pecuaria Eireli</v>
          </cell>
          <cell r="D4648" t="str">
            <v>Safra Home Center</v>
          </cell>
          <cell r="E4648" t="str">
            <v>BR_CNPJ</v>
          </cell>
          <cell r="F4648" t="str">
            <v>06.315.490/0001-00</v>
          </cell>
        </row>
        <row r="4649">
          <cell r="A4649">
            <v>39608</v>
          </cell>
          <cell r="B4649" t="str">
            <v>CORPORATION</v>
          </cell>
          <cell r="C4649" t="str">
            <v>Maria De Fatima Dos Santos Abreu 03871646695</v>
          </cell>
          <cell r="D4649" t="str">
            <v>Shopping Da Beleza Brasil</v>
          </cell>
          <cell r="E4649" t="str">
            <v>BR_CNPJ</v>
          </cell>
          <cell r="F4649" t="str">
            <v>33.839.888/0001-00</v>
          </cell>
        </row>
        <row r="4650">
          <cell r="A4650">
            <v>39617</v>
          </cell>
          <cell r="B4650" t="str">
            <v>CORPORATION</v>
          </cell>
          <cell r="C4650" t="str">
            <v>Ciria Maria Da Conceicao Melo 26491982149</v>
          </cell>
          <cell r="D4650" t="str">
            <v>Ferragista Alianca Parafusos</v>
          </cell>
          <cell r="E4650" t="str">
            <v>BR_CNPJ</v>
          </cell>
          <cell r="F4650" t="str">
            <v>33.606.431/0001-55</v>
          </cell>
          <cell r="G4650" t="str">
            <v>ALIANÇA PARAFUSOS</v>
          </cell>
        </row>
        <row r="4651">
          <cell r="A4651">
            <v>39620</v>
          </cell>
          <cell r="B4651" t="str">
            <v>CORPORATION</v>
          </cell>
          <cell r="C4651" t="str">
            <v>Reunidas Material De Construcao Eireli</v>
          </cell>
          <cell r="D4651" t="str">
            <v>Reunidas Material De Construcao</v>
          </cell>
          <cell r="E4651" t="str">
            <v>BR_CNPJ</v>
          </cell>
          <cell r="F4651" t="str">
            <v>09.534.458/0001-03</v>
          </cell>
        </row>
        <row r="4652">
          <cell r="A4652">
            <v>39622</v>
          </cell>
          <cell r="B4652" t="str">
            <v>CORPORATION</v>
          </cell>
          <cell r="C4652" t="str">
            <v>Kalil Representacoes E Comercio Ltda</v>
          </cell>
          <cell r="D4652" t="str">
            <v>Kalil Representacoes</v>
          </cell>
          <cell r="E4652" t="str">
            <v>BR_CNPJ</v>
          </cell>
          <cell r="F4652" t="str">
            <v>09.600.633/0001-05</v>
          </cell>
        </row>
        <row r="4653">
          <cell r="A4653">
            <v>39634</v>
          </cell>
          <cell r="B4653" t="str">
            <v>CORPORATION</v>
          </cell>
          <cell r="C4653" t="str">
            <v>Gimawa Comercial Ltda</v>
          </cell>
          <cell r="D4653" t="str">
            <v>Gimawa Comercial Ltda</v>
          </cell>
          <cell r="E4653" t="str">
            <v>BR_CNPJ</v>
          </cell>
          <cell r="F4653" t="str">
            <v>56.840.051/0001-86</v>
          </cell>
        </row>
        <row r="4654">
          <cell r="A4654">
            <v>39637</v>
          </cell>
          <cell r="B4654" t="str">
            <v>CORPORATION</v>
          </cell>
          <cell r="C4654" t="str">
            <v>Infinity Tecnologia Em Corte E Solda Eireli</v>
          </cell>
          <cell r="D4654" t="str">
            <v>Infinity - Tecnologia</v>
          </cell>
          <cell r="E4654" t="str">
            <v>BR_CNPJ</v>
          </cell>
          <cell r="F4654" t="str">
            <v>34.002.401/0001-00</v>
          </cell>
        </row>
        <row r="4655">
          <cell r="A4655">
            <v>39646</v>
          </cell>
          <cell r="B4655" t="str">
            <v>CORPORATION</v>
          </cell>
          <cell r="C4655" t="str">
            <v>Mundo Das Ferramentas Ltda</v>
          </cell>
          <cell r="D4655" t="str">
            <v>Mundo Das Ferramentas Ltda</v>
          </cell>
          <cell r="E4655" t="str">
            <v>BR_CNPJ</v>
          </cell>
          <cell r="F4655" t="str">
            <v>15.270.498/0001-80</v>
          </cell>
          <cell r="G4655" t="str">
            <v>MUNDO DAS FERRAMENTAS LTDA</v>
          </cell>
        </row>
        <row r="4656">
          <cell r="A4656">
            <v>39647</v>
          </cell>
          <cell r="B4656" t="str">
            <v>CORPORATION</v>
          </cell>
          <cell r="C4656" t="str">
            <v>Abrafer Comercial Ltda</v>
          </cell>
          <cell r="D4656" t="str">
            <v>Abrafer</v>
          </cell>
          <cell r="E4656" t="str">
            <v>BR_CNPJ</v>
          </cell>
          <cell r="F4656" t="str">
            <v>31.690.365/0005-42</v>
          </cell>
        </row>
        <row r="4657">
          <cell r="A4657">
            <v>39651</v>
          </cell>
          <cell r="B4657" t="str">
            <v>CORPORATION</v>
          </cell>
          <cell r="C4657" t="str">
            <v>Roscacorte Parafusos E Ferramentas Ltda</v>
          </cell>
          <cell r="D4657" t="str">
            <v>Roscacorte</v>
          </cell>
          <cell r="E4657" t="str">
            <v>BR_CNPJ</v>
          </cell>
          <cell r="F4657" t="str">
            <v>01.185.229/0001-00</v>
          </cell>
        </row>
        <row r="4658">
          <cell r="A4658">
            <v>39654</v>
          </cell>
          <cell r="B4658" t="str">
            <v>CORPORATION</v>
          </cell>
          <cell r="C4658" t="str">
            <v>Vendas Pontual Comercio De Ferramentas E Eletrico Eletronico Eireli</v>
          </cell>
          <cell r="D4658" t="str">
            <v>Vendas Pontual</v>
          </cell>
          <cell r="E4658" t="str">
            <v>BR_CNPJ</v>
          </cell>
          <cell r="F4658" t="str">
            <v>31.593.703/0001-02</v>
          </cell>
        </row>
        <row r="4659">
          <cell r="A4659">
            <v>39668</v>
          </cell>
          <cell r="B4659" t="str">
            <v>CORPORATION</v>
          </cell>
          <cell r="C4659" t="str">
            <v>Retocar Tintas Automotivas Ltda</v>
          </cell>
          <cell r="D4659" t="str">
            <v>Retocar</v>
          </cell>
          <cell r="E4659" t="str">
            <v>BR_CNPJ</v>
          </cell>
          <cell r="F4659" t="str">
            <v>03.748.127/0001-81</v>
          </cell>
        </row>
        <row r="4660">
          <cell r="A4660">
            <v>39677</v>
          </cell>
          <cell r="B4660" t="str">
            <v>CORPORATION</v>
          </cell>
          <cell r="C4660" t="str">
            <v>Ab Nunes Industria E Comercio Eireli</v>
          </cell>
          <cell r="D4660" t="str">
            <v>Ab Nunes Industria E Comercio</v>
          </cell>
          <cell r="E4660" t="str">
            <v>BR_CNPJ</v>
          </cell>
          <cell r="F4660" t="str">
            <v>29.483.368/0001-30</v>
          </cell>
        </row>
        <row r="4661">
          <cell r="A4661">
            <v>39697</v>
          </cell>
          <cell r="B4661" t="str">
            <v>CORPORATION</v>
          </cell>
          <cell r="C4661" t="str">
            <v>Rt Soldas Comercio E Servico Ltda</v>
          </cell>
          <cell r="D4661" t="str">
            <v>Rt Soldas Comercio E Servico Ltda</v>
          </cell>
          <cell r="E4661" t="str">
            <v>BR_CNPJ</v>
          </cell>
          <cell r="F4661" t="str">
            <v>43.727.087/0001-06</v>
          </cell>
        </row>
        <row r="4662">
          <cell r="A4662">
            <v>39701</v>
          </cell>
          <cell r="B4662" t="str">
            <v>CORPORATION</v>
          </cell>
          <cell r="C4662" t="str">
            <v>Porto &amp; Cia Ltda</v>
          </cell>
          <cell r="D4662" t="str">
            <v>Casa Dos Parafusos</v>
          </cell>
          <cell r="E4662" t="str">
            <v>BR_CNPJ</v>
          </cell>
          <cell r="F4662" t="str">
            <v>24.385.725/0001-03</v>
          </cell>
        </row>
        <row r="4663">
          <cell r="A4663">
            <v>39714</v>
          </cell>
          <cell r="B4663" t="str">
            <v>CORPORATION</v>
          </cell>
          <cell r="C4663" t="str">
            <v>Rydan Comercial Limitada</v>
          </cell>
          <cell r="D4663" t="str">
            <v>Rydan Tintas</v>
          </cell>
          <cell r="E4663" t="str">
            <v>BR_CNPJ</v>
          </cell>
          <cell r="F4663" t="str">
            <v>01.086.700/0001-03</v>
          </cell>
          <cell r="G4663" t="str">
            <v>RYDAN</v>
          </cell>
        </row>
        <row r="4664">
          <cell r="A4664">
            <v>39717</v>
          </cell>
          <cell r="B4664" t="str">
            <v>CORPORATION</v>
          </cell>
          <cell r="C4664" t="str">
            <v>Mabeli Ferramentas Ltda</v>
          </cell>
          <cell r="D4664" t="str">
            <v>Shopping Das Ferramentas</v>
          </cell>
          <cell r="E4664" t="str">
            <v>BR_CNPJ</v>
          </cell>
          <cell r="F4664" t="str">
            <v>53.557.156/0001-34</v>
          </cell>
        </row>
        <row r="4665">
          <cell r="A4665">
            <v>39718</v>
          </cell>
          <cell r="B4665" t="str">
            <v>CORPORATION</v>
          </cell>
          <cell r="C4665" t="str">
            <v>Porao Materiais Para Construcao Ltda</v>
          </cell>
          <cell r="D4665" t="str">
            <v>Rydan</v>
          </cell>
          <cell r="E4665" t="str">
            <v>BR_CNPJ</v>
          </cell>
          <cell r="F4665" t="str">
            <v>59.252.544/0001-93</v>
          </cell>
          <cell r="G4665" t="str">
            <v>RYDAN</v>
          </cell>
        </row>
        <row r="4666">
          <cell r="A4666">
            <v>39719</v>
          </cell>
          <cell r="B4666" t="str">
            <v>CORPORATION</v>
          </cell>
          <cell r="C4666" t="str">
            <v>D. R. Almeida - Epp</v>
          </cell>
          <cell r="D4666" t="str">
            <v>Fermaq</v>
          </cell>
          <cell r="E4666" t="str">
            <v>BR_CNPJ</v>
          </cell>
          <cell r="F4666" t="str">
            <v>14.803.978/0001-04</v>
          </cell>
        </row>
        <row r="4667">
          <cell r="A4667">
            <v>39721</v>
          </cell>
          <cell r="B4667" t="str">
            <v>CORPORATION</v>
          </cell>
          <cell r="C4667" t="str">
            <v>Tirta Ferragens E Ferramentas Ltda</v>
          </cell>
          <cell r="D4667" t="str">
            <v>Tirta Ferragens E Ferramentas</v>
          </cell>
          <cell r="E4667" t="str">
            <v>BR_CNPJ</v>
          </cell>
          <cell r="F4667" t="str">
            <v>12.323.455/0001-27</v>
          </cell>
          <cell r="G4667" t="str">
            <v>TIRTA</v>
          </cell>
        </row>
        <row r="4668">
          <cell r="A4668">
            <v>39727</v>
          </cell>
          <cell r="B4668" t="str">
            <v>CORPORATION</v>
          </cell>
          <cell r="C4668" t="str">
            <v>Renato Santos De Souza</v>
          </cell>
          <cell r="D4668" t="str">
            <v>Nato Ferramentas</v>
          </cell>
          <cell r="E4668" t="str">
            <v>BR_CNPJ</v>
          </cell>
          <cell r="F4668" t="str">
            <v>30.931.694/0001-41</v>
          </cell>
          <cell r="G4668" t="str">
            <v>Nato Ferramentas</v>
          </cell>
        </row>
        <row r="4669">
          <cell r="A4669">
            <v>39733</v>
          </cell>
          <cell r="B4669" t="str">
            <v>CORPORATION</v>
          </cell>
          <cell r="C4669" t="str">
            <v>Guina Ferramentas Ltda</v>
          </cell>
          <cell r="D4669" t="str">
            <v>Guina Ferramentas/ Parfer</v>
          </cell>
          <cell r="E4669" t="str">
            <v>BR_CNPJ</v>
          </cell>
          <cell r="F4669" t="str">
            <v>46.113.129/0001-07</v>
          </cell>
          <cell r="G4669" t="str">
            <v>GUINA/ PARFER</v>
          </cell>
        </row>
        <row r="4670">
          <cell r="A4670">
            <v>39736</v>
          </cell>
          <cell r="B4670" t="str">
            <v>CORPORATION</v>
          </cell>
          <cell r="C4670" t="str">
            <v>Murici Maquinas E Equipamentos Ltda</v>
          </cell>
          <cell r="D4670" t="str">
            <v>Murici Material De Construcao</v>
          </cell>
          <cell r="E4670" t="str">
            <v>BR_CNPJ</v>
          </cell>
          <cell r="F4670" t="str">
            <v>23.306.699/0001-18</v>
          </cell>
        </row>
        <row r="4671">
          <cell r="A4671">
            <v>39738</v>
          </cell>
          <cell r="B4671" t="str">
            <v>CORPORATION</v>
          </cell>
          <cell r="C4671" t="str">
            <v>Perola Comercio De Maquinas E Motores Ltda</v>
          </cell>
          <cell r="D4671" t="str">
            <v>Comam Maquinas E Motores</v>
          </cell>
          <cell r="E4671" t="str">
            <v>BR_CNPJ</v>
          </cell>
          <cell r="F4671" t="str">
            <v>24.701.811/0001-88</v>
          </cell>
        </row>
        <row r="4672">
          <cell r="A4672">
            <v>39748</v>
          </cell>
          <cell r="B4672" t="str">
            <v>CORPORATION</v>
          </cell>
          <cell r="C4672" t="str">
            <v>Certto Comercio De Ferragens Ltda</v>
          </cell>
          <cell r="D4672" t="str">
            <v>Certto Ferragens E Equipamentos De Seguranca</v>
          </cell>
          <cell r="E4672" t="str">
            <v>BR_CNPJ</v>
          </cell>
          <cell r="F4672" t="str">
            <v>07.960.239/0001-52</v>
          </cell>
        </row>
        <row r="4673">
          <cell r="A4673">
            <v>39749</v>
          </cell>
          <cell r="B4673" t="str">
            <v>CORPORATION</v>
          </cell>
          <cell r="C4673" t="str">
            <v>Multitec Comercio E Servicos Ltda</v>
          </cell>
          <cell r="D4673" t="str">
            <v>Multitec Comercio E Servicos Ltda</v>
          </cell>
          <cell r="E4673" t="str">
            <v>BR_CNPJ</v>
          </cell>
          <cell r="F4673" t="str">
            <v>12.012.958/0001-81</v>
          </cell>
        </row>
        <row r="4674">
          <cell r="A4674">
            <v>39750</v>
          </cell>
          <cell r="B4674" t="str">
            <v>CORPORATION</v>
          </cell>
          <cell r="C4674" t="str">
            <v>T.W. Comercio De Maquinas E Ferramentas Ltda</v>
          </cell>
          <cell r="D4674" t="str">
            <v>T.W. Ferramentas</v>
          </cell>
          <cell r="E4674" t="str">
            <v>BR_CNPJ</v>
          </cell>
          <cell r="F4674" t="str">
            <v>21.092.975/0001-67</v>
          </cell>
        </row>
        <row r="4675">
          <cell r="A4675">
            <v>39751</v>
          </cell>
          <cell r="B4675" t="str">
            <v>CORPORATION</v>
          </cell>
          <cell r="C4675" t="str">
            <v>L. C. De Carvalho - Maquinas E Ferramentas</v>
          </cell>
          <cell r="D4675" t="str">
            <v>Ferramentas Veiculares</v>
          </cell>
          <cell r="E4675" t="str">
            <v>BR_CNPJ</v>
          </cell>
          <cell r="F4675" t="str">
            <v>29.968.027/0001-54</v>
          </cell>
        </row>
        <row r="4676">
          <cell r="A4676">
            <v>39752</v>
          </cell>
          <cell r="B4676" t="str">
            <v>CORPORATION</v>
          </cell>
          <cell r="C4676" t="str">
            <v>R C Jordani De Oliveira Ltda</v>
          </cell>
          <cell r="D4676" t="str">
            <v>Navel Auto Center</v>
          </cell>
          <cell r="E4676" t="str">
            <v>BR_CNPJ</v>
          </cell>
          <cell r="F4676" t="str">
            <v>44.968.258/0001-51</v>
          </cell>
          <cell r="G4676" t="str">
            <v>NAVEL</v>
          </cell>
        </row>
        <row r="4677">
          <cell r="A4677">
            <v>39760</v>
          </cell>
          <cell r="B4677" t="str">
            <v>CORPORATION</v>
          </cell>
          <cell r="C4677" t="str">
            <v>Rodrigo Luiz De Oliveira Servicos Pneumaticos</v>
          </cell>
          <cell r="D4677" t="str">
            <v>2r Pneumatica</v>
          </cell>
          <cell r="E4677" t="str">
            <v>BR_CNPJ</v>
          </cell>
          <cell r="F4677" t="str">
            <v>23.419.916/0001-86</v>
          </cell>
        </row>
        <row r="4678">
          <cell r="A4678">
            <v>39766</v>
          </cell>
          <cell r="B4678" t="str">
            <v>CORPORATION</v>
          </cell>
          <cell r="C4678" t="str">
            <v>R C L Leao</v>
          </cell>
          <cell r="D4678" t="str">
            <v>El Shaday Motores, Pecas E Servicos</v>
          </cell>
          <cell r="E4678" t="str">
            <v>BR_CNPJ</v>
          </cell>
          <cell r="F4678" t="str">
            <v>34.117.181/0001-52</v>
          </cell>
        </row>
        <row r="4679">
          <cell r="A4679">
            <v>39771</v>
          </cell>
          <cell r="B4679" t="str">
            <v>CORPORATION</v>
          </cell>
          <cell r="C4679" t="str">
            <v>Ferraminas Maquinas E Ferramentas Ltda</v>
          </cell>
          <cell r="D4679" t="str">
            <v>Ferraminas Maquinas E Ferramentas Ltda</v>
          </cell>
          <cell r="E4679" t="str">
            <v>BR_CNPJ</v>
          </cell>
          <cell r="F4679" t="str">
            <v>19.038.069/0003-02</v>
          </cell>
          <cell r="G4679" t="str">
            <v>FERRAMINAS</v>
          </cell>
        </row>
        <row r="4680">
          <cell r="A4680">
            <v>39778</v>
          </cell>
          <cell r="B4680" t="str">
            <v>CORPORATION</v>
          </cell>
          <cell r="C4680" t="str">
            <v>Selma Soares Da Silva</v>
          </cell>
          <cell r="D4680" t="str">
            <v>Ferragista Silva</v>
          </cell>
          <cell r="E4680" t="str">
            <v>BR_CNPJ</v>
          </cell>
          <cell r="F4680" t="str">
            <v>10.656.864/0001-10</v>
          </cell>
        </row>
        <row r="4681">
          <cell r="A4681">
            <v>39790</v>
          </cell>
          <cell r="B4681" t="str">
            <v>CORPORATION</v>
          </cell>
          <cell r="C4681" t="str">
            <v>Comercial Valflex Ferramentas E Equipamentos Ltda</v>
          </cell>
          <cell r="D4681" t="str">
            <v>Comercial Valflex Ferramentas E Equipamentos Ltda</v>
          </cell>
          <cell r="E4681" t="str">
            <v>BR_CNPJ</v>
          </cell>
          <cell r="F4681" t="str">
            <v>02.752.999/0001-50</v>
          </cell>
        </row>
        <row r="4682">
          <cell r="A4682">
            <v>39799</v>
          </cell>
          <cell r="B4682" t="str">
            <v>CORPORATION</v>
          </cell>
          <cell r="C4682" t="str">
            <v>Casa Do Borracheiro Eireli</v>
          </cell>
          <cell r="D4682" t="str">
            <v>Casa Do Borracheiro</v>
          </cell>
          <cell r="E4682" t="str">
            <v>BR_CNPJ</v>
          </cell>
          <cell r="F4682" t="str">
            <v>30.038.878/0001-87</v>
          </cell>
          <cell r="G4682" t="str">
            <v>CASA DO BORRACHEIRO</v>
          </cell>
        </row>
        <row r="4683">
          <cell r="A4683">
            <v>39804</v>
          </cell>
          <cell r="B4683" t="str">
            <v>CORPORATION</v>
          </cell>
          <cell r="C4683" t="str">
            <v>F. Da C. Rocha E Cia Ltda</v>
          </cell>
          <cell r="D4683" t="str">
            <v>Comercial Rocha</v>
          </cell>
          <cell r="E4683" t="str">
            <v>BR_CNPJ</v>
          </cell>
          <cell r="F4683" t="str">
            <v>09.581.080/0001-90</v>
          </cell>
          <cell r="G4683" t="str">
            <v>ROCHA</v>
          </cell>
        </row>
        <row r="4684">
          <cell r="A4684">
            <v>39807</v>
          </cell>
          <cell r="B4684" t="str">
            <v>CORPORATION</v>
          </cell>
          <cell r="C4684" t="str">
            <v>Josevaldo V. De Oliveira</v>
          </cell>
          <cell r="D4684" t="str">
            <v>Dp Ferro</v>
          </cell>
          <cell r="E4684" t="str">
            <v>BR_CNPJ</v>
          </cell>
          <cell r="F4684" t="str">
            <v>08.987.199/0001-03</v>
          </cell>
        </row>
        <row r="4685">
          <cell r="A4685">
            <v>39815</v>
          </cell>
          <cell r="B4685" t="str">
            <v>CORPORATION</v>
          </cell>
          <cell r="C4685" t="str">
            <v>Acai Comercio E Representacoes Ltda</v>
          </cell>
          <cell r="D4685" t="str">
            <v>Distribuidora Acailandia (Coml. Rocha)</v>
          </cell>
          <cell r="E4685" t="str">
            <v>BR_CNPJ</v>
          </cell>
          <cell r="F4685" t="str">
            <v>21.450.212/0001-40</v>
          </cell>
          <cell r="G4685" t="str">
            <v>ROCHA</v>
          </cell>
        </row>
        <row r="4686">
          <cell r="A4686">
            <v>39828</v>
          </cell>
          <cell r="B4686" t="str">
            <v>CORPORATION</v>
          </cell>
          <cell r="C4686" t="str">
            <v>Km Epi'S E Ferramentas Ltda</v>
          </cell>
          <cell r="D4686" t="str">
            <v>Irmaos Epi'S E Ferramentas</v>
          </cell>
          <cell r="E4686" t="str">
            <v>BR_CNPJ</v>
          </cell>
          <cell r="F4686" t="str">
            <v>37.598.371/0001-27</v>
          </cell>
        </row>
        <row r="4687">
          <cell r="A4687">
            <v>39833</v>
          </cell>
          <cell r="B4687" t="str">
            <v>CORPORATION</v>
          </cell>
          <cell r="C4687" t="str">
            <v>Niehues Industria E Comercio De Trefilados De Metal Ltda</v>
          </cell>
          <cell r="D4687" t="str">
            <v>Tidao</v>
          </cell>
          <cell r="E4687" t="str">
            <v>BR_CNPJ</v>
          </cell>
          <cell r="F4687" t="str">
            <v>03.200.802/0001-33</v>
          </cell>
          <cell r="G4687" t="str">
            <v>TIDAO</v>
          </cell>
        </row>
        <row r="4688">
          <cell r="A4688">
            <v>39834</v>
          </cell>
          <cell r="B4688" t="str">
            <v>CORPORATION</v>
          </cell>
          <cell r="C4688" t="str">
            <v>K &amp; K Material De Construcao Ltda</v>
          </cell>
          <cell r="D4688" t="str">
            <v>Araujo Material De Construcao</v>
          </cell>
          <cell r="E4688" t="str">
            <v>BR_CNPJ</v>
          </cell>
          <cell r="F4688" t="str">
            <v>21.633.588/0003-52</v>
          </cell>
        </row>
        <row r="4689">
          <cell r="A4689">
            <v>39835</v>
          </cell>
          <cell r="B4689" t="str">
            <v>CORPORATION</v>
          </cell>
          <cell r="C4689" t="str">
            <v>Comercio De Ferro E Aco Kopp Ltda</v>
          </cell>
          <cell r="D4689" t="str">
            <v>Comercio De Ferro E Aco Kopp Ltda</v>
          </cell>
          <cell r="E4689" t="str">
            <v>BR_CNPJ</v>
          </cell>
          <cell r="F4689" t="str">
            <v>03.081.821/0002-79</v>
          </cell>
        </row>
        <row r="4690">
          <cell r="A4690">
            <v>39836</v>
          </cell>
          <cell r="B4690" t="str">
            <v>CORPORATION</v>
          </cell>
          <cell r="C4690" t="str">
            <v>Edileuza Conceicao Dos Santos 92969933500</v>
          </cell>
          <cell r="D4690" t="str">
            <v>Amaferr - Comercio De Materiais Para Construcao</v>
          </cell>
          <cell r="E4690" t="str">
            <v>BR_CNPJ</v>
          </cell>
          <cell r="F4690" t="str">
            <v>33.116.703/0001-39</v>
          </cell>
        </row>
        <row r="4691">
          <cell r="A4691">
            <v>39838</v>
          </cell>
          <cell r="B4691" t="str">
            <v>CORPORATION</v>
          </cell>
          <cell r="C4691" t="str">
            <v>Ferramental Max Ltda</v>
          </cell>
          <cell r="D4691" t="str">
            <v>Ferramental Max</v>
          </cell>
          <cell r="E4691" t="str">
            <v>BR_CNPJ</v>
          </cell>
          <cell r="F4691" t="str">
            <v>53.542.428/0001-22</v>
          </cell>
        </row>
        <row r="4692">
          <cell r="A4692">
            <v>39841</v>
          </cell>
          <cell r="B4692" t="str">
            <v>CORPORATION</v>
          </cell>
          <cell r="C4692" t="str">
            <v>Fatima Conceicao Ferreira Da Silva 00481313850</v>
          </cell>
          <cell r="D4692" t="str">
            <v>Auto Pecas Do Vale</v>
          </cell>
          <cell r="E4692" t="str">
            <v>BR_CNPJ</v>
          </cell>
          <cell r="F4692" t="str">
            <v>20.294.608/0001-83</v>
          </cell>
        </row>
        <row r="4693">
          <cell r="A4693">
            <v>39844</v>
          </cell>
          <cell r="B4693" t="str">
            <v>CORPORATION</v>
          </cell>
          <cell r="C4693" t="str">
            <v>Marc7 Servicos E Materiais Eletricos Ltda</v>
          </cell>
          <cell r="D4693" t="str">
            <v>Marc7 Servicos E Materiais Eletricos Ltda</v>
          </cell>
          <cell r="E4693" t="str">
            <v>BR_CNPJ</v>
          </cell>
          <cell r="F4693" t="str">
            <v>37.194.679/0001-07</v>
          </cell>
        </row>
        <row r="4694">
          <cell r="A4694">
            <v>39848</v>
          </cell>
          <cell r="B4694" t="str">
            <v>CORPORATION</v>
          </cell>
          <cell r="C4694" t="str">
            <v>Vg Shop Comercio On Line Eireli</v>
          </cell>
          <cell r="D4694" t="str">
            <v>Vg Shop Comercio On Line</v>
          </cell>
          <cell r="E4694" t="str">
            <v>BR_CNPJ</v>
          </cell>
          <cell r="F4694" t="str">
            <v>16.857.384/0002-84</v>
          </cell>
          <cell r="G4694" t="str">
            <v>VG SHOP</v>
          </cell>
        </row>
        <row r="4695">
          <cell r="A4695">
            <v>39855</v>
          </cell>
          <cell r="B4695" t="str">
            <v>CORPORATION</v>
          </cell>
          <cell r="C4695" t="str">
            <v>Michelino Comercio De Pecas E Acessorios Eireli</v>
          </cell>
          <cell r="D4695" t="str">
            <v>Michelino Comercio De Pecas E Acessorios Eireli</v>
          </cell>
          <cell r="E4695" t="str">
            <v>BR_CNPJ</v>
          </cell>
          <cell r="F4695" t="str">
            <v>03.644.189/0001-43</v>
          </cell>
        </row>
        <row r="4696">
          <cell r="A4696">
            <v>39867</v>
          </cell>
          <cell r="B4696" t="str">
            <v>CORPORATION</v>
          </cell>
          <cell r="C4696" t="str">
            <v>Ponto Da Construcao Urai Ltda</v>
          </cell>
          <cell r="D4696" t="str">
            <v>Ponto Da Construcao</v>
          </cell>
          <cell r="E4696" t="str">
            <v>BR_CNPJ</v>
          </cell>
          <cell r="F4696" t="str">
            <v>08.668.586/0001-79</v>
          </cell>
        </row>
        <row r="4697">
          <cell r="A4697">
            <v>39871</v>
          </cell>
          <cell r="B4697" t="str">
            <v>CORPORATION</v>
          </cell>
          <cell r="C4697" t="str">
            <v>Fershop Comercial De Ferragens Ltda</v>
          </cell>
          <cell r="D4697" t="str">
            <v>Fershop</v>
          </cell>
          <cell r="E4697" t="str">
            <v>BR_CNPJ</v>
          </cell>
          <cell r="F4697" t="str">
            <v>00.111.075/0001-40</v>
          </cell>
        </row>
        <row r="4698">
          <cell r="A4698">
            <v>39880</v>
          </cell>
          <cell r="B4698" t="str">
            <v>CORPORATION</v>
          </cell>
          <cell r="C4698" t="str">
            <v>Rocha Cardoso Materiais De Construcao Ltda</v>
          </cell>
          <cell r="D4698" t="str">
            <v>Rocha Cardoso Materiais De Construcao</v>
          </cell>
          <cell r="E4698" t="str">
            <v>BR_CNPJ</v>
          </cell>
          <cell r="F4698" t="str">
            <v>04.613.902/0001-54</v>
          </cell>
        </row>
        <row r="4699">
          <cell r="A4699">
            <v>39881</v>
          </cell>
          <cell r="B4699" t="str">
            <v>CORPORATION</v>
          </cell>
          <cell r="C4699" t="str">
            <v>Paulo Marcos Vieira Dos Santos</v>
          </cell>
          <cell r="D4699" t="str">
            <v>Paulo Ferramentas</v>
          </cell>
          <cell r="E4699" t="str">
            <v>BR_CNPJ</v>
          </cell>
          <cell r="F4699" t="str">
            <v>11.361.005/0001-66</v>
          </cell>
        </row>
        <row r="4700">
          <cell r="A4700">
            <v>39882</v>
          </cell>
          <cell r="B4700" t="str">
            <v>CORPORATION</v>
          </cell>
          <cell r="C4700" t="str">
            <v>Brasil Agro Ltda</v>
          </cell>
          <cell r="D4700" t="str">
            <v>Brasil Agro</v>
          </cell>
          <cell r="E4700" t="str">
            <v>BR_CNPJ</v>
          </cell>
          <cell r="F4700" t="str">
            <v>52.688.585/0001-88</v>
          </cell>
        </row>
        <row r="4701">
          <cell r="A4701">
            <v>39884</v>
          </cell>
          <cell r="B4701" t="str">
            <v>CORPORATION</v>
          </cell>
          <cell r="C4701" t="str">
            <v>Orlando De Souza Gomes</v>
          </cell>
          <cell r="D4701" t="str">
            <v>Orlando Ferramentas</v>
          </cell>
          <cell r="E4701" t="str">
            <v>BR_CNPJ</v>
          </cell>
          <cell r="F4701" t="str">
            <v>18.615.377/0001-10</v>
          </cell>
        </row>
        <row r="4702">
          <cell r="A4702">
            <v>39890</v>
          </cell>
          <cell r="B4702" t="str">
            <v>CORPORATION</v>
          </cell>
          <cell r="C4702" t="str">
            <v>Pereira &amp; Sens Ltda</v>
          </cell>
          <cell r="D4702" t="str">
            <v>L.A. Tintas</v>
          </cell>
          <cell r="E4702" t="str">
            <v>BR_CNPJ</v>
          </cell>
          <cell r="F4702" t="str">
            <v>07.365.941/0001-78</v>
          </cell>
        </row>
        <row r="4703">
          <cell r="A4703">
            <v>39893</v>
          </cell>
          <cell r="B4703" t="str">
            <v>CORPORATION</v>
          </cell>
          <cell r="C4703" t="str">
            <v>Oxigenio Zona Sul Eireli</v>
          </cell>
          <cell r="D4703" t="str">
            <v>Oxigenio Zona Sul</v>
          </cell>
          <cell r="E4703" t="str">
            <v>BR_CNPJ</v>
          </cell>
          <cell r="F4703" t="str">
            <v>14.135.356/0001-47</v>
          </cell>
        </row>
        <row r="4704">
          <cell r="A4704">
            <v>39899</v>
          </cell>
          <cell r="B4704" t="str">
            <v>CORPORATION</v>
          </cell>
          <cell r="C4704" t="str">
            <v>Ric Mar Materiais Para Construcao Ltda</v>
          </cell>
          <cell r="D4704" t="str">
            <v>Ric Mar Materiais Para Construcao</v>
          </cell>
          <cell r="E4704" t="str">
            <v>BR_CNPJ</v>
          </cell>
          <cell r="F4704" t="str">
            <v>59.150.458/0001-70</v>
          </cell>
        </row>
        <row r="4705">
          <cell r="A4705">
            <v>39902</v>
          </cell>
          <cell r="B4705" t="str">
            <v>CORPORATION</v>
          </cell>
          <cell r="C4705" t="str">
            <v>Suzano Epi Comercio De Equipamentos De Protecao Individual Eireli</v>
          </cell>
          <cell r="D4705" t="str">
            <v>Suzano Epi - Distribuidora Eireli</v>
          </cell>
          <cell r="E4705" t="str">
            <v>BR_CNPJ</v>
          </cell>
          <cell r="F4705" t="str">
            <v>25.070.644/0001-87</v>
          </cell>
          <cell r="G4705" t="str">
            <v>SUZANO EPI</v>
          </cell>
        </row>
        <row r="4706">
          <cell r="A4706">
            <v>39912</v>
          </cell>
          <cell r="B4706" t="str">
            <v>CORPORATION</v>
          </cell>
          <cell r="C4706" t="str">
            <v>Maycon Destefani Vieira</v>
          </cell>
          <cell r="D4706" t="str">
            <v>Vieira Soldas E Motores Eletricos</v>
          </cell>
          <cell r="E4706" t="str">
            <v>BR_CNPJ</v>
          </cell>
          <cell r="F4706" t="str">
            <v>25.117.463/0001-69</v>
          </cell>
        </row>
        <row r="4707">
          <cell r="A4707">
            <v>39916</v>
          </cell>
          <cell r="B4707" t="str">
            <v>CORPORATION</v>
          </cell>
          <cell r="C4707" t="str">
            <v>Rigon &amp; Cia Ltda</v>
          </cell>
          <cell r="D4707" t="str">
            <v>Pica Pau Maquinas Agricolas</v>
          </cell>
          <cell r="E4707" t="str">
            <v>BR_CNPJ</v>
          </cell>
          <cell r="F4707" t="str">
            <v>03.651.923/0001-00</v>
          </cell>
        </row>
        <row r="4708">
          <cell r="A4708">
            <v>39919</v>
          </cell>
          <cell r="B4708" t="str">
            <v>CORPORATION</v>
          </cell>
          <cell r="C4708" t="str">
            <v>Brazfer Comercial De Ferro E Aco Eireli</v>
          </cell>
          <cell r="D4708" t="str">
            <v>Brazfer</v>
          </cell>
          <cell r="E4708" t="str">
            <v>BR_CNPJ</v>
          </cell>
          <cell r="F4708" t="str">
            <v>42.189.439/0001-54</v>
          </cell>
        </row>
        <row r="4709">
          <cell r="A4709">
            <v>39920</v>
          </cell>
          <cell r="B4709" t="str">
            <v>CORPORATION</v>
          </cell>
          <cell r="C4709" t="str">
            <v>Parafusando Comercio Ltda</v>
          </cell>
          <cell r="D4709" t="str">
            <v>Parafusando</v>
          </cell>
          <cell r="E4709" t="str">
            <v>BR_CNPJ</v>
          </cell>
          <cell r="F4709" t="str">
            <v>50.233.224/0001-11</v>
          </cell>
        </row>
        <row r="4710">
          <cell r="A4710">
            <v>39921</v>
          </cell>
          <cell r="B4710" t="str">
            <v>CORPORATION</v>
          </cell>
          <cell r="C4710" t="str">
            <v>Casa Da Locacao De Maquinas E Equipamentos Ltda</v>
          </cell>
          <cell r="D4710" t="str">
            <v>Clm Locacao De Maquinas E Equipamentos</v>
          </cell>
          <cell r="E4710" t="str">
            <v>BR_CNPJ</v>
          </cell>
          <cell r="F4710" t="str">
            <v>10.652.994/0001-84</v>
          </cell>
        </row>
        <row r="4711">
          <cell r="A4711">
            <v>39926</v>
          </cell>
          <cell r="B4711" t="str">
            <v>CORPORATION</v>
          </cell>
          <cell r="C4711" t="str">
            <v>Casa Das Serras Comercial Ltda</v>
          </cell>
          <cell r="D4711" t="str">
            <v>Luromak Casa Das Serras</v>
          </cell>
          <cell r="E4711" t="str">
            <v>BR_CNPJ</v>
          </cell>
          <cell r="F4711" t="str">
            <v>02.967.761/0001-42</v>
          </cell>
          <cell r="G4711" t="str">
            <v>CASA DAS SERRAS</v>
          </cell>
        </row>
        <row r="4712">
          <cell r="A4712">
            <v>39932</v>
          </cell>
          <cell r="B4712" t="str">
            <v>CORPORATION</v>
          </cell>
          <cell r="C4712" t="str">
            <v>Batuisa Comercio E Distribuidora - Eireli</v>
          </cell>
          <cell r="D4712" t="str">
            <v>Comercial Batuisa</v>
          </cell>
          <cell r="E4712" t="str">
            <v>BR_CNPJ</v>
          </cell>
          <cell r="F4712" t="str">
            <v>02.656.185/0001-12</v>
          </cell>
        </row>
        <row r="4713">
          <cell r="A4713">
            <v>39936</v>
          </cell>
          <cell r="B4713" t="str">
            <v>CORPORATION</v>
          </cell>
          <cell r="C4713" t="str">
            <v>Novo Mundo Soldas Ltda</v>
          </cell>
          <cell r="D4713" t="str">
            <v>Rpc Manutenções</v>
          </cell>
          <cell r="E4713" t="str">
            <v>BR_CNPJ</v>
          </cell>
          <cell r="F4713" t="str">
            <v>17.894.132/0001-07</v>
          </cell>
        </row>
        <row r="4714">
          <cell r="A4714">
            <v>39940</v>
          </cell>
          <cell r="B4714" t="str">
            <v>CORPORATION</v>
          </cell>
          <cell r="C4714" t="str">
            <v>Paulo Henrioue Moretti 35894399807</v>
          </cell>
          <cell r="D4714" t="str">
            <v>Paulo Henrique Moretti</v>
          </cell>
          <cell r="E4714" t="str">
            <v>BR_CNPJ</v>
          </cell>
          <cell r="F4714" t="str">
            <v>34.750.652/0001-65</v>
          </cell>
        </row>
        <row r="4715">
          <cell r="A4715">
            <v>39947</v>
          </cell>
          <cell r="B4715" t="str">
            <v>CORPORATION</v>
          </cell>
          <cell r="C4715" t="str">
            <v>Miguel Pedro De Bastos 16798954863</v>
          </cell>
          <cell r="D4715" t="str">
            <v>Bastos Comercio De Materiais</v>
          </cell>
          <cell r="E4715" t="str">
            <v>BR_CNPJ</v>
          </cell>
          <cell r="F4715" t="str">
            <v>17.771.283/0001-78</v>
          </cell>
        </row>
        <row r="4716">
          <cell r="A4716">
            <v>39952</v>
          </cell>
          <cell r="B4716" t="str">
            <v>CORPORATION</v>
          </cell>
          <cell r="C4716" t="str">
            <v>Delvo Felippette &amp; Cia Ltda</v>
          </cell>
          <cell r="D4716" t="str">
            <v>Deposito Alto S.Domingos</v>
          </cell>
          <cell r="E4716" t="str">
            <v>BR_CNPJ</v>
          </cell>
          <cell r="F4716" t="str">
            <v>03.430.930/0001-73</v>
          </cell>
        </row>
        <row r="4717">
          <cell r="A4717">
            <v>39955</v>
          </cell>
          <cell r="B4717" t="str">
            <v>CORPORATION</v>
          </cell>
          <cell r="C4717" t="str">
            <v>M. U. N. Reis</v>
          </cell>
          <cell r="D4717" t="str">
            <v>Madetintas</v>
          </cell>
          <cell r="E4717" t="str">
            <v>BR_CNPJ</v>
          </cell>
          <cell r="F4717" t="str">
            <v>07.143.047/0001-53</v>
          </cell>
        </row>
        <row r="4718">
          <cell r="A4718">
            <v>39961</v>
          </cell>
          <cell r="B4718" t="str">
            <v>CORPORATION</v>
          </cell>
          <cell r="C4718" t="str">
            <v>Fabricio Orador Da Rocha 05656210928</v>
          </cell>
          <cell r="D4718" t="str">
            <v>Fabricio Orador Da Rocha</v>
          </cell>
          <cell r="E4718" t="str">
            <v>BR_CNPJ</v>
          </cell>
          <cell r="F4718" t="str">
            <v>29.786.594/0001-90</v>
          </cell>
        </row>
        <row r="4719">
          <cell r="A4719">
            <v>39970</v>
          </cell>
          <cell r="B4719" t="str">
            <v>CORPORATION</v>
          </cell>
          <cell r="C4719" t="str">
            <v>Eraldo M. Jorge &amp; Cia Ltda</v>
          </cell>
          <cell r="D4719" t="str">
            <v>Maqpecas</v>
          </cell>
          <cell r="E4719" t="str">
            <v>BR_CNPJ</v>
          </cell>
          <cell r="F4719" t="str">
            <v>02.277.134/0001-80</v>
          </cell>
          <cell r="G4719" t="str">
            <v>MAQPECAS</v>
          </cell>
        </row>
        <row r="4720">
          <cell r="A4720">
            <v>39983</v>
          </cell>
          <cell r="B4720" t="str">
            <v>CORPORATION</v>
          </cell>
          <cell r="C4720" t="str">
            <v>Sonia Regina Da Silva</v>
          </cell>
          <cell r="D4720" t="str">
            <v>Ferragista Gonzaga Ii</v>
          </cell>
          <cell r="E4720" t="str">
            <v>BR_CNPJ</v>
          </cell>
          <cell r="F4720" t="str">
            <v>00.134.460/0001-02</v>
          </cell>
        </row>
        <row r="4721">
          <cell r="A4721">
            <v>39995</v>
          </cell>
          <cell r="B4721" t="str">
            <v>CORPORATION</v>
          </cell>
          <cell r="C4721" t="str">
            <v>L F Maquinas E Ferramentas Ltda</v>
          </cell>
          <cell r="D4721" t="str">
            <v>Soldafer</v>
          </cell>
          <cell r="E4721" t="str">
            <v>BR_CNPJ</v>
          </cell>
          <cell r="F4721" t="str">
            <v>46.282.584/0001-36</v>
          </cell>
          <cell r="G4721" t="str">
            <v>SOLDAFER ES</v>
          </cell>
        </row>
        <row r="4722">
          <cell r="A4722">
            <v>40006</v>
          </cell>
          <cell r="B4722" t="str">
            <v>CORPORATION</v>
          </cell>
          <cell r="C4722" t="str">
            <v>43.676.947 Eric Da Rosa Amaral</v>
          </cell>
          <cell r="D4722" t="str">
            <v>E.R.A Montagens E Soldas Especiais</v>
          </cell>
          <cell r="E4722" t="str">
            <v>BR_CNPJ</v>
          </cell>
          <cell r="F4722" t="str">
            <v>43.676.947/0001-20</v>
          </cell>
        </row>
        <row r="4723">
          <cell r="A4723">
            <v>40010</v>
          </cell>
          <cell r="B4723" t="str">
            <v>CORPORATION</v>
          </cell>
          <cell r="C4723" t="str">
            <v>Leonardo Do Carmo Santana Ltda</v>
          </cell>
          <cell r="D4723" t="str">
            <v>Lcszen</v>
          </cell>
          <cell r="E4723" t="str">
            <v>BR_CNPJ</v>
          </cell>
          <cell r="F4723" t="str">
            <v>42.692.002/0001-39</v>
          </cell>
        </row>
        <row r="4724">
          <cell r="A4724">
            <v>40015</v>
          </cell>
          <cell r="B4724" t="str">
            <v>CORPORATION</v>
          </cell>
          <cell r="C4724" t="str">
            <v>Rio Chen'S Importadora E Exportadora Ltda</v>
          </cell>
          <cell r="D4724" t="str">
            <v>Bestfer</v>
          </cell>
          <cell r="E4724" t="str">
            <v>BR_CNPJ</v>
          </cell>
          <cell r="F4724" t="str">
            <v>03.786.147/0001-47</v>
          </cell>
        </row>
        <row r="4725">
          <cell r="A4725">
            <v>40024</v>
          </cell>
          <cell r="B4725" t="str">
            <v>CORPORATION</v>
          </cell>
          <cell r="C4725" t="str">
            <v>Aferramentas Comercio De Ferramentas Eireli</v>
          </cell>
          <cell r="D4725" t="str">
            <v>Aferramentas</v>
          </cell>
          <cell r="E4725" t="str">
            <v>BR_CNPJ</v>
          </cell>
          <cell r="F4725" t="str">
            <v>29.817.591/0001-76</v>
          </cell>
          <cell r="G4725" t="str">
            <v>AFERRAMENTAS</v>
          </cell>
        </row>
        <row r="4726">
          <cell r="A4726">
            <v>40032</v>
          </cell>
          <cell r="B4726" t="str">
            <v>CORPORATION</v>
          </cell>
          <cell r="C4726" t="str">
            <v>53.915.305 Tania Maria De Paula</v>
          </cell>
          <cell r="D4726" t="str">
            <v>Gemac</v>
          </cell>
          <cell r="E4726" t="str">
            <v>BR_CNPJ</v>
          </cell>
          <cell r="F4726" t="str">
            <v>53.915.305/0001-90</v>
          </cell>
          <cell r="G4726" t="str">
            <v>GEMAC</v>
          </cell>
        </row>
        <row r="4727">
          <cell r="A4727">
            <v>40036</v>
          </cell>
          <cell r="B4727" t="str">
            <v>CORPORATION</v>
          </cell>
          <cell r="C4727" t="str">
            <v>Bazar Claudia Comercio De Miudezas Em Geral Ltda</v>
          </cell>
          <cell r="D4727" t="str">
            <v>Bazar Claudia</v>
          </cell>
          <cell r="E4727" t="str">
            <v>BR_CNPJ</v>
          </cell>
          <cell r="F4727" t="str">
            <v>07.160.374/0001-13</v>
          </cell>
        </row>
        <row r="4728">
          <cell r="A4728">
            <v>40055</v>
          </cell>
          <cell r="B4728" t="str">
            <v>CORPORATION</v>
          </cell>
          <cell r="C4728" t="str">
            <v>P P Parafusos E Ferragens Ltda</v>
          </cell>
          <cell r="D4728" t="str">
            <v>Casa Dos Parafusos</v>
          </cell>
          <cell r="E4728" t="str">
            <v>BR_CNPJ</v>
          </cell>
          <cell r="F4728" t="str">
            <v>63.621.643/0001-72</v>
          </cell>
        </row>
        <row r="4729">
          <cell r="A4729">
            <v>40059</v>
          </cell>
          <cell r="B4729" t="str">
            <v>CORPORATION</v>
          </cell>
          <cell r="C4729" t="str">
            <v>Andreia Blank Comercio</v>
          </cell>
          <cell r="D4729" t="str">
            <v>D &amp; A Ferragens E Ferramentas</v>
          </cell>
          <cell r="E4729" t="str">
            <v>BR_CNPJ</v>
          </cell>
          <cell r="F4729" t="str">
            <v>11.336.838/0001-77</v>
          </cell>
        </row>
        <row r="4730">
          <cell r="A4730">
            <v>40061</v>
          </cell>
          <cell r="B4730" t="str">
            <v>CORPORATION</v>
          </cell>
          <cell r="C4730" t="str">
            <v>Center Lider Comercio E Importacao Ltda</v>
          </cell>
          <cell r="D4730" t="str">
            <v>Center Lider</v>
          </cell>
          <cell r="E4730" t="str">
            <v>BR_CNPJ</v>
          </cell>
          <cell r="F4730" t="str">
            <v>13.671.627/0001-16</v>
          </cell>
        </row>
        <row r="4731">
          <cell r="A4731">
            <v>40087</v>
          </cell>
          <cell r="B4731" t="str">
            <v>CORPORATION</v>
          </cell>
          <cell r="C4731" t="str">
            <v>Uni Parts Piraju Ltda</v>
          </cell>
          <cell r="D4731" t="str">
            <v>Uni Parts</v>
          </cell>
          <cell r="E4731" t="str">
            <v>BR_CNPJ</v>
          </cell>
          <cell r="F4731" t="str">
            <v>05.486.680/0001-19</v>
          </cell>
        </row>
        <row r="4732">
          <cell r="A4732">
            <v>40093</v>
          </cell>
          <cell r="B4732" t="str">
            <v>CORPORATION</v>
          </cell>
          <cell r="C4732" t="str">
            <v>Julio Cesar Henrique</v>
          </cell>
          <cell r="D4732" t="str">
            <v>Agroforte</v>
          </cell>
          <cell r="E4732" t="str">
            <v>BR_CNPJ</v>
          </cell>
          <cell r="F4732" t="str">
            <v>15.588.826/0003-52</v>
          </cell>
        </row>
        <row r="4733">
          <cell r="A4733">
            <v>40100</v>
          </cell>
          <cell r="B4733" t="str">
            <v>CORPORATION</v>
          </cell>
          <cell r="C4733" t="str">
            <v>Sul Comercio De Gases E Acessorios Ltda</v>
          </cell>
          <cell r="D4733" t="str">
            <v>Oxigenio Mix</v>
          </cell>
          <cell r="E4733" t="str">
            <v>BR_CNPJ</v>
          </cell>
          <cell r="F4733" t="str">
            <v>26.570.040/0001-62</v>
          </cell>
          <cell r="G4733" t="str">
            <v>OXIGENIO MIX</v>
          </cell>
        </row>
        <row r="4734">
          <cell r="A4734">
            <v>40113</v>
          </cell>
          <cell r="B4734" t="str">
            <v>CORPORATION</v>
          </cell>
          <cell r="C4734" t="str">
            <v>Ampla Comercio De Ferramentas, Maquinas E Abrasivos Eireli</v>
          </cell>
          <cell r="D4734" t="str">
            <v>Ampla Abrasivos &amp; Seguimentos</v>
          </cell>
          <cell r="E4734" t="str">
            <v>BR_CNPJ</v>
          </cell>
          <cell r="F4734" t="str">
            <v>31.875.047/0001-22</v>
          </cell>
        </row>
        <row r="4735">
          <cell r="A4735">
            <v>40116</v>
          </cell>
          <cell r="B4735" t="str">
            <v>CORPORATION</v>
          </cell>
          <cell r="C4735" t="str">
            <v>Gilmar E. Spies Ltda</v>
          </cell>
          <cell r="D4735" t="str">
            <v>Eletro Eletrotecnica E Refrigeração Spies</v>
          </cell>
          <cell r="E4735" t="str">
            <v>BR_CNPJ</v>
          </cell>
          <cell r="F4735" t="str">
            <v>01.353.934/0001-70</v>
          </cell>
        </row>
        <row r="4736">
          <cell r="A4736">
            <v>40117</v>
          </cell>
          <cell r="B4736" t="str">
            <v>CORPORATION</v>
          </cell>
          <cell r="C4736" t="str">
            <v>Jailson F Pinto</v>
          </cell>
          <cell r="D4736" t="str">
            <v>Jailson F Pinto</v>
          </cell>
          <cell r="E4736" t="str">
            <v>BR_CNPJ</v>
          </cell>
          <cell r="F4736" t="str">
            <v>19.210.280/0001-90</v>
          </cell>
        </row>
        <row r="4737">
          <cell r="A4737">
            <v>40123</v>
          </cell>
          <cell r="B4737" t="str">
            <v>CORPORATION</v>
          </cell>
          <cell r="C4737" t="str">
            <v>Mercadao Do Ferro Comercio De Metais Ltda</v>
          </cell>
          <cell r="D4737" t="str">
            <v>Mercadao Do Ferro</v>
          </cell>
          <cell r="E4737" t="str">
            <v>BR_CNPJ</v>
          </cell>
          <cell r="F4737" t="str">
            <v>36.570.283/0001-54</v>
          </cell>
        </row>
        <row r="4738">
          <cell r="A4738">
            <v>40124</v>
          </cell>
          <cell r="B4738" t="str">
            <v>CORPORATION</v>
          </cell>
          <cell r="C4738" t="str">
            <v>Vanjenilton Ribeiro Dos Santos 02039693165</v>
          </cell>
          <cell r="D4738" t="str">
            <v>Ribeiro Ferragens</v>
          </cell>
          <cell r="E4738" t="str">
            <v>BR_CNPJ</v>
          </cell>
          <cell r="F4738" t="str">
            <v>32.891.991/0001-36</v>
          </cell>
        </row>
        <row r="4739">
          <cell r="A4739">
            <v>40129</v>
          </cell>
          <cell r="B4739" t="str">
            <v>CORPORATION</v>
          </cell>
          <cell r="C4739" t="str">
            <v>Ad Cabos Comercial Ltda</v>
          </cell>
          <cell r="D4739" t="str">
            <v>Andy Cabos</v>
          </cell>
          <cell r="E4739" t="str">
            <v>BR_CNPJ</v>
          </cell>
          <cell r="F4739" t="str">
            <v>11.707.169/0001-00</v>
          </cell>
        </row>
        <row r="4740">
          <cell r="A4740">
            <v>40130</v>
          </cell>
          <cell r="B4740" t="str">
            <v>CORPORATION</v>
          </cell>
          <cell r="C4740" t="str">
            <v>Sbt Instalacoes Eletricas Ltda</v>
          </cell>
          <cell r="D4740" t="str">
            <v>Sbt Instalacoes Eletricas Ltda</v>
          </cell>
          <cell r="E4740" t="str">
            <v>BR_CNPJ</v>
          </cell>
          <cell r="F4740" t="str">
            <v>20.499.881/0001-44</v>
          </cell>
        </row>
        <row r="4741">
          <cell r="A4741">
            <v>40141</v>
          </cell>
          <cell r="B4741" t="str">
            <v>CORPORATION</v>
          </cell>
          <cell r="C4741" t="str">
            <v>Suprimarc - Comercio De Materiais Em Geral Ltda.</v>
          </cell>
          <cell r="D4741" t="str">
            <v>Suprimarc - Comercio De Materiais Em Geral Ltda.</v>
          </cell>
          <cell r="E4741" t="str">
            <v>BR_CNPJ</v>
          </cell>
          <cell r="F4741" t="str">
            <v>50.009.753/0001-36</v>
          </cell>
        </row>
        <row r="4742">
          <cell r="A4742">
            <v>40145</v>
          </cell>
          <cell r="B4742" t="str">
            <v>CORPORATION</v>
          </cell>
          <cell r="C4742" t="str">
            <v>Norma Do R. Oliveira</v>
          </cell>
          <cell r="D4742" t="str">
            <v>Hidromar Eletrica E Hidraulica</v>
          </cell>
          <cell r="E4742" t="str">
            <v>BR_CNPJ</v>
          </cell>
          <cell r="F4742" t="str">
            <v>24.308.300/0001-09</v>
          </cell>
        </row>
        <row r="4743">
          <cell r="A4743">
            <v>40149</v>
          </cell>
          <cell r="B4743" t="str">
            <v>CORPORATION</v>
          </cell>
          <cell r="C4743" t="str">
            <v>Jader Paulo Martins</v>
          </cell>
          <cell r="D4743" t="str">
            <v>Auto Sul</v>
          </cell>
          <cell r="E4743" t="str">
            <v>BR_CNPJ</v>
          </cell>
          <cell r="F4743" t="str">
            <v>25.987.066/0001-48</v>
          </cell>
        </row>
        <row r="4744">
          <cell r="A4744">
            <v>40150</v>
          </cell>
          <cell r="B4744" t="str">
            <v>CORPORATION</v>
          </cell>
          <cell r="C4744" t="str">
            <v>Comercial Dez A Casa Das Ferragens Ltda</v>
          </cell>
          <cell r="D4744" t="str">
            <v>Comercial Dez A Casa Das Ferragens</v>
          </cell>
          <cell r="E4744" t="str">
            <v>BR_CNPJ</v>
          </cell>
          <cell r="F4744" t="str">
            <v>45.987.608/0001-90</v>
          </cell>
        </row>
        <row r="4745">
          <cell r="A4745">
            <v>40158</v>
          </cell>
          <cell r="B4745" t="str">
            <v>CORPORATION</v>
          </cell>
          <cell r="C4745" t="str">
            <v>Central Fort Autopecas Ltda</v>
          </cell>
          <cell r="D4745" t="str">
            <v>Central Fort Distribuicao</v>
          </cell>
          <cell r="E4745" t="str">
            <v>BR_CNPJ</v>
          </cell>
          <cell r="F4745" t="str">
            <v>11.030.227/0001-04</v>
          </cell>
        </row>
        <row r="4746">
          <cell r="A4746">
            <v>40167</v>
          </cell>
          <cell r="B4746" t="str">
            <v>CORPORATION</v>
          </cell>
          <cell r="C4746" t="str">
            <v>Martfer Comercio De Ferramentas Ltda</v>
          </cell>
          <cell r="D4746" t="str">
            <v>Martfer</v>
          </cell>
          <cell r="E4746" t="str">
            <v>BR_CNPJ</v>
          </cell>
          <cell r="F4746" t="str">
            <v>65.640.591/0001-07</v>
          </cell>
        </row>
        <row r="4747">
          <cell r="A4747">
            <v>40171</v>
          </cell>
          <cell r="B4747" t="str">
            <v>CORPORATION</v>
          </cell>
          <cell r="C4747" t="str">
            <v>Maria Isabel Aranha Da Costa</v>
          </cell>
          <cell r="D4747" t="str">
            <v>Maria Isabel Aranha Da Costa</v>
          </cell>
          <cell r="E4747" t="str">
            <v>BR_CNPJ</v>
          </cell>
          <cell r="F4747" t="str">
            <v>27.969.462/0001-78</v>
          </cell>
        </row>
        <row r="4748">
          <cell r="A4748">
            <v>40184</v>
          </cell>
          <cell r="B4748" t="str">
            <v>CORPORATION</v>
          </cell>
          <cell r="C4748" t="str">
            <v>G A Aracruz Locacao De Equipamentos E Maquinas Ltda</v>
          </cell>
          <cell r="D4748" t="str">
            <v>Casa Do Construtor Aluguel De Equipamentos</v>
          </cell>
          <cell r="E4748" t="str">
            <v>BR_CNPJ</v>
          </cell>
          <cell r="F4748" t="str">
            <v>17.764.476/0001-00</v>
          </cell>
          <cell r="G4748" t="str">
            <v>CASA DO CONSTRUTOR ES</v>
          </cell>
        </row>
        <row r="4749">
          <cell r="A4749">
            <v>40188</v>
          </cell>
          <cell r="B4749" t="str">
            <v>CORPORATION</v>
          </cell>
          <cell r="C4749" t="str">
            <v>Es Linhares 2 Locação De Equipamentos Ltda</v>
          </cell>
          <cell r="D4749" t="str">
            <v>Casa Do Construtor</v>
          </cell>
          <cell r="E4749" t="str">
            <v>BR_CNPJ</v>
          </cell>
          <cell r="F4749" t="str">
            <v>46.958.205/0001-85</v>
          </cell>
          <cell r="G4749" t="str">
            <v>CASA DO CONSTRUTOR ES</v>
          </cell>
        </row>
        <row r="4750">
          <cell r="A4750">
            <v>40192</v>
          </cell>
          <cell r="B4750" t="str">
            <v>CORPORATION</v>
          </cell>
          <cell r="C4750" t="str">
            <v>Es Sao Mateus Locacao De Equipamentos Ltda</v>
          </cell>
          <cell r="D4750" t="str">
            <v>Casa Do Construtor 3</v>
          </cell>
          <cell r="E4750" t="str">
            <v>BR_CNPJ</v>
          </cell>
          <cell r="F4750" t="str">
            <v>42.966.050/0001-78</v>
          </cell>
          <cell r="G4750" t="str">
            <v>CASA DO CONSTRUTOR ES</v>
          </cell>
        </row>
        <row r="4751">
          <cell r="A4751">
            <v>40195</v>
          </cell>
          <cell r="B4751" t="str">
            <v>CORPORATION</v>
          </cell>
          <cell r="C4751" t="str">
            <v>Oficinalab - Espaco Do Fazer, Escola E Comercio Ltda</v>
          </cell>
          <cell r="D4751" t="str">
            <v>Oficina Lab</v>
          </cell>
          <cell r="E4751" t="str">
            <v>BR_CNPJ</v>
          </cell>
          <cell r="F4751" t="str">
            <v>21.215.029/0001-60</v>
          </cell>
        </row>
        <row r="4752">
          <cell r="A4752">
            <v>40201</v>
          </cell>
          <cell r="B4752" t="str">
            <v>CORPORATION</v>
          </cell>
          <cell r="C4752" t="str">
            <v>Tucunare Comercial Ltda</v>
          </cell>
          <cell r="D4752" t="str">
            <v>Tucunare Comercial Ltda</v>
          </cell>
          <cell r="E4752" t="str">
            <v>BR_CNPJ</v>
          </cell>
          <cell r="F4752" t="str">
            <v>44.956.670/0001-51</v>
          </cell>
        </row>
        <row r="4753">
          <cell r="A4753">
            <v>40207</v>
          </cell>
          <cell r="B4753" t="str">
            <v>CORPORATION</v>
          </cell>
          <cell r="C4753" t="str">
            <v>Vania Maria Gattini Pinto</v>
          </cell>
          <cell r="D4753" t="str">
            <v>Jc Ferramentas</v>
          </cell>
          <cell r="E4753" t="str">
            <v>BR_CNPJ</v>
          </cell>
          <cell r="F4753" t="str">
            <v>05.353.034/0001-83</v>
          </cell>
        </row>
        <row r="4754">
          <cell r="A4754">
            <v>40219</v>
          </cell>
          <cell r="B4754" t="str">
            <v>CORPORATION</v>
          </cell>
          <cell r="C4754" t="str">
            <v>Gms - Maquinas E Servicos Tecnicos Ltda</v>
          </cell>
          <cell r="D4754" t="str">
            <v>Gms - Maquinas E Servicos Tecnicos Ltda</v>
          </cell>
          <cell r="E4754" t="str">
            <v>BR_CNPJ</v>
          </cell>
          <cell r="F4754" t="str">
            <v>11.168.042/0001-52</v>
          </cell>
        </row>
        <row r="4755">
          <cell r="A4755">
            <v>40224</v>
          </cell>
          <cell r="B4755" t="str">
            <v>CORPORATION</v>
          </cell>
          <cell r="C4755" t="str">
            <v>Bezerra Comércio Atacadista Ltda</v>
          </cell>
          <cell r="D4755" t="str">
            <v>Bezerra Comércio Atacadista Ltda</v>
          </cell>
          <cell r="E4755" t="str">
            <v>BR_CNPJ</v>
          </cell>
          <cell r="F4755" t="str">
            <v>31.206.985/0001-30</v>
          </cell>
        </row>
        <row r="4756">
          <cell r="A4756">
            <v>40231</v>
          </cell>
          <cell r="B4756" t="str">
            <v>CORPORATION</v>
          </cell>
          <cell r="C4756" t="str">
            <v>3m &amp; N Comercio De Serras E Abrasivos Eireli</v>
          </cell>
          <cell r="D4756" t="str">
            <v>Brasil Serras</v>
          </cell>
          <cell r="E4756" t="str">
            <v>BR_CNPJ</v>
          </cell>
          <cell r="F4756" t="str">
            <v>07.858.719/0001-07</v>
          </cell>
        </row>
        <row r="4757">
          <cell r="A4757">
            <v>40239</v>
          </cell>
          <cell r="B4757" t="str">
            <v>CORPORATION</v>
          </cell>
          <cell r="C4757" t="str">
            <v>Inovar Comercio Online De Metais E Ferragens Eireli</v>
          </cell>
          <cell r="D4757" t="str">
            <v>Inovar Metais</v>
          </cell>
          <cell r="E4757" t="str">
            <v>BR_CNPJ</v>
          </cell>
          <cell r="F4757" t="str">
            <v>23.100.120/0001-66</v>
          </cell>
        </row>
        <row r="4758">
          <cell r="A4758">
            <v>40243</v>
          </cell>
          <cell r="B4758" t="str">
            <v>CORPORATION</v>
          </cell>
          <cell r="C4758" t="str">
            <v>Comercio De Cereais Yokotobi Eireli</v>
          </cell>
          <cell r="D4758" t="str">
            <v>Yokotobi</v>
          </cell>
          <cell r="E4758" t="str">
            <v>BR_CNPJ</v>
          </cell>
          <cell r="F4758" t="str">
            <v>11.735.975/0001-84</v>
          </cell>
        </row>
        <row r="4759">
          <cell r="A4759">
            <v>40246</v>
          </cell>
          <cell r="B4759" t="str">
            <v>CORPORATION</v>
          </cell>
          <cell r="C4759" t="str">
            <v>Comercial Ponto Das Tintas E Ferramentas Ltda</v>
          </cell>
          <cell r="D4759" t="str">
            <v>Ponto Das Tintas</v>
          </cell>
          <cell r="E4759" t="str">
            <v>BR_CNPJ</v>
          </cell>
          <cell r="F4759" t="str">
            <v>28.154.080/0001-59</v>
          </cell>
          <cell r="G4759" t="str">
            <v>PONTO DAS TINTAS</v>
          </cell>
        </row>
        <row r="4760">
          <cell r="A4760">
            <v>40251</v>
          </cell>
          <cell r="B4760" t="str">
            <v>CORPORATION</v>
          </cell>
          <cell r="C4760" t="str">
            <v>Solda Aco Comercial Ltda</v>
          </cell>
          <cell r="D4760" t="str">
            <v>Solda Aco Comercial Ltda</v>
          </cell>
          <cell r="E4760" t="str">
            <v>BR_CNPJ</v>
          </cell>
          <cell r="F4760" t="str">
            <v>67.372.052/0001-60</v>
          </cell>
        </row>
        <row r="4761">
          <cell r="A4761">
            <v>40254</v>
          </cell>
          <cell r="B4761" t="str">
            <v>CORPORATION</v>
          </cell>
          <cell r="C4761" t="str">
            <v>R. Canivezi</v>
          </cell>
          <cell r="D4761" t="str">
            <v>Red Ferramentas-Sao Paulo Ferramentas</v>
          </cell>
          <cell r="E4761" t="str">
            <v>BR_CNPJ</v>
          </cell>
          <cell r="F4761" t="str">
            <v>34.499.237/0001-80</v>
          </cell>
        </row>
        <row r="4762">
          <cell r="A4762">
            <v>40259</v>
          </cell>
          <cell r="B4762" t="str">
            <v>CORPORATION</v>
          </cell>
          <cell r="C4762" t="str">
            <v>Barros &amp; Marques Ltda</v>
          </cell>
          <cell r="D4762" t="str">
            <v>Monte Sinai</v>
          </cell>
          <cell r="E4762" t="str">
            <v>BR_CNPJ</v>
          </cell>
          <cell r="F4762" t="str">
            <v>00.836.393/0001-78</v>
          </cell>
        </row>
        <row r="4763">
          <cell r="A4763">
            <v>40260</v>
          </cell>
          <cell r="B4763" t="str">
            <v>CORPORATION</v>
          </cell>
          <cell r="C4763" t="str">
            <v>Vifer Comercio De Ferro E Aco Ltda</v>
          </cell>
          <cell r="D4763" t="str">
            <v>Vifer Comercio De Ferro E Aco Ltda</v>
          </cell>
          <cell r="E4763" t="str">
            <v>BR_CNPJ</v>
          </cell>
          <cell r="F4763" t="str">
            <v>39.506.848/0001-22</v>
          </cell>
        </row>
        <row r="4764">
          <cell r="A4764">
            <v>40261</v>
          </cell>
          <cell r="B4764" t="str">
            <v>CORPORATION</v>
          </cell>
          <cell r="C4764" t="str">
            <v>Krambeck Comercio De Autopecas Ltda</v>
          </cell>
          <cell r="D4764" t="str">
            <v>Krambeck Auto Pecas E Tintas</v>
          </cell>
          <cell r="E4764" t="str">
            <v>BR_CNPJ</v>
          </cell>
          <cell r="F4764" t="str">
            <v>75.791.368/0001-14</v>
          </cell>
        </row>
        <row r="4765">
          <cell r="A4765">
            <v>40262</v>
          </cell>
          <cell r="B4765" t="str">
            <v>CORPORATION</v>
          </cell>
          <cell r="C4765" t="str">
            <v>Jn Comercio De Ferramentas Eireli</v>
          </cell>
          <cell r="D4765" t="str">
            <v>Jn Tidão</v>
          </cell>
          <cell r="E4765" t="str">
            <v>BR_CNPJ</v>
          </cell>
          <cell r="F4765" t="str">
            <v>31.512.276/0001-82</v>
          </cell>
          <cell r="G4765" t="str">
            <v>TIDAO</v>
          </cell>
        </row>
        <row r="4766">
          <cell r="A4766">
            <v>40267</v>
          </cell>
          <cell r="B4766" t="str">
            <v>CORPORATION</v>
          </cell>
          <cell r="C4766" t="str">
            <v>Produtiva Produtos Agricola Ltda</v>
          </cell>
          <cell r="D4766" t="str">
            <v>Produtiva Produtos Agricola Ltda</v>
          </cell>
          <cell r="E4766" t="str">
            <v>BR_CNPJ</v>
          </cell>
          <cell r="F4766" t="str">
            <v>12.403.336/0001-84</v>
          </cell>
        </row>
        <row r="4767">
          <cell r="A4767">
            <v>40268</v>
          </cell>
          <cell r="B4767" t="str">
            <v>CORPORATION</v>
          </cell>
          <cell r="C4767" t="str">
            <v>Suzanfix Comercio De Utilidades E Magazine Ltda.</v>
          </cell>
          <cell r="D4767" t="str">
            <v>Suzanfix</v>
          </cell>
          <cell r="E4767" t="str">
            <v>BR_CNPJ</v>
          </cell>
          <cell r="F4767" t="str">
            <v>28.256.405/0001-04</v>
          </cell>
        </row>
        <row r="4768">
          <cell r="A4768">
            <v>40271</v>
          </cell>
          <cell r="B4768" t="str">
            <v>CORPORATION</v>
          </cell>
          <cell r="C4768" t="str">
            <v>Jli Comercio Atacadista E Varejista Eireli</v>
          </cell>
          <cell r="D4768" t="str">
            <v>Comercial Jli</v>
          </cell>
          <cell r="E4768" t="str">
            <v>BR_CNPJ</v>
          </cell>
          <cell r="F4768" t="str">
            <v>17.953.395/0001-40</v>
          </cell>
        </row>
        <row r="4769">
          <cell r="A4769">
            <v>40276</v>
          </cell>
          <cell r="B4769" t="str">
            <v>CORPORATION</v>
          </cell>
          <cell r="C4769" t="str">
            <v>Manoel Da Vera Cruz Silva Nascimento</v>
          </cell>
          <cell r="D4769" t="str">
            <v>So Trelicas Marilu</v>
          </cell>
          <cell r="E4769" t="str">
            <v>BR_CNPJ</v>
          </cell>
          <cell r="F4769" t="str">
            <v>11.801.006/0001-84</v>
          </cell>
        </row>
        <row r="4770">
          <cell r="A4770">
            <v>40278</v>
          </cell>
          <cell r="B4770" t="str">
            <v>CORPORATION</v>
          </cell>
          <cell r="C4770" t="str">
            <v>Merconorte Distribuidora De Ferragens Ltda</v>
          </cell>
          <cell r="D4770" t="str">
            <v>Machadao</v>
          </cell>
          <cell r="E4770" t="str">
            <v>BR_CNPJ</v>
          </cell>
          <cell r="F4770" t="str">
            <v>10.779.165/0003-29</v>
          </cell>
          <cell r="G4770" t="str">
            <v>MACHADÃO</v>
          </cell>
        </row>
        <row r="4771">
          <cell r="A4771">
            <v>40280</v>
          </cell>
          <cell r="B4771" t="str">
            <v>CORPORATION</v>
          </cell>
          <cell r="C4771" t="str">
            <v>M D Camargos Ltda</v>
          </cell>
          <cell r="D4771" t="str">
            <v>Motores E Compressores Camargos</v>
          </cell>
          <cell r="E4771" t="str">
            <v>BR_CNPJ</v>
          </cell>
          <cell r="F4771" t="str">
            <v>44.212.642/0001-20</v>
          </cell>
        </row>
        <row r="4772">
          <cell r="A4772">
            <v>40282</v>
          </cell>
          <cell r="B4772" t="str">
            <v>CORPORATION</v>
          </cell>
          <cell r="C4772" t="str">
            <v>Weslany De Castro Santiago Menezes Eireli</v>
          </cell>
          <cell r="D4772" t="str">
            <v>Nova Oeste Forte</v>
          </cell>
          <cell r="E4772" t="str">
            <v>BR_CNPJ</v>
          </cell>
          <cell r="F4772" t="str">
            <v>32.901.885/0001-96</v>
          </cell>
          <cell r="G4772" t="str">
            <v>OESTE FORTE</v>
          </cell>
        </row>
        <row r="4773">
          <cell r="A4773">
            <v>40283</v>
          </cell>
          <cell r="B4773" t="str">
            <v>CORPORATION</v>
          </cell>
          <cell r="C4773" t="str">
            <v>A3f Ltda.</v>
          </cell>
          <cell r="D4773" t="str">
            <v>Intense 3</v>
          </cell>
          <cell r="E4773" t="str">
            <v>BR_CNPJ</v>
          </cell>
          <cell r="F4773" t="str">
            <v>31.523.999/0001-87</v>
          </cell>
        </row>
        <row r="4774">
          <cell r="A4774">
            <v>40284</v>
          </cell>
          <cell r="B4774" t="str">
            <v>CORPORATION</v>
          </cell>
          <cell r="C4774" t="str">
            <v>Garotinhos Material De Construcao Ltda</v>
          </cell>
          <cell r="D4774" t="str">
            <v>Material De Construcao Garotinhos</v>
          </cell>
          <cell r="E4774" t="str">
            <v>BR_CNPJ</v>
          </cell>
          <cell r="F4774" t="str">
            <v>05.568.172/0001-80</v>
          </cell>
        </row>
        <row r="4775">
          <cell r="A4775">
            <v>40285</v>
          </cell>
          <cell r="B4775" t="str">
            <v>CORPORATION</v>
          </cell>
          <cell r="C4775" t="str">
            <v>F-Tools Comercio De Ferramentas Especiais Ltda</v>
          </cell>
          <cell r="D4775" t="str">
            <v>F Tools Solucoes Em Ferramentas</v>
          </cell>
          <cell r="E4775" t="str">
            <v>BR_CNPJ</v>
          </cell>
          <cell r="F4775" t="str">
            <v>49.058.892/0001-70</v>
          </cell>
        </row>
        <row r="4776">
          <cell r="A4776">
            <v>40286</v>
          </cell>
          <cell r="B4776" t="str">
            <v>CORPORATION</v>
          </cell>
          <cell r="C4776" t="str">
            <v>R. R. M. De Almeida Eireli</v>
          </cell>
          <cell r="D4776" t="str">
            <v>Moraes Motores</v>
          </cell>
          <cell r="E4776" t="str">
            <v>BR_CNPJ</v>
          </cell>
          <cell r="F4776" t="str">
            <v>08.983.334/0001-34</v>
          </cell>
        </row>
        <row r="4777">
          <cell r="A4777">
            <v>40289</v>
          </cell>
          <cell r="B4777" t="str">
            <v>CORPORATION</v>
          </cell>
          <cell r="C4777" t="str">
            <v>Gennaro Confuorto Ferragens Ltda</v>
          </cell>
          <cell r="D4777" t="str">
            <v>Gennaro Confuorto Ferragens</v>
          </cell>
          <cell r="E4777" t="str">
            <v>BR_CNPJ</v>
          </cell>
          <cell r="F4777" t="str">
            <v>62.948.914/0001-36</v>
          </cell>
        </row>
        <row r="4778">
          <cell r="A4778">
            <v>40291</v>
          </cell>
          <cell r="B4778" t="str">
            <v>CORPORATION</v>
          </cell>
          <cell r="C4778" t="str">
            <v>Amarildo Pereira Auto Pecas</v>
          </cell>
          <cell r="D4778" t="str">
            <v>Auto Pecas Canoeiro</v>
          </cell>
          <cell r="E4778" t="str">
            <v>BR_CNPJ</v>
          </cell>
          <cell r="F4778" t="str">
            <v>03.347.171/0001-80</v>
          </cell>
        </row>
        <row r="4779">
          <cell r="A4779">
            <v>40295</v>
          </cell>
          <cell r="B4779" t="str">
            <v>CORPORATION</v>
          </cell>
          <cell r="C4779" t="str">
            <v>Classe A Comercio De Transformadores Ltda</v>
          </cell>
          <cell r="D4779" t="str">
            <v>Classe A Transformadores</v>
          </cell>
          <cell r="E4779" t="str">
            <v>BR_CNPJ</v>
          </cell>
          <cell r="F4779" t="str">
            <v>34.143.170/0001-47</v>
          </cell>
        </row>
        <row r="4780">
          <cell r="A4780">
            <v>40303</v>
          </cell>
          <cell r="B4780" t="str">
            <v>CORPORATION</v>
          </cell>
          <cell r="C4780" t="str">
            <v>Lustosa &amp; Sobreira Ltda</v>
          </cell>
          <cell r="D4780" t="str">
            <v>Construtora Gurupi</v>
          </cell>
          <cell r="E4780" t="str">
            <v>BR_CNPJ</v>
          </cell>
          <cell r="F4780" t="str">
            <v>15.750.102/0001-00</v>
          </cell>
        </row>
        <row r="4781">
          <cell r="A4781">
            <v>40308</v>
          </cell>
          <cell r="B4781" t="str">
            <v>CORPORATION</v>
          </cell>
          <cell r="C4781" t="str">
            <v>Ajxt Barbosa</v>
          </cell>
          <cell r="D4781" t="str">
            <v>Pimenta (America)</v>
          </cell>
          <cell r="E4781" t="str">
            <v>BR_CNPJ</v>
          </cell>
          <cell r="F4781" t="str">
            <v>35.162.062/0001-84</v>
          </cell>
          <cell r="G4781" t="str">
            <v>PIMENTA</v>
          </cell>
        </row>
        <row r="4782">
          <cell r="A4782">
            <v>40311</v>
          </cell>
          <cell r="B4782" t="str">
            <v>CORPORATION</v>
          </cell>
          <cell r="C4782" t="str">
            <v>Nova2d Comercio De Ferramentas E Fixadores Ltda</v>
          </cell>
          <cell r="D4782" t="str">
            <v>Nova2d</v>
          </cell>
          <cell r="E4782" t="str">
            <v>BR_CNPJ</v>
          </cell>
          <cell r="F4782" t="str">
            <v>21.373.988/0001-04</v>
          </cell>
        </row>
        <row r="4783">
          <cell r="A4783">
            <v>40314</v>
          </cell>
          <cell r="B4783" t="str">
            <v>CORPORATION</v>
          </cell>
          <cell r="C4783" t="str">
            <v>Roberto Bolognesi</v>
          </cell>
          <cell r="D4783" t="str">
            <v>Roda Livre</v>
          </cell>
          <cell r="E4783" t="str">
            <v>BR_CNPJ</v>
          </cell>
          <cell r="F4783" t="str">
            <v>55.824.114/0001-48</v>
          </cell>
        </row>
        <row r="4784">
          <cell r="A4784">
            <v>40327</v>
          </cell>
          <cell r="B4784" t="str">
            <v>CORPORATION</v>
          </cell>
          <cell r="C4784" t="str">
            <v>Soroflex Comercial De Borrachas Industriais Ltda</v>
          </cell>
          <cell r="D4784" t="str">
            <v>Soroflex Comercial De Borrachas Industriais Ltda</v>
          </cell>
          <cell r="E4784" t="str">
            <v>BR_CNPJ</v>
          </cell>
          <cell r="F4784" t="str">
            <v>62.176.201/0001-00</v>
          </cell>
        </row>
        <row r="4785">
          <cell r="A4785">
            <v>40329</v>
          </cell>
          <cell r="B4785" t="str">
            <v>CORPORATION</v>
          </cell>
          <cell r="C4785" t="str">
            <v>Ferrablu Ferramentas Blumenau Ltda</v>
          </cell>
          <cell r="D4785" t="str">
            <v>Suavi</v>
          </cell>
          <cell r="E4785" t="str">
            <v>BR_CNPJ</v>
          </cell>
          <cell r="F4785" t="str">
            <v>25.177.116/0001-21</v>
          </cell>
          <cell r="G4785" t="str">
            <v>SUAVI</v>
          </cell>
        </row>
        <row r="4786">
          <cell r="A4786">
            <v>40330</v>
          </cell>
          <cell r="B4786" t="str">
            <v>CORPORATION</v>
          </cell>
          <cell r="C4786" t="str">
            <v>Cooperativa Dos Plantadores De Cana Do Estado Sao Paulo</v>
          </cell>
          <cell r="D4786" t="str">
            <v>Coplacana (Rio Claro)</v>
          </cell>
          <cell r="E4786" t="str">
            <v>BR_CNPJ</v>
          </cell>
          <cell r="F4786" t="str">
            <v>54.366.547/0012-97</v>
          </cell>
          <cell r="G4786" t="str">
            <v>COPLACANA</v>
          </cell>
        </row>
        <row r="4787">
          <cell r="A4787">
            <v>40331</v>
          </cell>
          <cell r="B4787" t="str">
            <v>CORPORATION</v>
          </cell>
          <cell r="C4787" t="str">
            <v>Gurgelmix Maquinas E Ferramentas S.A.</v>
          </cell>
          <cell r="D4787" t="str">
            <v>Loja Do Mecanico (Betim)</v>
          </cell>
          <cell r="E4787" t="str">
            <v>BR_CNPJ</v>
          </cell>
          <cell r="F4787" t="str">
            <v>29.302.348/0010-06</v>
          </cell>
          <cell r="G4787" t="str">
            <v>GURGEL</v>
          </cell>
        </row>
        <row r="4788">
          <cell r="A4788">
            <v>40332</v>
          </cell>
          <cell r="B4788" t="str">
            <v>CORPORATION</v>
          </cell>
          <cell r="C4788" t="str">
            <v>Vinicius Da Rocha Santiago</v>
          </cell>
          <cell r="D4788" t="str">
            <v>Rio Verde Materiais</v>
          </cell>
          <cell r="E4788" t="str">
            <v>BR_CNPJ</v>
          </cell>
          <cell r="F4788" t="str">
            <v>07.889.022/0001-01</v>
          </cell>
        </row>
        <row r="4789">
          <cell r="A4789">
            <v>40335</v>
          </cell>
          <cell r="B4789" t="str">
            <v>CORPORATION</v>
          </cell>
          <cell r="C4789" t="str">
            <v>Americo Center Materiais Para Construcao Eireli</v>
          </cell>
          <cell r="D4789" t="str">
            <v>Americo Center</v>
          </cell>
          <cell r="E4789" t="str">
            <v>BR_CNPJ</v>
          </cell>
          <cell r="F4789" t="str">
            <v>69.192.961/0001-41</v>
          </cell>
        </row>
        <row r="4790">
          <cell r="A4790">
            <v>40338</v>
          </cell>
          <cell r="B4790" t="str">
            <v>CORPORATION</v>
          </cell>
          <cell r="C4790" t="str">
            <v>Fremacchi Comercio De Pecas Hidraulicas Eletricas E Ferramentas Ltda</v>
          </cell>
          <cell r="D4790" t="str">
            <v>Fremacchi</v>
          </cell>
          <cell r="E4790" t="str">
            <v>BR_CNPJ</v>
          </cell>
          <cell r="F4790" t="str">
            <v>03.661.284/0001-55</v>
          </cell>
        </row>
        <row r="4791">
          <cell r="A4791">
            <v>40341</v>
          </cell>
          <cell r="B4791" t="str">
            <v>CORPORATION</v>
          </cell>
          <cell r="C4791" t="str">
            <v>Romildo De Oliveira Martins 09111752882</v>
          </cell>
          <cell r="D4791" t="str">
            <v>Oxi Vitor</v>
          </cell>
          <cell r="E4791" t="str">
            <v>BR_CNPJ</v>
          </cell>
          <cell r="F4791" t="str">
            <v>31.967.095/0001-40</v>
          </cell>
        </row>
        <row r="4792">
          <cell r="A4792">
            <v>40343</v>
          </cell>
          <cell r="B4792" t="str">
            <v>CORPORATION</v>
          </cell>
          <cell r="C4792" t="str">
            <v>Sebastiao Pereira Da Silva 74648039653</v>
          </cell>
          <cell r="D4792" t="str">
            <v>Comercial 2 Irmaos</v>
          </cell>
          <cell r="E4792" t="str">
            <v>BR_CNPJ</v>
          </cell>
          <cell r="F4792" t="str">
            <v>27.691.478/0001-61</v>
          </cell>
        </row>
        <row r="4793">
          <cell r="A4793">
            <v>40348</v>
          </cell>
          <cell r="B4793" t="str">
            <v>CORPORATION</v>
          </cell>
          <cell r="C4793" t="str">
            <v>Oficial Web Comercial Ltda</v>
          </cell>
          <cell r="D4793" t="str">
            <v>Oficial Web Comercial</v>
          </cell>
          <cell r="E4793" t="str">
            <v>BR_CNPJ</v>
          </cell>
          <cell r="F4793" t="str">
            <v>28.363.983/0001-40</v>
          </cell>
        </row>
        <row r="4794">
          <cell r="A4794">
            <v>40349</v>
          </cell>
          <cell r="B4794" t="str">
            <v>CORPORATION</v>
          </cell>
          <cell r="C4794" t="str">
            <v>Acos Granjo Comercial Ltda</v>
          </cell>
          <cell r="D4794" t="str">
            <v>Acos Granjo Comercial Ltda</v>
          </cell>
          <cell r="E4794" t="str">
            <v>BR_CNPJ</v>
          </cell>
          <cell r="F4794" t="str">
            <v>72.842.685/0001-24</v>
          </cell>
          <cell r="G4794" t="str">
            <v>AÇO GRANJO/ BRANGAFER</v>
          </cell>
        </row>
        <row r="4795">
          <cell r="A4795">
            <v>40354</v>
          </cell>
          <cell r="B4795" t="str">
            <v>CORPORATION</v>
          </cell>
          <cell r="C4795" t="str">
            <v>A. Martins Freire</v>
          </cell>
          <cell r="D4795" t="str">
            <v>Elinco Assistencia Tecnica</v>
          </cell>
          <cell r="E4795" t="str">
            <v>BR_CNPJ</v>
          </cell>
          <cell r="F4795" t="str">
            <v>05.878.461/0001-85</v>
          </cell>
        </row>
        <row r="4796">
          <cell r="A4796">
            <v>40383</v>
          </cell>
          <cell r="B4796" t="str">
            <v>CORPORATION</v>
          </cell>
          <cell r="C4796" t="str">
            <v>Aurora Da Cruz Gomes 06082909631</v>
          </cell>
          <cell r="D4796" t="str">
            <v>Aurora Da Cruz Gomes</v>
          </cell>
          <cell r="E4796" t="str">
            <v>BR_CNPJ</v>
          </cell>
          <cell r="F4796" t="str">
            <v>15.124.875/0001-72</v>
          </cell>
        </row>
        <row r="4797">
          <cell r="A4797">
            <v>40387</v>
          </cell>
          <cell r="B4797" t="str">
            <v>CORPORATION</v>
          </cell>
          <cell r="C4797" t="str">
            <v>Bw Comercio Varejista De Materiais De Construcao Eireli</v>
          </cell>
          <cell r="D4797" t="str">
            <v>Bw Casa &amp; Construcao</v>
          </cell>
          <cell r="E4797" t="str">
            <v>BR_CNPJ</v>
          </cell>
          <cell r="F4797" t="str">
            <v>34.467.706/0001-80</v>
          </cell>
          <cell r="G4797" t="str">
            <v>W T</v>
          </cell>
        </row>
        <row r="4798">
          <cell r="A4798">
            <v>40389</v>
          </cell>
          <cell r="B4798" t="str">
            <v>CORPORATION</v>
          </cell>
          <cell r="C4798" t="str">
            <v>Belinao Comercio De Ferramentas Ltda-Me</v>
          </cell>
          <cell r="D4798" t="str">
            <v>Belinao Comercio De Ferramentas Ltda-Me</v>
          </cell>
          <cell r="E4798" t="str">
            <v>BR_CNPJ</v>
          </cell>
          <cell r="F4798" t="str">
            <v>09.049.970/0001-56</v>
          </cell>
        </row>
        <row r="4799">
          <cell r="A4799">
            <v>40394</v>
          </cell>
          <cell r="B4799" t="str">
            <v>CORPORATION</v>
          </cell>
          <cell r="C4799" t="str">
            <v>Soldaminas Comercio E Distribuicao Ltda</v>
          </cell>
          <cell r="D4799" t="str">
            <v>Soldaminas Comercio</v>
          </cell>
          <cell r="E4799" t="str">
            <v>BR_CNPJ</v>
          </cell>
          <cell r="F4799" t="str">
            <v>24.384.816/0001-24</v>
          </cell>
        </row>
        <row r="4800">
          <cell r="A4800">
            <v>40405</v>
          </cell>
          <cell r="B4800" t="str">
            <v>CORPORATION</v>
          </cell>
          <cell r="C4800" t="str">
            <v>R K Comercial E Varejista De Ferragens Ltda</v>
          </cell>
          <cell r="D4800" t="str">
            <v>Comercial Teixeira</v>
          </cell>
          <cell r="E4800" t="str">
            <v>BR_CNPJ</v>
          </cell>
          <cell r="F4800" t="str">
            <v>09.304.576/0001-17</v>
          </cell>
          <cell r="G4800" t="str">
            <v>COMERCIAL TEIXEIRA</v>
          </cell>
        </row>
        <row r="4801">
          <cell r="A4801">
            <v>40408</v>
          </cell>
          <cell r="B4801" t="str">
            <v>CORPORATION</v>
          </cell>
          <cell r="C4801" t="str">
            <v>Gbl Comercio De Ferramentas Ltda</v>
          </cell>
          <cell r="D4801" t="str">
            <v>Gbl Industrial</v>
          </cell>
          <cell r="E4801" t="str">
            <v>BR_CNPJ</v>
          </cell>
          <cell r="F4801" t="str">
            <v>33.487.816/0001-40</v>
          </cell>
        </row>
        <row r="4802">
          <cell r="A4802">
            <v>40425</v>
          </cell>
          <cell r="B4802" t="str">
            <v>CORPORATION</v>
          </cell>
          <cell r="C4802" t="str">
            <v>Indoxi - Equipamentos E Gases Industriais Ltda</v>
          </cell>
          <cell r="D4802" t="str">
            <v>Indoxi - Equipamentos E Gases Industriais</v>
          </cell>
          <cell r="E4802" t="str">
            <v>BR_CNPJ</v>
          </cell>
          <cell r="F4802" t="str">
            <v>60.201.340/0001-02</v>
          </cell>
        </row>
        <row r="4803">
          <cell r="A4803">
            <v>40430</v>
          </cell>
          <cell r="B4803" t="str">
            <v>CORPORATION</v>
          </cell>
          <cell r="C4803" t="str">
            <v>Ss Filhos Industria E Comercio De Correntes Ltda</v>
          </cell>
          <cell r="D4803" t="str">
            <v>Ss Filhos Industria E Comercio De Correntes Ltda</v>
          </cell>
          <cell r="E4803" t="str">
            <v>BR_CNPJ</v>
          </cell>
          <cell r="F4803" t="str">
            <v>22.857.493/0001-13</v>
          </cell>
        </row>
        <row r="4804">
          <cell r="A4804">
            <v>40433</v>
          </cell>
          <cell r="B4804" t="str">
            <v>CORPORATION</v>
          </cell>
          <cell r="C4804" t="str">
            <v>Ferplus Ferramentas E Equipamentos Ltda</v>
          </cell>
          <cell r="D4804" t="str">
            <v>Ferplus Ferramentas</v>
          </cell>
          <cell r="E4804" t="str">
            <v>BR_CNPJ</v>
          </cell>
          <cell r="F4804" t="str">
            <v>30.657.312/0001-33</v>
          </cell>
        </row>
        <row r="4805">
          <cell r="A4805">
            <v>40434</v>
          </cell>
          <cell r="B4805" t="str">
            <v>CORPORATION</v>
          </cell>
          <cell r="C4805" t="str">
            <v>Carnelos Pecas E Servicos Para Veiculos Eireli</v>
          </cell>
          <cell r="D4805" t="str">
            <v>Retifica Projeto</v>
          </cell>
          <cell r="E4805" t="str">
            <v>BR_CNPJ</v>
          </cell>
          <cell r="F4805" t="str">
            <v>10.977.491/0001-89</v>
          </cell>
        </row>
        <row r="4806">
          <cell r="A4806">
            <v>40449</v>
          </cell>
          <cell r="B4806" t="str">
            <v>CORPORATION</v>
          </cell>
          <cell r="C4806" t="str">
            <v>Ferragista J. Ferreira Ltda</v>
          </cell>
          <cell r="D4806" t="str">
            <v>Ferragista Ferreira</v>
          </cell>
          <cell r="E4806" t="str">
            <v>BR_CNPJ</v>
          </cell>
          <cell r="F4806" t="str">
            <v>02.172.621/0001-88</v>
          </cell>
        </row>
        <row r="4807">
          <cell r="A4807">
            <v>40450</v>
          </cell>
          <cell r="B4807" t="str">
            <v>CORPORATION</v>
          </cell>
          <cell r="C4807" t="str">
            <v>M.A.D De Sousa</v>
          </cell>
          <cell r="D4807" t="str">
            <v>Md Soldas</v>
          </cell>
          <cell r="E4807" t="str">
            <v>BR_CNPJ</v>
          </cell>
          <cell r="F4807" t="str">
            <v>32.854.068/0001-24</v>
          </cell>
        </row>
        <row r="4808">
          <cell r="A4808">
            <v>40453</v>
          </cell>
          <cell r="B4808" t="str">
            <v>CORPORATION</v>
          </cell>
          <cell r="C4808" t="str">
            <v>Thiago Bernardo Guerra</v>
          </cell>
          <cell r="D4808" t="str">
            <v>Casa Das Ferramentas</v>
          </cell>
          <cell r="E4808" t="str">
            <v>BR_CNPJ</v>
          </cell>
          <cell r="F4808" t="str">
            <v>23.036.698/0001-09</v>
          </cell>
          <cell r="G4808" t="str">
            <v>CASA DAS FERRAMENTAS</v>
          </cell>
        </row>
        <row r="4809">
          <cell r="A4809">
            <v>40457</v>
          </cell>
          <cell r="B4809" t="str">
            <v>CORPORATION</v>
          </cell>
          <cell r="C4809" t="str">
            <v>Amaral E Zanini Materiais Para Construção</v>
          </cell>
          <cell r="D4809" t="str">
            <v>Heraldo Materiais P/Construção</v>
          </cell>
          <cell r="E4809" t="str">
            <v>BR_CNPJ</v>
          </cell>
          <cell r="F4809" t="str">
            <v>07.677.356/0001-03</v>
          </cell>
        </row>
        <row r="4810">
          <cell r="A4810">
            <v>40458</v>
          </cell>
          <cell r="B4810" t="str">
            <v>CORPORATION</v>
          </cell>
          <cell r="C4810" t="str">
            <v>Caue Marino Amaral 43097785850</v>
          </cell>
          <cell r="D4810" t="str">
            <v>Level One Web</v>
          </cell>
          <cell r="E4810" t="str">
            <v>BR_CNPJ</v>
          </cell>
          <cell r="F4810" t="str">
            <v>30.816.427/0001-23</v>
          </cell>
        </row>
        <row r="4811">
          <cell r="A4811">
            <v>40476</v>
          </cell>
          <cell r="B4811" t="str">
            <v>CORPORATION</v>
          </cell>
          <cell r="C4811" t="str">
            <v>Maxxipar Distribuidora De Ferramentas E Parafusos Ltda</v>
          </cell>
          <cell r="D4811" t="str">
            <v>Maxxipar</v>
          </cell>
          <cell r="E4811" t="str">
            <v>BR_CNPJ</v>
          </cell>
          <cell r="F4811" t="str">
            <v>19.617.267/0001-50</v>
          </cell>
        </row>
        <row r="4812">
          <cell r="A4812">
            <v>40483</v>
          </cell>
          <cell r="B4812" t="str">
            <v>CORPORATION</v>
          </cell>
          <cell r="C4812" t="str">
            <v>Moraes Sousa Ltda</v>
          </cell>
          <cell r="D4812" t="str">
            <v>Painha Comercio Para Serralheria</v>
          </cell>
          <cell r="E4812" t="str">
            <v>BR_CNPJ</v>
          </cell>
          <cell r="F4812" t="str">
            <v>47.767.221/0001-53</v>
          </cell>
        </row>
        <row r="4813">
          <cell r="A4813">
            <v>40493</v>
          </cell>
          <cell r="B4813" t="str">
            <v>CORPORATION</v>
          </cell>
          <cell r="C4813" t="str">
            <v>Real Mangueiras, Comercio A Varejo, Servicos E Manutencao Ltda</v>
          </cell>
          <cell r="D4813" t="str">
            <v>Rm Real Mangueiras</v>
          </cell>
          <cell r="E4813" t="str">
            <v>BR_CNPJ</v>
          </cell>
          <cell r="F4813" t="str">
            <v>26.846.598/0001-28</v>
          </cell>
        </row>
        <row r="4814">
          <cell r="A4814">
            <v>40495</v>
          </cell>
          <cell r="B4814" t="str">
            <v>CORPORATION</v>
          </cell>
          <cell r="C4814" t="str">
            <v>Fabiano Tadeu De Oliveira 31496554809</v>
          </cell>
          <cell r="D4814" t="str">
            <v>Franoliver</v>
          </cell>
          <cell r="E4814" t="str">
            <v>BR_CNPJ</v>
          </cell>
          <cell r="F4814" t="str">
            <v>27.081.027/0001-02</v>
          </cell>
        </row>
        <row r="4815">
          <cell r="A4815">
            <v>40496</v>
          </cell>
          <cell r="B4815" t="str">
            <v>CORPORATION</v>
          </cell>
          <cell r="C4815" t="str">
            <v>Ultra Indaia Comercio E Distribuidora De Lubrificantes Eireli</v>
          </cell>
          <cell r="D4815" t="str">
            <v>Ultra Indaia</v>
          </cell>
          <cell r="E4815" t="str">
            <v>BR_CNPJ</v>
          </cell>
          <cell r="F4815" t="str">
            <v>27.488.959/0001-74</v>
          </cell>
        </row>
        <row r="4816">
          <cell r="A4816">
            <v>40500</v>
          </cell>
          <cell r="B4816" t="str">
            <v>CORPORATION</v>
          </cell>
          <cell r="C4816" t="str">
            <v>Integracao Rural Comercio De Produtos Agropecuarios Ltda</v>
          </cell>
          <cell r="D4816" t="str">
            <v>Integracao Rural Comercio De Produtos Agropecuarios Ltda</v>
          </cell>
          <cell r="E4816" t="str">
            <v>BR_CNPJ</v>
          </cell>
          <cell r="F4816" t="str">
            <v>09.456.055/0002-66</v>
          </cell>
        </row>
        <row r="4817">
          <cell r="A4817">
            <v>40501</v>
          </cell>
          <cell r="B4817" t="str">
            <v>CORPORATION</v>
          </cell>
          <cell r="C4817" t="str">
            <v>Porcel Comercio De Materiais Para Construcao Ltda</v>
          </cell>
          <cell r="D4817" t="str">
            <v>Porcel Comercio De Materiais Para Construcao</v>
          </cell>
          <cell r="E4817" t="str">
            <v>BR_CNPJ</v>
          </cell>
          <cell r="F4817" t="str">
            <v>14.835.878/0001-51</v>
          </cell>
        </row>
        <row r="4818">
          <cell r="A4818">
            <v>40504</v>
          </cell>
          <cell r="B4818" t="str">
            <v>CORPORATION</v>
          </cell>
          <cell r="C4818" t="str">
            <v>Casta Ferragens E Ferramentas Ltda</v>
          </cell>
          <cell r="D4818" t="str">
            <v>Casta Ferragens E Ferramentas</v>
          </cell>
          <cell r="E4818" t="str">
            <v>BR_CNPJ</v>
          </cell>
          <cell r="F4818" t="str">
            <v>46.448.438/0001-38</v>
          </cell>
        </row>
        <row r="4819">
          <cell r="A4819">
            <v>40507</v>
          </cell>
          <cell r="B4819" t="str">
            <v>CORPORATION</v>
          </cell>
          <cell r="C4819" t="str">
            <v>Seven Glass Store Ltda</v>
          </cell>
          <cell r="D4819" t="str">
            <v>Seven Glass</v>
          </cell>
          <cell r="E4819" t="str">
            <v>BR_CNPJ</v>
          </cell>
          <cell r="F4819" t="str">
            <v>25.273.443/0001-87</v>
          </cell>
        </row>
        <row r="4820">
          <cell r="A4820">
            <v>40518</v>
          </cell>
          <cell r="B4820" t="str">
            <v>CORPORATION</v>
          </cell>
          <cell r="C4820" t="str">
            <v>Joao De Deus De Lima</v>
          </cell>
          <cell r="D4820" t="str">
            <v>Comercial Lima</v>
          </cell>
          <cell r="E4820" t="str">
            <v>BR_CNPJ</v>
          </cell>
          <cell r="F4820" t="str">
            <v>07.628.884/0001-72</v>
          </cell>
        </row>
        <row r="4821">
          <cell r="A4821">
            <v>40521</v>
          </cell>
          <cell r="B4821" t="str">
            <v>CORPORATION</v>
          </cell>
          <cell r="C4821" t="str">
            <v>Maristela Valverde De Santana Magalhaes</v>
          </cell>
          <cell r="D4821" t="str">
            <v>Distribuidora Favoritaa</v>
          </cell>
          <cell r="E4821" t="str">
            <v>BR_CNPJ</v>
          </cell>
          <cell r="F4821" t="str">
            <v>16.594.895/0001-70</v>
          </cell>
        </row>
        <row r="4822">
          <cell r="A4822">
            <v>40525</v>
          </cell>
          <cell r="B4822" t="str">
            <v>CORPORATION</v>
          </cell>
          <cell r="C4822" t="str">
            <v>Soldafer Abrasivos E Maquinas Ltda</v>
          </cell>
          <cell r="D4822" t="str">
            <v>Soldafer Abrasivos E Maquinas Ltda</v>
          </cell>
          <cell r="E4822" t="str">
            <v>BR_CNPJ</v>
          </cell>
          <cell r="F4822" t="str">
            <v>17.350.343/0001-89</v>
          </cell>
          <cell r="G4822" t="str">
            <v>SOLDAFER ES</v>
          </cell>
        </row>
        <row r="4823">
          <cell r="A4823">
            <v>40529</v>
          </cell>
          <cell r="B4823" t="str">
            <v>CORPORATION</v>
          </cell>
          <cell r="C4823" t="str">
            <v>Serrasoldas Ferramentas E Epi'S Ltda</v>
          </cell>
          <cell r="D4823" t="str">
            <v>Serrasoldas Ferramentas (Soldafer)</v>
          </cell>
          <cell r="E4823" t="str">
            <v>BR_CNPJ</v>
          </cell>
          <cell r="F4823" t="str">
            <v>41.881.793/0001-82</v>
          </cell>
          <cell r="G4823" t="str">
            <v>SOLDAFER ES</v>
          </cell>
        </row>
        <row r="4824">
          <cell r="A4824">
            <v>40531</v>
          </cell>
          <cell r="B4824" t="str">
            <v>CORPORATION</v>
          </cell>
          <cell r="C4824" t="str">
            <v>Castagnetti Ferragens E Ferramentas Ltda</v>
          </cell>
          <cell r="D4824" t="str">
            <v>Casa Das Ferramentas</v>
          </cell>
          <cell r="E4824" t="str">
            <v>BR_CNPJ</v>
          </cell>
          <cell r="F4824" t="str">
            <v>11.059.087/0001-99</v>
          </cell>
        </row>
        <row r="4825">
          <cell r="A4825">
            <v>40534</v>
          </cell>
          <cell r="B4825" t="str">
            <v>CORPORATION</v>
          </cell>
          <cell r="C4825" t="str">
            <v>Kamila Ferreira De Almeida Albano</v>
          </cell>
          <cell r="D4825" t="str">
            <v>Casas Dos Parafusos Baturite</v>
          </cell>
          <cell r="E4825" t="str">
            <v>BR_CNPJ</v>
          </cell>
          <cell r="F4825" t="str">
            <v>29.430.598/0001-30</v>
          </cell>
        </row>
        <row r="4826">
          <cell r="A4826">
            <v>40542</v>
          </cell>
          <cell r="B4826" t="str">
            <v>CORPORATION</v>
          </cell>
          <cell r="C4826" t="str">
            <v>Jaucilio Lopes Domingues Me</v>
          </cell>
          <cell r="D4826" t="str">
            <v>Jl Agricola</v>
          </cell>
          <cell r="E4826" t="str">
            <v>BR_CNPJ</v>
          </cell>
          <cell r="F4826" t="str">
            <v>27.613.879/0001-01</v>
          </cell>
        </row>
        <row r="4827">
          <cell r="A4827">
            <v>40544</v>
          </cell>
          <cell r="B4827" t="str">
            <v>CORPORATION</v>
          </cell>
          <cell r="C4827" t="str">
            <v>W L Materiais Eletricos Ltda</v>
          </cell>
          <cell r="D4827" t="str">
            <v>W L Materiais Eletricos</v>
          </cell>
          <cell r="E4827" t="str">
            <v>BR_CNPJ</v>
          </cell>
          <cell r="F4827" t="str">
            <v>40.911.348/0001-55</v>
          </cell>
        </row>
        <row r="4828">
          <cell r="A4828">
            <v>40545</v>
          </cell>
          <cell r="B4828" t="str">
            <v>CORPORATION</v>
          </cell>
          <cell r="C4828" t="str">
            <v>Comercial Oxi Max Eireli</v>
          </cell>
          <cell r="D4828" t="str">
            <v>Comercial Oxi-Max</v>
          </cell>
          <cell r="E4828" t="str">
            <v>BR_CNPJ</v>
          </cell>
          <cell r="F4828" t="str">
            <v>08.177.568/0001-94</v>
          </cell>
        </row>
        <row r="4829">
          <cell r="A4829">
            <v>40548</v>
          </cell>
          <cell r="B4829" t="str">
            <v>CORPORATION</v>
          </cell>
          <cell r="C4829" t="str">
            <v>Imatec - Irece Motores E Pecas Ltda</v>
          </cell>
          <cell r="D4829" t="str">
            <v>Casa Dos Motores</v>
          </cell>
          <cell r="E4829" t="str">
            <v>BR_CNPJ</v>
          </cell>
          <cell r="F4829" t="str">
            <v>03.633.384/0001-78</v>
          </cell>
        </row>
        <row r="4830">
          <cell r="A4830">
            <v>40549</v>
          </cell>
          <cell r="B4830" t="str">
            <v>CORPORATION</v>
          </cell>
          <cell r="C4830" t="str">
            <v>Marilene Santos Rodrigues Garcia Da Rosa 07309216709</v>
          </cell>
          <cell r="D4830" t="str">
            <v>Nova Stop Look</v>
          </cell>
          <cell r="E4830" t="str">
            <v>BR_CNPJ</v>
          </cell>
          <cell r="F4830" t="str">
            <v>34.784.010/0001-87</v>
          </cell>
          <cell r="G4830" t="str">
            <v>STOP LOOK</v>
          </cell>
        </row>
        <row r="4831">
          <cell r="A4831">
            <v>40554</v>
          </cell>
          <cell r="B4831" t="str">
            <v>CORPORATION</v>
          </cell>
          <cell r="C4831" t="str">
            <v>Rml Maquinas E Equipamentos Eireli</v>
          </cell>
          <cell r="D4831" t="str">
            <v>Rml Maquinas E Equipamentos</v>
          </cell>
          <cell r="E4831" t="str">
            <v>BR_CNPJ</v>
          </cell>
          <cell r="F4831" t="str">
            <v>34.133.717/0001-23</v>
          </cell>
        </row>
        <row r="4832">
          <cell r="A4832">
            <v>40555</v>
          </cell>
          <cell r="B4832" t="str">
            <v>CORPORATION</v>
          </cell>
          <cell r="C4832" t="str">
            <v>Hgp Comercio Ltda</v>
          </cell>
          <cell r="D4832" t="str">
            <v>Lojas Ene Esse</v>
          </cell>
          <cell r="E4832" t="str">
            <v>BR_CNPJ</v>
          </cell>
          <cell r="F4832" t="str">
            <v>46.608.641/0001-24</v>
          </cell>
          <cell r="G4832" t="str">
            <v>LOJA ENE ESSE</v>
          </cell>
        </row>
        <row r="4833">
          <cell r="A4833">
            <v>40558</v>
          </cell>
          <cell r="B4833" t="str">
            <v>CORPORATION</v>
          </cell>
          <cell r="C4833" t="str">
            <v>Renato Natal Da Luz 66748500982</v>
          </cell>
          <cell r="D4833" t="str">
            <v>S J S Comercio De Ferragens E Ferramentas</v>
          </cell>
          <cell r="E4833" t="str">
            <v>BR_CNPJ</v>
          </cell>
          <cell r="F4833" t="str">
            <v>19.999.917/0001-70</v>
          </cell>
        </row>
        <row r="4834">
          <cell r="A4834">
            <v>40576</v>
          </cell>
          <cell r="B4834" t="str">
            <v>CORPORATION</v>
          </cell>
          <cell r="C4834" t="str">
            <v>Ivalmaq Agricola - Eireli</v>
          </cell>
          <cell r="D4834" t="str">
            <v>Ivalmaq Agricola</v>
          </cell>
          <cell r="E4834" t="str">
            <v>BR_CNPJ</v>
          </cell>
          <cell r="F4834" t="str">
            <v>04.902.910/0001-10</v>
          </cell>
        </row>
        <row r="4835">
          <cell r="A4835">
            <v>40589</v>
          </cell>
          <cell r="B4835" t="str">
            <v>CORPORATION</v>
          </cell>
          <cell r="C4835" t="str">
            <v>Tor Construcoes E Servicos Eireli</v>
          </cell>
          <cell r="D4835" t="str">
            <v>Tor</v>
          </cell>
          <cell r="E4835" t="str">
            <v>BR_CNPJ</v>
          </cell>
          <cell r="F4835" t="str">
            <v>28.698.500/0001-68</v>
          </cell>
        </row>
        <row r="4836">
          <cell r="A4836">
            <v>40594</v>
          </cell>
          <cell r="B4836" t="str">
            <v>CORPORATION</v>
          </cell>
          <cell r="C4836" t="str">
            <v>Maciel Comercio De Parafusos Ltda</v>
          </cell>
          <cell r="D4836" t="str">
            <v>Casa Dos Parafusos</v>
          </cell>
          <cell r="E4836" t="str">
            <v>BR_CNPJ</v>
          </cell>
          <cell r="F4836" t="str">
            <v>06.878.940/0001-64</v>
          </cell>
        </row>
        <row r="4837">
          <cell r="A4837">
            <v>40596</v>
          </cell>
          <cell r="B4837" t="str">
            <v>CORPORATION</v>
          </cell>
          <cell r="C4837" t="str">
            <v>Francisco Nelson Cavalcante</v>
          </cell>
          <cell r="D4837" t="str">
            <v>Efeta Moveis</v>
          </cell>
          <cell r="E4837" t="str">
            <v>BR_CNPJ</v>
          </cell>
          <cell r="F4837" t="str">
            <v>14.834.797/0001-37</v>
          </cell>
          <cell r="G4837" t="str">
            <v>EFETA MOVEIS</v>
          </cell>
        </row>
        <row r="4838">
          <cell r="A4838">
            <v>40597</v>
          </cell>
          <cell r="B4838" t="str">
            <v>CORPORATION</v>
          </cell>
          <cell r="C4838" t="str">
            <v>Lider Comercio E Industria Ltda.</v>
          </cell>
          <cell r="D4838" t="str">
            <v>Centro De Distribuicao Augusto Montenegro - Cdam</v>
          </cell>
          <cell r="E4838" t="str">
            <v>BR_CNPJ</v>
          </cell>
          <cell r="F4838" t="str">
            <v>05.054.671/0015-54</v>
          </cell>
        </row>
        <row r="4839">
          <cell r="A4839">
            <v>40598</v>
          </cell>
          <cell r="B4839" t="str">
            <v>CORPORATION</v>
          </cell>
          <cell r="C4839" t="str">
            <v>Rigon &amp; Rigon Ltda</v>
          </cell>
          <cell r="D4839" t="str">
            <v>Pica Pau Motosserras</v>
          </cell>
          <cell r="E4839" t="str">
            <v>BR_CNPJ</v>
          </cell>
          <cell r="F4839" t="str">
            <v>05.926.654/0001-64</v>
          </cell>
        </row>
        <row r="4840">
          <cell r="A4840">
            <v>40608</v>
          </cell>
          <cell r="B4840" t="str">
            <v>CORPORATION</v>
          </cell>
          <cell r="C4840" t="str">
            <v>Mam Comercial De Plasticos Ltda</v>
          </cell>
          <cell r="D4840" t="str">
            <v>Mam Comercial De Plasticos</v>
          </cell>
          <cell r="E4840" t="str">
            <v>BR_CNPJ</v>
          </cell>
          <cell r="F4840" t="str">
            <v>12.195.098/0001-69</v>
          </cell>
        </row>
        <row r="4841">
          <cell r="A4841">
            <v>40617</v>
          </cell>
          <cell r="B4841" t="str">
            <v>CORPORATION</v>
          </cell>
          <cell r="C4841" t="str">
            <v>Comercial Eletrica Wf 05 Ltda</v>
          </cell>
          <cell r="D4841" t="str">
            <v>Wf 05</v>
          </cell>
          <cell r="E4841" t="str">
            <v>BR_CNPJ</v>
          </cell>
          <cell r="F4841" t="str">
            <v>43.294.387/0001-49</v>
          </cell>
          <cell r="G4841" t="str">
            <v>COMERCIAL ELETRICA W.F.</v>
          </cell>
        </row>
        <row r="4842">
          <cell r="A4842">
            <v>40634</v>
          </cell>
          <cell r="B4842" t="str">
            <v>CORPORATION</v>
          </cell>
          <cell r="C4842" t="str">
            <v>Lamarao E Parteka Ltda</v>
          </cell>
          <cell r="D4842" t="str">
            <v>Map Parafusos</v>
          </cell>
          <cell r="E4842" t="str">
            <v>BR_CNPJ</v>
          </cell>
          <cell r="F4842" t="str">
            <v>14.322.278/0001-90</v>
          </cell>
        </row>
        <row r="4843">
          <cell r="A4843">
            <v>40649</v>
          </cell>
          <cell r="B4843" t="str">
            <v>CORPORATION</v>
          </cell>
          <cell r="C4843" t="str">
            <v>Luiz Soares Do Couto</v>
          </cell>
          <cell r="D4843" t="str">
            <v>Lager Comercio De Metais</v>
          </cell>
          <cell r="E4843" t="str">
            <v>BR_CNPJ</v>
          </cell>
          <cell r="F4843" t="str">
            <v>33.277.725/0001-80</v>
          </cell>
        </row>
        <row r="4844">
          <cell r="A4844">
            <v>40654</v>
          </cell>
          <cell r="B4844" t="str">
            <v>CORPORATION</v>
          </cell>
          <cell r="C4844" t="str">
            <v>2w Comercio De Materiais Para Construcao Ltda</v>
          </cell>
          <cell r="D4844" t="str">
            <v>2w Comercio De Materiais Para Construcao</v>
          </cell>
          <cell r="E4844" t="str">
            <v>BR_CNPJ</v>
          </cell>
          <cell r="F4844" t="str">
            <v>41.181.044/0001-42</v>
          </cell>
        </row>
        <row r="4845">
          <cell r="A4845">
            <v>40655</v>
          </cell>
          <cell r="B4845" t="str">
            <v>CORPORATION</v>
          </cell>
          <cell r="C4845" t="str">
            <v>Marciel Elias Dias Ribeiro 10824894685</v>
          </cell>
          <cell r="D4845" t="str">
            <v>Ribeiro Ferramentas</v>
          </cell>
          <cell r="E4845" t="str">
            <v>BR_CNPJ</v>
          </cell>
          <cell r="F4845" t="str">
            <v>34.989.003/0001-11</v>
          </cell>
          <cell r="G4845" t="str">
            <v>RIBEIRO FERRAMENTAS</v>
          </cell>
        </row>
        <row r="4846">
          <cell r="A4846">
            <v>40660</v>
          </cell>
          <cell r="B4846" t="str">
            <v>CORPORATION</v>
          </cell>
          <cell r="C4846" t="str">
            <v>Cia Da Solda Eireli</v>
          </cell>
          <cell r="D4846" t="str">
            <v>Cia Da Solda</v>
          </cell>
          <cell r="E4846" t="str">
            <v>BR_CNPJ</v>
          </cell>
          <cell r="F4846" t="str">
            <v>29.267.337/0001-41</v>
          </cell>
        </row>
        <row r="4847">
          <cell r="A4847">
            <v>40666</v>
          </cell>
          <cell r="B4847" t="str">
            <v>CORPORATION</v>
          </cell>
          <cell r="C4847" t="str">
            <v>E. H. R. Bomfim &amp; Silva Ltda</v>
          </cell>
          <cell r="D4847" t="str">
            <v>Casa Forte Materiais De Construcao</v>
          </cell>
          <cell r="E4847" t="str">
            <v>BR_CNPJ</v>
          </cell>
          <cell r="F4847" t="str">
            <v>21.783.673/0001-35</v>
          </cell>
        </row>
        <row r="4848">
          <cell r="A4848">
            <v>40669</v>
          </cell>
          <cell r="B4848" t="str">
            <v>CORPORATION</v>
          </cell>
          <cell r="C4848" t="str">
            <v>Ferpar Ltda</v>
          </cell>
          <cell r="D4848" t="str">
            <v>Ferpar</v>
          </cell>
          <cell r="E4848" t="str">
            <v>BR_CNPJ</v>
          </cell>
          <cell r="F4848" t="str">
            <v>00.202.741/0001-55</v>
          </cell>
        </row>
        <row r="4849">
          <cell r="A4849">
            <v>40680</v>
          </cell>
          <cell r="B4849" t="str">
            <v>CORPORATION</v>
          </cell>
          <cell r="C4849" t="str">
            <v>D Soli Distribuidora Ltda</v>
          </cell>
          <cell r="D4849" t="str">
            <v>Dsoli Distribuidora</v>
          </cell>
          <cell r="E4849" t="str">
            <v>BR_CNPJ</v>
          </cell>
          <cell r="F4849" t="str">
            <v>38.063.258/0001-00</v>
          </cell>
        </row>
        <row r="4850">
          <cell r="A4850">
            <v>40687</v>
          </cell>
          <cell r="B4850" t="str">
            <v>CORPORATION</v>
          </cell>
          <cell r="C4850" t="str">
            <v>L R De Oliveira Mat. De Construcao Eireli</v>
          </cell>
          <cell r="D4850" t="str">
            <v>L R De Oliveira Mat. De Construcao Eireli</v>
          </cell>
          <cell r="E4850" t="str">
            <v>BR_CNPJ</v>
          </cell>
          <cell r="F4850" t="str">
            <v>35.078.991/0001-00</v>
          </cell>
        </row>
        <row r="4851">
          <cell r="A4851">
            <v>40688</v>
          </cell>
          <cell r="B4851" t="str">
            <v>CORPORATION</v>
          </cell>
          <cell r="C4851" t="str">
            <v>Big Solda Comercio De Abrasivos Ltda</v>
          </cell>
          <cell r="D4851" t="str">
            <v>Big Solda</v>
          </cell>
          <cell r="E4851" t="str">
            <v>BR_CNPJ</v>
          </cell>
          <cell r="F4851" t="str">
            <v>20.884.287/0001-77</v>
          </cell>
        </row>
        <row r="4852">
          <cell r="A4852">
            <v>40694</v>
          </cell>
          <cell r="B4852" t="str">
            <v>CORPORATION</v>
          </cell>
          <cell r="C4852" t="str">
            <v>A R Maquinas E Equipamentos Ltda</v>
          </cell>
          <cell r="D4852" t="str">
            <v>Locus</v>
          </cell>
          <cell r="E4852" t="str">
            <v>BR_CNPJ</v>
          </cell>
          <cell r="F4852" t="str">
            <v>34.706.940/0001-12</v>
          </cell>
        </row>
        <row r="4853">
          <cell r="A4853">
            <v>40701</v>
          </cell>
          <cell r="B4853" t="str">
            <v>CORPORATION</v>
          </cell>
          <cell r="C4853" t="str">
            <v>Antonio Carlos Pinceli - Soldatec</v>
          </cell>
          <cell r="D4853" t="str">
            <v>Soldatec</v>
          </cell>
          <cell r="E4853" t="str">
            <v>BR_CNPJ</v>
          </cell>
          <cell r="F4853" t="str">
            <v>30.228.905/0001-84</v>
          </cell>
        </row>
        <row r="4854">
          <cell r="A4854">
            <v>40702</v>
          </cell>
          <cell r="B4854" t="str">
            <v>CORPORATION</v>
          </cell>
          <cell r="C4854" t="str">
            <v>L Da Silva Malaquias</v>
          </cell>
          <cell r="D4854" t="str">
            <v>Fertimaq</v>
          </cell>
          <cell r="E4854" t="str">
            <v>BR_CNPJ</v>
          </cell>
          <cell r="F4854" t="str">
            <v>16.707.540/0001-40</v>
          </cell>
        </row>
        <row r="4855">
          <cell r="A4855">
            <v>40710</v>
          </cell>
          <cell r="B4855" t="str">
            <v>CORPORATION</v>
          </cell>
          <cell r="C4855" t="str">
            <v>Welberth Goncalves De Oliveira 08278449643</v>
          </cell>
          <cell r="D4855" t="str">
            <v>Comercial K&amp;B</v>
          </cell>
          <cell r="E4855" t="str">
            <v>BR_CNPJ</v>
          </cell>
          <cell r="F4855" t="str">
            <v>31.715.040/0001-43</v>
          </cell>
        </row>
        <row r="4856">
          <cell r="A4856">
            <v>40719</v>
          </cell>
          <cell r="B4856" t="str">
            <v>CORPORATION</v>
          </cell>
          <cell r="C4856" t="str">
            <v>Simone Adriana Alves - Ferramentas</v>
          </cell>
          <cell r="D4856" t="str">
            <v>Simone Adriana Alves - Ferramentas</v>
          </cell>
          <cell r="E4856" t="str">
            <v>BR_CNPJ</v>
          </cell>
          <cell r="F4856" t="str">
            <v>30.853.775/0001-70</v>
          </cell>
        </row>
        <row r="4857">
          <cell r="A4857">
            <v>40722</v>
          </cell>
          <cell r="B4857" t="str">
            <v>CORPORATION</v>
          </cell>
          <cell r="C4857" t="str">
            <v>Casa Goiania Sul Ferragens Ltda</v>
          </cell>
          <cell r="D4857" t="str">
            <v>Ferragista Goiania Sul</v>
          </cell>
          <cell r="E4857" t="str">
            <v>BR_CNPJ</v>
          </cell>
          <cell r="F4857" t="str">
            <v>05.704.055/0001-04</v>
          </cell>
        </row>
        <row r="4858">
          <cell r="A4858">
            <v>40731</v>
          </cell>
          <cell r="B4858" t="str">
            <v>CORPORATION</v>
          </cell>
          <cell r="C4858" t="str">
            <v>Locasolda - Locacao, Manutencao E Comercio De Ferramentas Ltda</v>
          </cell>
          <cell r="D4858" t="str">
            <v>Locasolda Locacao De Maquinas</v>
          </cell>
          <cell r="E4858" t="str">
            <v>BR_CNPJ</v>
          </cell>
          <cell r="F4858" t="str">
            <v>13.079.839/0001-09</v>
          </cell>
        </row>
        <row r="4859">
          <cell r="A4859">
            <v>40737</v>
          </cell>
          <cell r="B4859" t="str">
            <v>CORPORATION</v>
          </cell>
          <cell r="C4859" t="str">
            <v>Baruc Multi Comercio E Servicos Em Geral Ltda</v>
          </cell>
          <cell r="D4859" t="str">
            <v>Baruc Multi Empresas</v>
          </cell>
          <cell r="E4859" t="str">
            <v>BR_CNPJ</v>
          </cell>
          <cell r="F4859" t="str">
            <v>21.586.500/0001-27</v>
          </cell>
        </row>
        <row r="4860">
          <cell r="A4860">
            <v>40742</v>
          </cell>
          <cell r="B4860" t="str">
            <v>CORPORATION</v>
          </cell>
          <cell r="C4860" t="str">
            <v>Jca Comercio E Servicos De Maquinas E Autopecas Ltda</v>
          </cell>
          <cell r="D4860" t="str">
            <v>Sulmaq</v>
          </cell>
          <cell r="E4860" t="str">
            <v>BR_CNPJ</v>
          </cell>
          <cell r="F4860" t="str">
            <v>42.467.908/0001-50</v>
          </cell>
        </row>
        <row r="4861">
          <cell r="A4861">
            <v>40744</v>
          </cell>
          <cell r="B4861" t="str">
            <v>CORPORATION</v>
          </cell>
          <cell r="C4861" t="str">
            <v>Mp Ferragista &amp; Componentes De Esquadrias De Aluminio Eireli</v>
          </cell>
          <cell r="D4861" t="str">
            <v>Mp Ferragista &amp; Componentes De Esquadrias De Aluminio</v>
          </cell>
          <cell r="E4861" t="str">
            <v>BR_CNPJ</v>
          </cell>
          <cell r="F4861" t="str">
            <v>31.385.027/0001-73</v>
          </cell>
        </row>
        <row r="4862">
          <cell r="A4862">
            <v>40750</v>
          </cell>
          <cell r="B4862" t="str">
            <v>CORPORATION</v>
          </cell>
          <cell r="C4862" t="str">
            <v>E. A. De Lima Comercio De Ferragens</v>
          </cell>
          <cell r="D4862" t="str">
            <v>Nondas Ferragens</v>
          </cell>
          <cell r="E4862" t="str">
            <v>BR_CNPJ</v>
          </cell>
          <cell r="F4862" t="str">
            <v>11.120.074/0001-88</v>
          </cell>
        </row>
        <row r="4863">
          <cell r="A4863">
            <v>40754</v>
          </cell>
          <cell r="B4863" t="str">
            <v>CORPORATION</v>
          </cell>
          <cell r="C4863" t="str">
            <v>Acerio Comercio De Ferragens E Ferramentas Eireli</v>
          </cell>
          <cell r="D4863" t="str">
            <v>Ace.Rio Acessórios</v>
          </cell>
          <cell r="E4863" t="str">
            <v>BR_CNPJ</v>
          </cell>
          <cell r="F4863" t="str">
            <v>18.663.194/0001-70</v>
          </cell>
        </row>
        <row r="4864">
          <cell r="A4864">
            <v>40757</v>
          </cell>
          <cell r="B4864" t="str">
            <v>CORPORATION</v>
          </cell>
          <cell r="C4864" t="str">
            <v>Ailton Fernando Bizetto</v>
          </cell>
          <cell r="D4864" t="str">
            <v>Adipel</v>
          </cell>
          <cell r="E4864" t="str">
            <v>BR_CNPJ</v>
          </cell>
          <cell r="F4864" t="str">
            <v>02.717.215/0001-53</v>
          </cell>
        </row>
        <row r="4865">
          <cell r="A4865">
            <v>40760</v>
          </cell>
          <cell r="B4865" t="str">
            <v>CORPORATION</v>
          </cell>
          <cell r="C4865" t="str">
            <v>Casa Da Solda Xanxere Ltda</v>
          </cell>
          <cell r="D4865" t="str">
            <v>Casa Da Solda Xanxere</v>
          </cell>
          <cell r="E4865" t="str">
            <v>BR_CNPJ</v>
          </cell>
          <cell r="F4865" t="str">
            <v>11.240.549/0001-70</v>
          </cell>
        </row>
        <row r="4866">
          <cell r="A4866">
            <v>40761</v>
          </cell>
          <cell r="B4866" t="str">
            <v>CORPORATION</v>
          </cell>
          <cell r="C4866" t="str">
            <v>Caparao Comercio De Pneus Ltda</v>
          </cell>
          <cell r="D4866" t="str">
            <v>Iuna Pneus</v>
          </cell>
          <cell r="E4866" t="str">
            <v>BR_CNPJ</v>
          </cell>
          <cell r="F4866" t="str">
            <v>07.696.427/0001-15</v>
          </cell>
        </row>
        <row r="4867">
          <cell r="A4867">
            <v>40763</v>
          </cell>
          <cell r="B4867" t="str">
            <v>CORPORATION</v>
          </cell>
          <cell r="C4867" t="str">
            <v>Sa Industria E Comercio De Ferramentas Em Geral Ltda</v>
          </cell>
          <cell r="D4867" t="str">
            <v>Shoptools Ferramentas</v>
          </cell>
          <cell r="E4867" t="str">
            <v>BR_CNPJ</v>
          </cell>
          <cell r="F4867" t="str">
            <v>08.306.597/0002-90</v>
          </cell>
        </row>
        <row r="4868">
          <cell r="A4868">
            <v>40768</v>
          </cell>
          <cell r="B4868" t="str">
            <v>CORPORATION</v>
          </cell>
          <cell r="C4868" t="str">
            <v>Walter Francisco De Assis Junior Eireli</v>
          </cell>
          <cell r="D4868" t="str">
            <v>Completa Ferragens E Ferramentas</v>
          </cell>
          <cell r="E4868" t="str">
            <v>BR_CNPJ</v>
          </cell>
          <cell r="F4868" t="str">
            <v>14.556.042/0001-18</v>
          </cell>
        </row>
        <row r="4869">
          <cell r="A4869">
            <v>40769</v>
          </cell>
          <cell r="B4869" t="str">
            <v>CORPORATION</v>
          </cell>
          <cell r="C4869" t="str">
            <v>G F B Construções</v>
          </cell>
          <cell r="D4869" t="str">
            <v>Comercial Tiangua</v>
          </cell>
          <cell r="E4869" t="str">
            <v>BR_CNPJ</v>
          </cell>
          <cell r="F4869" t="str">
            <v>17.395.266/0001-83</v>
          </cell>
        </row>
        <row r="4870">
          <cell r="A4870">
            <v>40772</v>
          </cell>
          <cell r="B4870" t="str">
            <v>CORPORATION</v>
          </cell>
          <cell r="C4870" t="str">
            <v>Novo Horizonte Materiais De Construcao Eireli</v>
          </cell>
          <cell r="D4870" t="str">
            <v>Novo Horizonte Materiais De Construcao</v>
          </cell>
          <cell r="E4870" t="str">
            <v>BR_CNPJ</v>
          </cell>
          <cell r="F4870" t="str">
            <v>14.546.902/0001-32</v>
          </cell>
        </row>
        <row r="4871">
          <cell r="A4871">
            <v>40774</v>
          </cell>
          <cell r="B4871" t="str">
            <v>CORPORATION</v>
          </cell>
          <cell r="C4871" t="str">
            <v>R Pio Comercio Ltda</v>
          </cell>
          <cell r="D4871" t="str">
            <v>Prime Parafusos</v>
          </cell>
          <cell r="E4871" t="str">
            <v>BR_CNPJ</v>
          </cell>
          <cell r="F4871" t="str">
            <v>22.874.876/0001-08</v>
          </cell>
        </row>
        <row r="4872">
          <cell r="A4872">
            <v>40776</v>
          </cell>
          <cell r="B4872" t="str">
            <v>CORPORATION</v>
          </cell>
          <cell r="C4872" t="str">
            <v>All Ferramentas Distribuicao Ltda</v>
          </cell>
          <cell r="D4872" t="str">
            <v>All Ferramentas</v>
          </cell>
          <cell r="E4872" t="str">
            <v>BR_CNPJ</v>
          </cell>
          <cell r="F4872" t="str">
            <v>31.960.947/0001-78</v>
          </cell>
        </row>
        <row r="4873">
          <cell r="A4873">
            <v>40779</v>
          </cell>
          <cell r="B4873" t="str">
            <v>CORPORATION</v>
          </cell>
          <cell r="C4873" t="str">
            <v>Imperio Das Ferragens Sociedade Unipessoal Ltda</v>
          </cell>
          <cell r="D4873" t="str">
            <v>Imperio Das Ferragens</v>
          </cell>
          <cell r="E4873" t="str">
            <v>BR_CNPJ</v>
          </cell>
          <cell r="F4873" t="str">
            <v>41.667.901/0002-08</v>
          </cell>
        </row>
        <row r="4874">
          <cell r="A4874">
            <v>40780</v>
          </cell>
          <cell r="B4874" t="str">
            <v>CORPORATION</v>
          </cell>
          <cell r="C4874" t="str">
            <v>Jfa Eletronicos Industria E Comercio Ltda</v>
          </cell>
          <cell r="D4874" t="str">
            <v>Jfa Eletronicos</v>
          </cell>
          <cell r="E4874" t="str">
            <v>BR_CNPJ</v>
          </cell>
          <cell r="F4874" t="str">
            <v>06.164.639/0001-99</v>
          </cell>
        </row>
        <row r="4875">
          <cell r="A4875">
            <v>40781</v>
          </cell>
          <cell r="B4875" t="str">
            <v>CORPORATION</v>
          </cell>
          <cell r="C4875" t="str">
            <v>Casa De Ferragens E Ferramentas Matao Eireli</v>
          </cell>
          <cell r="D4875" t="str">
            <v>Casa Das Ferramentas Matao (Allpema)</v>
          </cell>
          <cell r="E4875" t="str">
            <v>BR_CNPJ</v>
          </cell>
          <cell r="F4875" t="str">
            <v>33.205.718/0001-73</v>
          </cell>
          <cell r="G4875" t="str">
            <v>ALLPEMA</v>
          </cell>
        </row>
        <row r="4876">
          <cell r="A4876">
            <v>40787</v>
          </cell>
          <cell r="B4876" t="str">
            <v>CORPORATION</v>
          </cell>
          <cell r="C4876" t="str">
            <v>Soldafer Soldas E Ferramentas Ltda</v>
          </cell>
          <cell r="D4876" t="str">
            <v>Soldafer</v>
          </cell>
          <cell r="E4876" t="str">
            <v>BR_CNPJ</v>
          </cell>
          <cell r="F4876" t="str">
            <v>86.976.156/0001-28</v>
          </cell>
          <cell r="G4876" t="str">
            <v>SOLDAFER</v>
          </cell>
        </row>
        <row r="4877">
          <cell r="A4877">
            <v>40806</v>
          </cell>
          <cell r="B4877" t="str">
            <v>CORPORATION</v>
          </cell>
          <cell r="C4877" t="str">
            <v>Agt Agropet Ltda</v>
          </cell>
          <cell r="D4877" t="str">
            <v>Agt Agropet</v>
          </cell>
          <cell r="E4877" t="str">
            <v>BR_CNPJ</v>
          </cell>
          <cell r="F4877" t="str">
            <v>36.859.569/0001-54</v>
          </cell>
        </row>
        <row r="4878">
          <cell r="A4878">
            <v>40809</v>
          </cell>
          <cell r="B4878" t="str">
            <v>CORPORATION</v>
          </cell>
          <cell r="C4878" t="str">
            <v>O Borrachao Ltda</v>
          </cell>
          <cell r="D4878" t="str">
            <v>O Borrachao</v>
          </cell>
          <cell r="E4878" t="str">
            <v>BR_CNPJ</v>
          </cell>
          <cell r="F4878" t="str">
            <v>01.285.165/0001-10</v>
          </cell>
          <cell r="G4878" t="str">
            <v>BORRACHAO</v>
          </cell>
        </row>
        <row r="4879">
          <cell r="A4879">
            <v>40826</v>
          </cell>
          <cell r="B4879" t="str">
            <v>CORPORATION</v>
          </cell>
          <cell r="C4879" t="str">
            <v>Aparecido Luis Mieli 05501160870</v>
          </cell>
          <cell r="D4879" t="str">
            <v>Rubi Racoes &amp; Acessorios</v>
          </cell>
          <cell r="E4879" t="str">
            <v>BR_CNPJ</v>
          </cell>
          <cell r="F4879" t="str">
            <v>13.473.310/0001-75</v>
          </cell>
        </row>
        <row r="4880">
          <cell r="A4880">
            <v>40828</v>
          </cell>
          <cell r="B4880" t="str">
            <v>CORPORATION</v>
          </cell>
          <cell r="C4880" t="str">
            <v>Sergipana Comercio De Ferragens E Pecas Ltda</v>
          </cell>
          <cell r="D4880" t="str">
            <v>O Borrachao</v>
          </cell>
          <cell r="E4880" t="str">
            <v>BR_CNPJ</v>
          </cell>
          <cell r="F4880" t="str">
            <v>11.260.727/0001-24</v>
          </cell>
          <cell r="G4880" t="str">
            <v>BORRACHAO</v>
          </cell>
        </row>
        <row r="4881">
          <cell r="A4881">
            <v>40830</v>
          </cell>
          <cell r="B4881" t="str">
            <v>CORPORATION</v>
          </cell>
          <cell r="C4881" t="str">
            <v>Katia G. De Macedo</v>
          </cell>
          <cell r="D4881" t="str">
            <v>A. Macedo Representacoes E Servicos</v>
          </cell>
          <cell r="E4881" t="str">
            <v>BR_CNPJ</v>
          </cell>
          <cell r="F4881" t="str">
            <v>17.213.477/0001-58</v>
          </cell>
        </row>
        <row r="4882">
          <cell r="A4882">
            <v>40840</v>
          </cell>
          <cell r="B4882" t="str">
            <v>CORPORATION</v>
          </cell>
          <cell r="C4882" t="str">
            <v>Central Do Operario De Itaperuna Ltda</v>
          </cell>
          <cell r="D4882" t="str">
            <v>Central Do Operario De Itaperuna</v>
          </cell>
          <cell r="E4882" t="str">
            <v>BR_CNPJ</v>
          </cell>
          <cell r="F4882" t="str">
            <v>43.139.077/0001-50</v>
          </cell>
          <cell r="G4882" t="str">
            <v>CENTRAL DO OPERARIO</v>
          </cell>
        </row>
        <row r="4883">
          <cell r="A4883">
            <v>40844</v>
          </cell>
          <cell r="B4883" t="str">
            <v>CORPORATION</v>
          </cell>
          <cell r="C4883" t="str">
            <v>Serralheria E Vidracaria Dom Marcel Ltda</v>
          </cell>
          <cell r="D4883" t="str">
            <v>Serralheria E Vidracaria Dom Marcel Ltda</v>
          </cell>
          <cell r="E4883" t="str">
            <v>BR_CNPJ</v>
          </cell>
          <cell r="F4883" t="str">
            <v>23.267.263/0001-67</v>
          </cell>
        </row>
        <row r="4884">
          <cell r="A4884">
            <v>40849</v>
          </cell>
          <cell r="B4884" t="str">
            <v>CORPORATION</v>
          </cell>
          <cell r="C4884" t="str">
            <v>Cicampo Máquinas E Ferramentas Ltda</v>
          </cell>
          <cell r="D4884" t="str">
            <v>Cicampo Máquinas E Ferramentas - Cd</v>
          </cell>
          <cell r="E4884" t="str">
            <v>BR_CNPJ</v>
          </cell>
          <cell r="F4884" t="str">
            <v>80.479.231/0002-40</v>
          </cell>
          <cell r="G4884" t="str">
            <v>CICAMPO</v>
          </cell>
        </row>
        <row r="4885">
          <cell r="A4885">
            <v>40850</v>
          </cell>
          <cell r="B4885" t="str">
            <v>CORPORATION</v>
          </cell>
          <cell r="C4885" t="str">
            <v>Fabiana Maria Dias Teixeira 08272027682</v>
          </cell>
          <cell r="D4885" t="str">
            <v>Central Calhas</v>
          </cell>
          <cell r="E4885" t="str">
            <v>BR_CNPJ</v>
          </cell>
          <cell r="F4885" t="str">
            <v>30.245.829/0001-15</v>
          </cell>
        </row>
        <row r="4886">
          <cell r="A4886">
            <v>40862</v>
          </cell>
          <cell r="B4886" t="str">
            <v>CORPORATION</v>
          </cell>
          <cell r="C4886" t="str">
            <v>S. S. Melo Comercio</v>
          </cell>
          <cell r="D4886" t="str">
            <v>S M Construcao</v>
          </cell>
          <cell r="E4886" t="str">
            <v>BR_CNPJ</v>
          </cell>
          <cell r="F4886" t="str">
            <v>05.910.753/0001-58</v>
          </cell>
        </row>
        <row r="4887">
          <cell r="A4887">
            <v>40866</v>
          </cell>
          <cell r="B4887" t="str">
            <v>CORPORATION</v>
          </cell>
          <cell r="C4887" t="str">
            <v>Cooperativa Dos Plantadores De Cana Do Estado Sao Paulo</v>
          </cell>
          <cell r="D4887" t="str">
            <v>Coplacana (Uberaba)</v>
          </cell>
          <cell r="E4887" t="str">
            <v>BR_CNPJ</v>
          </cell>
          <cell r="F4887" t="str">
            <v>54.366.547/0029-35</v>
          </cell>
          <cell r="G4887" t="str">
            <v>COPLACANA</v>
          </cell>
        </row>
        <row r="4888">
          <cell r="A4888">
            <v>40867</v>
          </cell>
          <cell r="B4888" t="str">
            <v>CORPORATION</v>
          </cell>
          <cell r="C4888" t="str">
            <v>Coferbraf Ltda</v>
          </cell>
          <cell r="D4888" t="str">
            <v>Coferbraf</v>
          </cell>
          <cell r="E4888" t="str">
            <v>BR_CNPJ</v>
          </cell>
          <cell r="F4888" t="str">
            <v>20.422.937/0001-62</v>
          </cell>
        </row>
        <row r="4889">
          <cell r="A4889">
            <v>40874</v>
          </cell>
          <cell r="B4889" t="str">
            <v>CORPORATION</v>
          </cell>
          <cell r="C4889" t="str">
            <v>Gurgel E Pimentel Ltda</v>
          </cell>
          <cell r="D4889" t="str">
            <v>Casa Gurgel Mat. De Construção</v>
          </cell>
          <cell r="E4889" t="str">
            <v>BR_CNPJ</v>
          </cell>
          <cell r="F4889" t="str">
            <v>14.592.306/0001-99</v>
          </cell>
          <cell r="G4889" t="str">
            <v>CASA GURGEL</v>
          </cell>
        </row>
        <row r="4890">
          <cell r="A4890">
            <v>40877</v>
          </cell>
          <cell r="B4890" t="str">
            <v>CORPORATION</v>
          </cell>
          <cell r="C4890" t="str">
            <v>Neves &amp; Santos Ltda</v>
          </cell>
          <cell r="D4890" t="str">
            <v>Casa Dos Compressores</v>
          </cell>
          <cell r="E4890" t="str">
            <v>BR_CNPJ</v>
          </cell>
          <cell r="F4890" t="str">
            <v>28.620.340/0001-34</v>
          </cell>
        </row>
        <row r="4891">
          <cell r="A4891">
            <v>40884</v>
          </cell>
          <cell r="B4891" t="str">
            <v>CORPORATION</v>
          </cell>
          <cell r="C4891" t="str">
            <v>Valdecir De Santana</v>
          </cell>
          <cell r="D4891" t="str">
            <v>Casa Metal</v>
          </cell>
          <cell r="E4891" t="str">
            <v>BR_CNPJ</v>
          </cell>
          <cell r="F4891" t="str">
            <v>20.526.912/0001-09</v>
          </cell>
        </row>
        <row r="4892">
          <cell r="A4892">
            <v>40916</v>
          </cell>
          <cell r="B4892" t="str">
            <v>CORPORATION</v>
          </cell>
          <cell r="C4892" t="str">
            <v>N. Brondani Ltda</v>
          </cell>
          <cell r="D4892" t="str">
            <v>Mutum Ferragens</v>
          </cell>
          <cell r="E4892" t="str">
            <v>BR_CNPJ</v>
          </cell>
          <cell r="F4892" t="str">
            <v>43.645.222/0001-74</v>
          </cell>
        </row>
        <row r="4893">
          <cell r="A4893">
            <v>40917</v>
          </cell>
          <cell r="B4893" t="str">
            <v>CORPORATION</v>
          </cell>
          <cell r="C4893" t="str">
            <v>Laminacao E Material Para Construcao Henrisi Ltda</v>
          </cell>
          <cell r="D4893" t="str">
            <v>Laminacao E Material Para Construcao Henrisi</v>
          </cell>
          <cell r="E4893" t="str">
            <v>BR_CNPJ</v>
          </cell>
          <cell r="F4893" t="str">
            <v>65.808.008/0001-24</v>
          </cell>
        </row>
        <row r="4894">
          <cell r="A4894">
            <v>40930</v>
          </cell>
          <cell r="B4894" t="str">
            <v>CORPORATION</v>
          </cell>
          <cell r="C4894" t="str">
            <v>Genesio De Paula Abreu 02892517613</v>
          </cell>
          <cell r="D4894" t="str">
            <v>Shoping Das Ferramentas Mei</v>
          </cell>
          <cell r="E4894" t="str">
            <v>BR_CNPJ</v>
          </cell>
          <cell r="F4894" t="str">
            <v>31.054.316/0001-90</v>
          </cell>
        </row>
        <row r="4895">
          <cell r="A4895">
            <v>40935</v>
          </cell>
          <cell r="B4895" t="str">
            <v>CORPORATION</v>
          </cell>
          <cell r="C4895" t="str">
            <v>Uno Comercio De Materiais De Construcao Ltda</v>
          </cell>
          <cell r="D4895" t="str">
            <v>Uno Comercio</v>
          </cell>
          <cell r="E4895" t="str">
            <v>BR_CNPJ</v>
          </cell>
          <cell r="F4895" t="str">
            <v>74.220.112/0004-37</v>
          </cell>
          <cell r="G4895" t="str">
            <v>UNO COMÉRCIO</v>
          </cell>
        </row>
        <row r="4896">
          <cell r="A4896">
            <v>40936</v>
          </cell>
          <cell r="B4896" t="str">
            <v>CORPORATION</v>
          </cell>
          <cell r="C4896" t="str">
            <v>Lojao Do Mecanico Comercio Varejista De Ferragens E Ferramentas Eireli</v>
          </cell>
          <cell r="D4896" t="str">
            <v>Lojao Do Mecanico</v>
          </cell>
          <cell r="E4896" t="str">
            <v>BR_CNPJ</v>
          </cell>
          <cell r="F4896" t="str">
            <v>05.166.681/0001-86</v>
          </cell>
        </row>
        <row r="4897">
          <cell r="A4897">
            <v>40952</v>
          </cell>
          <cell r="B4897" t="str">
            <v>CORPORATION</v>
          </cell>
          <cell r="C4897" t="str">
            <v>Mr Soares Ferragens Ltda</v>
          </cell>
          <cell r="D4897" t="str">
            <v>Ferragista Promessa</v>
          </cell>
          <cell r="E4897" t="str">
            <v>BR_CNPJ</v>
          </cell>
          <cell r="F4897" t="str">
            <v>35.937.201/0001-02</v>
          </cell>
        </row>
        <row r="4898">
          <cell r="A4898">
            <v>40953</v>
          </cell>
          <cell r="B4898" t="str">
            <v>CORPORATION</v>
          </cell>
          <cell r="C4898" t="str">
            <v>M. Jucidalva Henrique Maciel</v>
          </cell>
          <cell r="D4898" t="str">
            <v>M. Jucidalva Henrique Maciel</v>
          </cell>
          <cell r="E4898" t="str">
            <v>BR_CNPJ</v>
          </cell>
          <cell r="F4898" t="str">
            <v>83.763.656/0001-93</v>
          </cell>
        </row>
        <row r="4899">
          <cell r="A4899">
            <v>40958</v>
          </cell>
          <cell r="B4899" t="str">
            <v>CORPORATION</v>
          </cell>
          <cell r="C4899" t="str">
            <v>Distribuidora Hc Ltda</v>
          </cell>
          <cell r="D4899" t="str">
            <v>Paraiso Da Borracha</v>
          </cell>
          <cell r="E4899" t="str">
            <v>BR_CNPJ</v>
          </cell>
          <cell r="F4899" t="str">
            <v>05.678.869/0001-03</v>
          </cell>
        </row>
        <row r="4900">
          <cell r="A4900">
            <v>40959</v>
          </cell>
          <cell r="B4900" t="str">
            <v>CORPORATION</v>
          </cell>
          <cell r="C4900" t="str">
            <v>Metalfray Comercio De Maquinas E Ferramentas Eireli</v>
          </cell>
          <cell r="D4900" t="str">
            <v>Metalfray</v>
          </cell>
          <cell r="E4900" t="str">
            <v>BR_CNPJ</v>
          </cell>
          <cell r="F4900" t="str">
            <v>00.967.309/0001-55</v>
          </cell>
        </row>
        <row r="4901">
          <cell r="A4901">
            <v>40971</v>
          </cell>
          <cell r="B4901" t="str">
            <v>CORPORATION</v>
          </cell>
          <cell r="C4901" t="str">
            <v>Oziel Bezerra Da Silva E Cia Ltda</v>
          </cell>
          <cell r="D4901" t="str">
            <v>Center Pecas E Mecanica</v>
          </cell>
          <cell r="E4901" t="str">
            <v>BR_CNPJ</v>
          </cell>
          <cell r="F4901" t="str">
            <v>05.385.162/0001-09</v>
          </cell>
        </row>
        <row r="4902">
          <cell r="A4902">
            <v>40974</v>
          </cell>
          <cell r="B4902" t="str">
            <v>CORPORATION</v>
          </cell>
          <cell r="C4902" t="str">
            <v>Zanin Equipamentos De Solda E Seguranca Ltda</v>
          </cell>
          <cell r="D4902" t="str">
            <v>Zanin Equipamentos</v>
          </cell>
          <cell r="E4902" t="str">
            <v>BR_CNPJ</v>
          </cell>
          <cell r="F4902" t="str">
            <v>07.202.293/0001-39</v>
          </cell>
          <cell r="G4902" t="str">
            <v>ZANIN</v>
          </cell>
        </row>
        <row r="4903">
          <cell r="A4903">
            <v>40984</v>
          </cell>
          <cell r="B4903" t="str">
            <v>CORPORATION</v>
          </cell>
          <cell r="C4903" t="str">
            <v>Douglas Divino Furtado Oliveira Ltda</v>
          </cell>
          <cell r="D4903" t="str">
            <v>D.D.F.O</v>
          </cell>
          <cell r="E4903" t="str">
            <v>BR_CNPJ</v>
          </cell>
          <cell r="F4903" t="str">
            <v>37.845.397/0001-22</v>
          </cell>
        </row>
        <row r="4904">
          <cell r="A4904">
            <v>40989</v>
          </cell>
          <cell r="B4904" t="str">
            <v>CORPORATION</v>
          </cell>
          <cell r="C4904" t="str">
            <v>Agroferro Comercio De Material De Construcao Ltda</v>
          </cell>
          <cell r="D4904" t="str">
            <v>Agroferro Caca E Pesca</v>
          </cell>
          <cell r="E4904" t="str">
            <v>BR_CNPJ</v>
          </cell>
          <cell r="F4904" t="str">
            <v>27.303.969/0001-98</v>
          </cell>
        </row>
        <row r="4905">
          <cell r="A4905">
            <v>40995</v>
          </cell>
          <cell r="B4905" t="str">
            <v>CORPORATION</v>
          </cell>
          <cell r="C4905" t="str">
            <v>Fatima Ap. Merlim Barreto Comercio De Ferro</v>
          </cell>
          <cell r="D4905" t="str">
            <v>Metalurgica Esquadripar</v>
          </cell>
          <cell r="E4905" t="str">
            <v>BR_CNPJ</v>
          </cell>
          <cell r="F4905" t="str">
            <v>80.248.834/0001-50</v>
          </cell>
        </row>
        <row r="4906">
          <cell r="A4906">
            <v>40997</v>
          </cell>
          <cell r="B4906" t="str">
            <v>CORPORATION</v>
          </cell>
          <cell r="C4906" t="str">
            <v>Cavalcante Comercial Ltda</v>
          </cell>
          <cell r="D4906" t="str">
            <v>Cavalcante Comercial</v>
          </cell>
          <cell r="E4906" t="str">
            <v>BR_CNPJ</v>
          </cell>
          <cell r="F4906" t="str">
            <v>52.380.382/0001-20</v>
          </cell>
          <cell r="G4906" t="str">
            <v>CAVMAQ</v>
          </cell>
        </row>
        <row r="4907">
          <cell r="A4907">
            <v>41000</v>
          </cell>
          <cell r="B4907" t="str">
            <v>CORPORATION</v>
          </cell>
          <cell r="C4907" t="str">
            <v>Anjos Distribuidora Ltda</v>
          </cell>
          <cell r="D4907" t="str">
            <v>Anjos Distribuidora</v>
          </cell>
          <cell r="E4907" t="str">
            <v>BR_CNPJ</v>
          </cell>
          <cell r="F4907" t="str">
            <v>50.946.257/0001-09</v>
          </cell>
        </row>
        <row r="4908">
          <cell r="A4908">
            <v>41001</v>
          </cell>
          <cell r="B4908" t="str">
            <v>CORPORATION</v>
          </cell>
          <cell r="C4908" t="str">
            <v>Palacio Das Ferramentas E Parafusos Ltda</v>
          </cell>
          <cell r="D4908" t="str">
            <v>Palacio Das Ferramentas E Parafusos Ltda</v>
          </cell>
          <cell r="E4908" t="str">
            <v>BR_CNPJ</v>
          </cell>
          <cell r="F4908" t="str">
            <v>68.422.419/0001-75</v>
          </cell>
        </row>
        <row r="4909">
          <cell r="A4909">
            <v>41005</v>
          </cell>
          <cell r="B4909" t="str">
            <v>CORPORATION</v>
          </cell>
          <cell r="C4909" t="str">
            <v>Casa Dos Parafusos Via Expressa Ltda</v>
          </cell>
          <cell r="D4909" t="str">
            <v>Casa Dos Parafusos Tiete</v>
          </cell>
          <cell r="E4909" t="str">
            <v>BR_CNPJ</v>
          </cell>
          <cell r="F4909" t="str">
            <v>09.207.212/0001-19</v>
          </cell>
          <cell r="G4909" t="str">
            <v>TIETE</v>
          </cell>
        </row>
        <row r="4910">
          <cell r="A4910">
            <v>41006</v>
          </cell>
          <cell r="B4910" t="str">
            <v>CORPORATION</v>
          </cell>
          <cell r="C4910" t="str">
            <v>I.M. Comercio Agricola Ltda</v>
          </cell>
          <cell r="D4910" t="str">
            <v>I.M. Comercio Agricola Ltda</v>
          </cell>
          <cell r="E4910" t="str">
            <v>BR_CNPJ</v>
          </cell>
          <cell r="F4910" t="str">
            <v>06.246.927/0001-92</v>
          </cell>
        </row>
        <row r="4911">
          <cell r="A4911">
            <v>41008</v>
          </cell>
          <cell r="B4911" t="str">
            <v>CORPORATION</v>
          </cell>
          <cell r="C4911" t="str">
            <v>King Comercial Distribuidora Ltda</v>
          </cell>
          <cell r="D4911" t="str">
            <v>King Comercial</v>
          </cell>
          <cell r="E4911" t="str">
            <v>BR_CNPJ</v>
          </cell>
          <cell r="F4911" t="str">
            <v>68.118.645/0001-67</v>
          </cell>
        </row>
        <row r="4912">
          <cell r="A4912">
            <v>41012</v>
          </cell>
          <cell r="B4912" t="str">
            <v>CORPORATION</v>
          </cell>
          <cell r="C4912" t="str">
            <v>Maxisolda Equipamentos E Servicos Ltda</v>
          </cell>
          <cell r="D4912" t="str">
            <v>Maxisolda</v>
          </cell>
          <cell r="E4912" t="str">
            <v>BR_CNPJ</v>
          </cell>
          <cell r="F4912" t="str">
            <v>72.348.402/0001-92</v>
          </cell>
        </row>
        <row r="4913">
          <cell r="A4913">
            <v>41014</v>
          </cell>
          <cell r="B4913" t="str">
            <v>CORPORATION</v>
          </cell>
          <cell r="C4913" t="str">
            <v>Dzenk Rolamentos Ltda</v>
          </cell>
          <cell r="D4913" t="str">
            <v>Dzenk Rolamentos E Suprimentos Industriais</v>
          </cell>
          <cell r="E4913" t="str">
            <v>BR_CNPJ</v>
          </cell>
          <cell r="F4913" t="str">
            <v>17.007.910/0001-07</v>
          </cell>
          <cell r="G4913" t="str">
            <v>DZENK ROLAMENTOS</v>
          </cell>
        </row>
        <row r="4914">
          <cell r="A4914">
            <v>41024</v>
          </cell>
          <cell r="B4914" t="str">
            <v>CORPORATION</v>
          </cell>
          <cell r="C4914" t="str">
            <v>Js Material De Construcao Ltda</v>
          </cell>
          <cell r="D4914" t="str">
            <v>Bahia Material De Construcao</v>
          </cell>
          <cell r="E4914" t="str">
            <v>BR_CNPJ</v>
          </cell>
          <cell r="F4914" t="str">
            <v>14.033.406/0001-85</v>
          </cell>
        </row>
        <row r="4915">
          <cell r="A4915">
            <v>41028</v>
          </cell>
          <cell r="B4915" t="str">
            <v>CORPORATION</v>
          </cell>
          <cell r="C4915" t="str">
            <v>5 M Comercio De Equipamentos Em Inox Unipessoal Ltda</v>
          </cell>
          <cell r="D4915" t="str">
            <v>Pousinox</v>
          </cell>
          <cell r="E4915" t="str">
            <v>BR_CNPJ</v>
          </cell>
          <cell r="F4915" t="str">
            <v>22.846.138/0001-49</v>
          </cell>
        </row>
        <row r="4916">
          <cell r="A4916">
            <v>41032</v>
          </cell>
          <cell r="B4916" t="str">
            <v>CORPORATION</v>
          </cell>
          <cell r="C4916" t="str">
            <v>Ribas Comercio De Maquinas Ltda</v>
          </cell>
          <cell r="D4916" t="str">
            <v>Ribas &amp; Fernandes</v>
          </cell>
          <cell r="E4916" t="str">
            <v>BR_CNPJ</v>
          </cell>
          <cell r="F4916" t="str">
            <v>35.042.465/0001-90</v>
          </cell>
        </row>
        <row r="4917">
          <cell r="A4917">
            <v>41041</v>
          </cell>
          <cell r="B4917" t="str">
            <v>CORPORATION</v>
          </cell>
          <cell r="C4917" t="str">
            <v>Torres Cabral Materiais Para Construção Ltda</v>
          </cell>
          <cell r="D4917" t="str">
            <v>Torres Cabral Materiais Para Construção Eirelli</v>
          </cell>
          <cell r="E4917" t="str">
            <v>BR_CNPJ</v>
          </cell>
          <cell r="F4917" t="str">
            <v>10.691.953/0002-88</v>
          </cell>
          <cell r="G4917" t="str">
            <v>TORRES CABRAL</v>
          </cell>
        </row>
        <row r="4918">
          <cell r="A4918">
            <v>41047</v>
          </cell>
          <cell r="B4918" t="str">
            <v>CORPORATION</v>
          </cell>
          <cell r="C4918" t="str">
            <v>Lemos Multi Ferragens Ltda</v>
          </cell>
          <cell r="D4918" t="str">
            <v>Serralheria Lemos</v>
          </cell>
          <cell r="E4918" t="str">
            <v>BR_CNPJ</v>
          </cell>
          <cell r="F4918" t="str">
            <v>10.567.187/0001-63</v>
          </cell>
        </row>
        <row r="4919">
          <cell r="A4919">
            <v>41048</v>
          </cell>
          <cell r="B4919" t="str">
            <v>CORPORATION</v>
          </cell>
          <cell r="C4919" t="str">
            <v>Edu Tools Fixacao E Equipamentos Ltda</v>
          </cell>
          <cell r="D4919" t="str">
            <v>Edu Tools Fixacao E Equipamentos</v>
          </cell>
          <cell r="E4919" t="str">
            <v>BR_CNPJ</v>
          </cell>
          <cell r="F4919" t="str">
            <v>45.915.730/0001-50</v>
          </cell>
        </row>
        <row r="4920">
          <cell r="A4920">
            <v>41053</v>
          </cell>
          <cell r="B4920" t="str">
            <v>CORPORATION</v>
          </cell>
          <cell r="C4920" t="str">
            <v>Gabriele Do Nascimento 42485369860</v>
          </cell>
          <cell r="D4920" t="str">
            <v>Portools Equipamentos</v>
          </cell>
          <cell r="E4920" t="str">
            <v>BR_CNPJ</v>
          </cell>
          <cell r="F4920" t="str">
            <v>33.639.412/0001-25</v>
          </cell>
        </row>
        <row r="4921">
          <cell r="A4921">
            <v>41058</v>
          </cell>
          <cell r="B4921" t="str">
            <v>CORPORATION</v>
          </cell>
          <cell r="C4921" t="str">
            <v>Borges &amp; Borges Ltda</v>
          </cell>
          <cell r="D4921" t="str">
            <v>Ismafer</v>
          </cell>
          <cell r="E4921" t="str">
            <v>BR_CNPJ</v>
          </cell>
          <cell r="F4921" t="str">
            <v>37.424.819/0001-96</v>
          </cell>
        </row>
        <row r="4922">
          <cell r="A4922">
            <v>41062</v>
          </cell>
          <cell r="B4922" t="str">
            <v>CORPORATION</v>
          </cell>
          <cell r="C4922" t="str">
            <v>Qualimak Ferramentas Eletricas Ltda</v>
          </cell>
          <cell r="D4922" t="str">
            <v>Qualimak</v>
          </cell>
          <cell r="E4922" t="str">
            <v>BR_CNPJ</v>
          </cell>
          <cell r="F4922" t="str">
            <v>28.261.029/0001-46</v>
          </cell>
        </row>
        <row r="4923">
          <cell r="A4923">
            <v>41064</v>
          </cell>
          <cell r="B4923" t="str">
            <v>CORPORATION</v>
          </cell>
          <cell r="C4923" t="str">
            <v>Grego Comercio De Ferramentas Ltda</v>
          </cell>
          <cell r="D4923" t="str">
            <v>Grego Ferramentas</v>
          </cell>
          <cell r="E4923" t="str">
            <v>BR_CNPJ</v>
          </cell>
          <cell r="F4923" t="str">
            <v>27.302.681/0001-07</v>
          </cell>
        </row>
        <row r="4924">
          <cell r="A4924">
            <v>41069</v>
          </cell>
          <cell r="B4924" t="str">
            <v>CORPORATION</v>
          </cell>
          <cell r="C4924" t="str">
            <v>Mecanica Freisleben Ltda</v>
          </cell>
          <cell r="D4924" t="str">
            <v>Mecnica Freisleben</v>
          </cell>
          <cell r="E4924" t="str">
            <v>BR_CNPJ</v>
          </cell>
          <cell r="F4924" t="str">
            <v>30.356.227/0001-35</v>
          </cell>
        </row>
        <row r="4925">
          <cell r="A4925">
            <v>41083</v>
          </cell>
          <cell r="B4925" t="str">
            <v>CORPORATION</v>
          </cell>
          <cell r="C4925" t="str">
            <v>Pacajus Comercial De Ferramentas Ltda</v>
          </cell>
          <cell r="D4925" t="str">
            <v>Pacajus Comercial</v>
          </cell>
          <cell r="E4925" t="str">
            <v>BR_CNPJ</v>
          </cell>
          <cell r="F4925" t="str">
            <v>49.957.846/0001-03</v>
          </cell>
        </row>
        <row r="4926">
          <cell r="A4926">
            <v>41087</v>
          </cell>
          <cell r="B4926" t="str">
            <v>CORPORATION</v>
          </cell>
          <cell r="C4926" t="str">
            <v>Mb Comercio De Materiais De Construcao Ltda</v>
          </cell>
          <cell r="D4926" t="str">
            <v>Normatel</v>
          </cell>
          <cell r="E4926" t="str">
            <v>BR_CNPJ</v>
          </cell>
          <cell r="F4926" t="str">
            <v>09.267.050/0004-57</v>
          </cell>
        </row>
        <row r="4927">
          <cell r="A4927">
            <v>41091</v>
          </cell>
          <cell r="B4927" t="str">
            <v>CORPORATION</v>
          </cell>
          <cell r="C4927" t="str">
            <v>Casa Fusco Materiais Para Construcoes Ltda</v>
          </cell>
          <cell r="D4927" t="str">
            <v>Casa Fusco Materiais Para Construcoes</v>
          </cell>
          <cell r="E4927" t="str">
            <v>BR_CNPJ</v>
          </cell>
          <cell r="F4927" t="str">
            <v>06.073.358/0002-01</v>
          </cell>
          <cell r="G4927" t="str">
            <v>CASA FUSCO</v>
          </cell>
        </row>
        <row r="4928">
          <cell r="A4928">
            <v>41098</v>
          </cell>
          <cell r="B4928" t="str">
            <v>CORPORATION</v>
          </cell>
          <cell r="C4928" t="str">
            <v>L C Pequini Filho</v>
          </cell>
          <cell r="D4928" t="str">
            <v>L C Pequini Filho</v>
          </cell>
          <cell r="E4928" t="str">
            <v>BR_CNPJ</v>
          </cell>
          <cell r="F4928" t="str">
            <v>22.138.378/0001-99</v>
          </cell>
        </row>
        <row r="4929">
          <cell r="A4929">
            <v>41108</v>
          </cell>
          <cell r="B4929" t="str">
            <v>CORPORATION</v>
          </cell>
          <cell r="C4929" t="str">
            <v>Carlos Augusto Schetine Da Costa 09139671658</v>
          </cell>
          <cell r="D4929" t="str">
            <v>Gemac</v>
          </cell>
          <cell r="E4929" t="str">
            <v>BR_CNPJ</v>
          </cell>
          <cell r="F4929" t="str">
            <v>44.884.689/0001-30</v>
          </cell>
          <cell r="G4929" t="str">
            <v>GEMAC</v>
          </cell>
        </row>
        <row r="4930">
          <cell r="A4930">
            <v>41110</v>
          </cell>
          <cell r="B4930" t="str">
            <v>CORPORATION</v>
          </cell>
          <cell r="C4930" t="str">
            <v>Pra Casa Ferragista Ltda</v>
          </cell>
          <cell r="D4930" t="str">
            <v>Pra Casa Mercearia E Ferragista</v>
          </cell>
          <cell r="E4930" t="str">
            <v>BR_CNPJ</v>
          </cell>
          <cell r="F4930" t="str">
            <v>28.915.695/0001-50</v>
          </cell>
        </row>
        <row r="4931">
          <cell r="A4931">
            <v>41112</v>
          </cell>
          <cell r="B4931" t="str">
            <v>CORPORATION</v>
          </cell>
          <cell r="C4931" t="str">
            <v>Miami Camila De Brito 10237169681</v>
          </cell>
          <cell r="D4931" t="str">
            <v>Gemac Equipamentos</v>
          </cell>
          <cell r="E4931" t="str">
            <v>BR_CNPJ</v>
          </cell>
          <cell r="F4931" t="str">
            <v>44.884.754/0001-27</v>
          </cell>
          <cell r="G4931" t="str">
            <v>GEMAC</v>
          </cell>
        </row>
        <row r="4932">
          <cell r="A4932">
            <v>41114</v>
          </cell>
          <cell r="B4932" t="str">
            <v>CORPORATION</v>
          </cell>
          <cell r="C4932" t="str">
            <v>Ferragista Granville Ltda</v>
          </cell>
          <cell r="D4932" t="str">
            <v>Ferragista Granville</v>
          </cell>
          <cell r="E4932" t="str">
            <v>BR_CNPJ</v>
          </cell>
          <cell r="F4932" t="str">
            <v>09.663.687/0001-10</v>
          </cell>
        </row>
        <row r="4933">
          <cell r="A4933">
            <v>41120</v>
          </cell>
          <cell r="B4933" t="str">
            <v>CORPORATION</v>
          </cell>
          <cell r="C4933" t="str">
            <v>Valsam Comercio De Soldas E Epi S Ltda</v>
          </cell>
          <cell r="D4933" t="str">
            <v>Valsam</v>
          </cell>
          <cell r="E4933" t="str">
            <v>BR_CNPJ</v>
          </cell>
          <cell r="F4933" t="str">
            <v>23.371.365/0001-28</v>
          </cell>
        </row>
        <row r="4934">
          <cell r="A4934">
            <v>41122</v>
          </cell>
          <cell r="B4934" t="str">
            <v>CORPORATION</v>
          </cell>
          <cell r="C4934" t="str">
            <v>Strutural Comercio De Materiais De Construcao Ltda</v>
          </cell>
          <cell r="D4934" t="str">
            <v>Strutural Materiais De Construcao</v>
          </cell>
          <cell r="E4934" t="str">
            <v>BR_CNPJ</v>
          </cell>
          <cell r="F4934" t="str">
            <v>14.726.196/0001-00</v>
          </cell>
        </row>
        <row r="4935">
          <cell r="A4935">
            <v>41123</v>
          </cell>
          <cell r="B4935" t="str">
            <v>CORPORATION</v>
          </cell>
          <cell r="C4935" t="str">
            <v>Bigpar Comercio De Parafusos, Ferramentas E Materiais Eletricos Ltda</v>
          </cell>
          <cell r="D4935" t="str">
            <v>Bigpar Comercio De Parafusos</v>
          </cell>
          <cell r="E4935" t="str">
            <v>BR_CNPJ</v>
          </cell>
          <cell r="F4935" t="str">
            <v>07.645.527/0001-12</v>
          </cell>
        </row>
        <row r="4936">
          <cell r="A4936">
            <v>41124</v>
          </cell>
          <cell r="B4936" t="str">
            <v>CORPORATION</v>
          </cell>
          <cell r="C4936" t="str">
            <v>Salgado Artefatos De Borracha Ltda</v>
          </cell>
          <cell r="D4936" t="str">
            <v>Salgado Artefatos De Borracha</v>
          </cell>
          <cell r="E4936" t="str">
            <v>BR_CNPJ</v>
          </cell>
          <cell r="F4936" t="str">
            <v>73.062.572/0001-79</v>
          </cell>
        </row>
        <row r="4937">
          <cell r="A4937">
            <v>41125</v>
          </cell>
          <cell r="B4937" t="str">
            <v>CORPORATION</v>
          </cell>
          <cell r="C4937" t="str">
            <v>Pinhal Comercio De Maquinas E Motores Ltda</v>
          </cell>
          <cell r="D4937" t="str">
            <v>Pinhal Maquinas</v>
          </cell>
          <cell r="E4937" t="str">
            <v>BR_CNPJ</v>
          </cell>
          <cell r="F4937" t="str">
            <v>19.694.881/0001-16</v>
          </cell>
        </row>
        <row r="4938">
          <cell r="A4938">
            <v>41127</v>
          </cell>
          <cell r="B4938" t="str">
            <v>CORPORATION</v>
          </cell>
          <cell r="C4938" t="str">
            <v>Gramid Ferragens Ltda</v>
          </cell>
          <cell r="D4938" t="str">
            <v>Gramid</v>
          </cell>
          <cell r="E4938" t="str">
            <v>BR_CNPJ</v>
          </cell>
          <cell r="F4938" t="str">
            <v>04.958.896/0001-77</v>
          </cell>
        </row>
        <row r="4939">
          <cell r="A4939">
            <v>41130</v>
          </cell>
          <cell r="B4939" t="str">
            <v>CORPORATION</v>
          </cell>
          <cell r="C4939" t="str">
            <v>Elson Da Silva Lima 64868680153</v>
          </cell>
          <cell r="D4939" t="str">
            <v>Elson Ferragista E Variedades</v>
          </cell>
          <cell r="E4939" t="str">
            <v>BR_CNPJ</v>
          </cell>
          <cell r="F4939" t="str">
            <v>19.074.493/0001-32</v>
          </cell>
        </row>
        <row r="4940">
          <cell r="A4940">
            <v>41135</v>
          </cell>
          <cell r="B4940" t="str">
            <v>CORPORATION</v>
          </cell>
          <cell r="C4940" t="str">
            <v>Miguel Camacho Neto Ferragens</v>
          </cell>
          <cell r="D4940" t="str">
            <v>Comercial Migcef</v>
          </cell>
          <cell r="E4940" t="str">
            <v>BR_CNPJ</v>
          </cell>
          <cell r="F4940" t="str">
            <v>08.236.180/0001-17</v>
          </cell>
        </row>
        <row r="4941">
          <cell r="A4941">
            <v>41136</v>
          </cell>
          <cell r="B4941" t="str">
            <v>CORPORATION</v>
          </cell>
          <cell r="C4941" t="str">
            <v>Oxigas Equipamentos Industriais E Medicinais Ltda</v>
          </cell>
          <cell r="D4941" t="str">
            <v>Oxigas Comercial E-Commerce</v>
          </cell>
          <cell r="E4941" t="str">
            <v>BR_CNPJ</v>
          </cell>
          <cell r="F4941" t="str">
            <v>96.257.290/0001-22</v>
          </cell>
        </row>
        <row r="4942">
          <cell r="A4942">
            <v>41138</v>
          </cell>
          <cell r="B4942" t="str">
            <v>CORPORATION</v>
          </cell>
          <cell r="C4942" t="str">
            <v>Eletrolar Materiais Eletricos Ltda</v>
          </cell>
          <cell r="D4942" t="str">
            <v>Eletrolar Materiais Eletricos</v>
          </cell>
          <cell r="E4942" t="str">
            <v>BR_CNPJ</v>
          </cell>
          <cell r="F4942" t="str">
            <v>40.574.673/0001-70</v>
          </cell>
        </row>
        <row r="4943">
          <cell r="A4943">
            <v>41140</v>
          </cell>
          <cell r="B4943" t="str">
            <v>CORPORATION</v>
          </cell>
          <cell r="C4943" t="str">
            <v>Fliegl Agro Center Do Brasil Ltda</v>
          </cell>
          <cell r="D4943" t="str">
            <v>Fliegl Agro Center</v>
          </cell>
          <cell r="E4943" t="str">
            <v>BR_CNPJ</v>
          </cell>
          <cell r="F4943" t="str">
            <v>43.047.215/0001-70</v>
          </cell>
        </row>
        <row r="4944">
          <cell r="A4944">
            <v>41152</v>
          </cell>
          <cell r="B4944" t="str">
            <v>CORPORATION</v>
          </cell>
          <cell r="C4944" t="str">
            <v>2m Comercio De Produtos Agropecuarios Ltda</v>
          </cell>
          <cell r="D4944" t="str">
            <v>2m Rural Shopping</v>
          </cell>
          <cell r="E4944" t="str">
            <v>BR_CNPJ</v>
          </cell>
          <cell r="F4944" t="str">
            <v>00.940.342/0001-91</v>
          </cell>
        </row>
        <row r="4945">
          <cell r="A4945">
            <v>41162</v>
          </cell>
          <cell r="B4945" t="str">
            <v>CORPORATION</v>
          </cell>
          <cell r="C4945" t="str">
            <v>Maxi Ferro Comercial Ltda</v>
          </cell>
          <cell r="D4945" t="str">
            <v>Maxi Ferro</v>
          </cell>
          <cell r="E4945" t="str">
            <v>BR_CNPJ</v>
          </cell>
          <cell r="F4945" t="str">
            <v>05.847.304/0001-02</v>
          </cell>
        </row>
        <row r="4946">
          <cell r="A4946">
            <v>41167</v>
          </cell>
          <cell r="B4946" t="str">
            <v>CORPORATION</v>
          </cell>
          <cell r="C4946" t="str">
            <v>Mariella Souza Leal 02195463120</v>
          </cell>
          <cell r="D4946" t="str">
            <v>Ferragista Karvalho</v>
          </cell>
          <cell r="E4946" t="str">
            <v>BR_CNPJ</v>
          </cell>
          <cell r="F4946" t="str">
            <v>29.193.762/0001-33</v>
          </cell>
        </row>
        <row r="4947">
          <cell r="A4947">
            <v>41170</v>
          </cell>
          <cell r="B4947" t="str">
            <v>CORPORATION</v>
          </cell>
          <cell r="C4947" t="str">
            <v>Ripisoldas Comercio De Soldas E Ferramentas Ltda</v>
          </cell>
          <cell r="D4947" t="str">
            <v>Ripisoldas Comercio De Soldas E Ferramentas Ltda-</v>
          </cell>
          <cell r="E4947" t="str">
            <v>BR_CNPJ</v>
          </cell>
          <cell r="F4947" t="str">
            <v>00.636.676/0001-76</v>
          </cell>
          <cell r="G4947" t="str">
            <v>RIPISOLDAS</v>
          </cell>
        </row>
        <row r="4948">
          <cell r="A4948">
            <v>41179</v>
          </cell>
          <cell r="B4948" t="str">
            <v>CORPORATION</v>
          </cell>
          <cell r="C4948" t="str">
            <v>Ferragens Tomita Ltda</v>
          </cell>
          <cell r="D4948" t="str">
            <v>Ferragens Tomita</v>
          </cell>
          <cell r="E4948" t="str">
            <v>BR_CNPJ</v>
          </cell>
          <cell r="F4948" t="str">
            <v>09.151.206/0001-97</v>
          </cell>
        </row>
        <row r="4949">
          <cell r="A4949">
            <v>41181</v>
          </cell>
          <cell r="B4949" t="str">
            <v>CORPORATION</v>
          </cell>
          <cell r="C4949" t="str">
            <v>C A Dos Santos Ltda</v>
          </cell>
          <cell r="D4949" t="str">
            <v>Ferro +</v>
          </cell>
          <cell r="E4949" t="str">
            <v>BR_CNPJ</v>
          </cell>
          <cell r="F4949" t="str">
            <v>45.547.342/0001-64</v>
          </cell>
        </row>
        <row r="4950">
          <cell r="A4950">
            <v>41184</v>
          </cell>
          <cell r="B4950" t="str">
            <v>CORPORATION</v>
          </cell>
          <cell r="C4950" t="str">
            <v>Lp Ferragista Ltda</v>
          </cell>
          <cell r="D4950" t="str">
            <v>Ferragista Hidropecas</v>
          </cell>
          <cell r="E4950" t="str">
            <v>BR_CNPJ</v>
          </cell>
          <cell r="F4950" t="str">
            <v>43.195.709/0001-00</v>
          </cell>
        </row>
        <row r="4951">
          <cell r="A4951">
            <v>41186</v>
          </cell>
          <cell r="B4951" t="str">
            <v>CORPORATION</v>
          </cell>
          <cell r="C4951" t="str">
            <v>Laura Anklam De Lima</v>
          </cell>
          <cell r="D4951" t="str">
            <v>Comercial Loss</v>
          </cell>
          <cell r="E4951" t="str">
            <v>BR_CNPJ</v>
          </cell>
          <cell r="F4951" t="str">
            <v>26.003.402/0001-33</v>
          </cell>
        </row>
        <row r="4952">
          <cell r="A4952">
            <v>41187</v>
          </cell>
          <cell r="B4952" t="str">
            <v>CORPORATION</v>
          </cell>
          <cell r="C4952" t="str">
            <v>Renox Oxigenio Ltda</v>
          </cell>
          <cell r="D4952" t="str">
            <v>Renox Ferramentas</v>
          </cell>
          <cell r="E4952" t="str">
            <v>BR_CNPJ</v>
          </cell>
          <cell r="F4952" t="str">
            <v>03.149.296/0001-03</v>
          </cell>
        </row>
        <row r="4953">
          <cell r="A4953">
            <v>41191</v>
          </cell>
          <cell r="B4953" t="str">
            <v>CORPORATION</v>
          </cell>
          <cell r="C4953" t="str">
            <v>Montreaco Telhas Ltda</v>
          </cell>
          <cell r="D4953" t="str">
            <v>Bonaco Solucoes Em Aco</v>
          </cell>
          <cell r="E4953" t="str">
            <v>BR_CNPJ</v>
          </cell>
          <cell r="F4953" t="str">
            <v>13.813.379/0001-09</v>
          </cell>
        </row>
        <row r="4954">
          <cell r="A4954">
            <v>41204</v>
          </cell>
          <cell r="B4954" t="str">
            <v>CORPORATION</v>
          </cell>
          <cell r="C4954" t="str">
            <v>Jose Oscar Peixoto Filho 93182821253</v>
          </cell>
          <cell r="D4954" t="str">
            <v>Norte Metal - Solucoes Inteligentes</v>
          </cell>
          <cell r="E4954" t="str">
            <v>BR_CNPJ</v>
          </cell>
          <cell r="F4954" t="str">
            <v>26.976.278/0001-92</v>
          </cell>
        </row>
        <row r="4955">
          <cell r="A4955">
            <v>41207</v>
          </cell>
          <cell r="B4955" t="str">
            <v>CORPORATION</v>
          </cell>
          <cell r="C4955" t="str">
            <v>Forca Maquinas Ltda</v>
          </cell>
          <cell r="D4955" t="str">
            <v>Forca Maquinas</v>
          </cell>
          <cell r="E4955" t="str">
            <v>BR_CNPJ</v>
          </cell>
          <cell r="F4955" t="str">
            <v>19.837.171/0001-06</v>
          </cell>
          <cell r="G4955" t="str">
            <v>COMATOL</v>
          </cell>
        </row>
        <row r="4956">
          <cell r="A4956">
            <v>41209</v>
          </cell>
          <cell r="B4956" t="str">
            <v>CORPORATION</v>
          </cell>
          <cell r="C4956" t="str">
            <v>Fermaquinas Comercio De Ferramentas E Maquinas Ltda</v>
          </cell>
          <cell r="D4956" t="str">
            <v>Fermaquinas Comercio De Ferramentas E Maquinas Ltda</v>
          </cell>
          <cell r="E4956" t="str">
            <v>BR_CNPJ</v>
          </cell>
          <cell r="F4956" t="str">
            <v>68.452.762/0001-62</v>
          </cell>
        </row>
        <row r="4957">
          <cell r="A4957">
            <v>41210</v>
          </cell>
          <cell r="B4957" t="str">
            <v>CORPORATION</v>
          </cell>
          <cell r="C4957" t="str">
            <v>Edivan Pantoja 82979863220</v>
          </cell>
          <cell r="D4957" t="str">
            <v>Empreenda Servicos E Representacoes</v>
          </cell>
          <cell r="E4957" t="str">
            <v>BR_CNPJ</v>
          </cell>
          <cell r="F4957" t="str">
            <v>32.171.934/0001-82</v>
          </cell>
        </row>
        <row r="4958">
          <cell r="A4958">
            <v>41214</v>
          </cell>
          <cell r="B4958" t="str">
            <v>CORPORATION</v>
          </cell>
          <cell r="C4958" t="str">
            <v>Crs Comercio E Representacao Ltda</v>
          </cell>
          <cell r="D4958" t="str">
            <v>Crs Comercio E Representacao</v>
          </cell>
          <cell r="E4958" t="str">
            <v>BR_CNPJ</v>
          </cell>
          <cell r="F4958" t="str">
            <v>37.048.543/0001-99</v>
          </cell>
        </row>
        <row r="4959">
          <cell r="A4959">
            <v>41215</v>
          </cell>
          <cell r="B4959" t="str">
            <v>CORPORATION</v>
          </cell>
          <cell r="C4959" t="str">
            <v>Leticia Oliveira Duarte Freire Ltda</v>
          </cell>
          <cell r="D4959" t="str">
            <v>Feirao Das Ferragens Ii</v>
          </cell>
          <cell r="E4959" t="str">
            <v>BR_CNPJ</v>
          </cell>
          <cell r="F4959" t="str">
            <v>46.884.754/0001-52</v>
          </cell>
        </row>
        <row r="4960">
          <cell r="A4960">
            <v>41217</v>
          </cell>
          <cell r="B4960" t="str">
            <v>CORPORATION</v>
          </cell>
          <cell r="C4960" t="str">
            <v>Equip - Ara Locacao De Maquinas E Equipamentos Eireli - Me</v>
          </cell>
          <cell r="D4960" t="str">
            <v>Equip-Ara</v>
          </cell>
          <cell r="E4960" t="str">
            <v>BR_CNPJ</v>
          </cell>
          <cell r="F4960" t="str">
            <v>07.182.592/0001-59</v>
          </cell>
        </row>
        <row r="4961">
          <cell r="A4961">
            <v>41225</v>
          </cell>
          <cell r="B4961" t="str">
            <v>CORPORATION</v>
          </cell>
          <cell r="C4961" t="str">
            <v>Pdl Comercio E Representacao Ltda</v>
          </cell>
          <cell r="D4961" t="str">
            <v>Grupo Pdl</v>
          </cell>
          <cell r="E4961" t="str">
            <v>BR_CNPJ</v>
          </cell>
          <cell r="F4961" t="str">
            <v>26.108.880/0001-08</v>
          </cell>
          <cell r="G4961" t="str">
            <v>GRUPO PDL</v>
          </cell>
        </row>
        <row r="4962">
          <cell r="A4962">
            <v>41226</v>
          </cell>
          <cell r="B4962" t="str">
            <v>CORPORATION</v>
          </cell>
          <cell r="C4962" t="str">
            <v>D2g Tecnologia Ltda</v>
          </cell>
          <cell r="D4962" t="str">
            <v>D2g Tecnologia</v>
          </cell>
          <cell r="E4962" t="str">
            <v>BR_CNPJ</v>
          </cell>
          <cell r="F4962" t="str">
            <v>22.634.143/0001-98</v>
          </cell>
        </row>
        <row r="4963">
          <cell r="A4963">
            <v>41229</v>
          </cell>
          <cell r="B4963" t="str">
            <v>CORPORATION</v>
          </cell>
          <cell r="C4963" t="str">
            <v>E L Da Silva Eireli</v>
          </cell>
          <cell r="D4963" t="str">
            <v>Casa Do Pedreiro</v>
          </cell>
          <cell r="E4963" t="str">
            <v>BR_CNPJ</v>
          </cell>
          <cell r="F4963" t="str">
            <v>21.941.316/0001-58</v>
          </cell>
        </row>
        <row r="4964">
          <cell r="A4964">
            <v>41230</v>
          </cell>
          <cell r="B4964" t="str">
            <v>CORPORATION</v>
          </cell>
          <cell r="C4964" t="str">
            <v>Comercio De Ferragens E Ferramentas Ferrofort Ltda</v>
          </cell>
          <cell r="D4964" t="str">
            <v>Ferrofort</v>
          </cell>
          <cell r="E4964" t="str">
            <v>BR_CNPJ</v>
          </cell>
          <cell r="F4964" t="str">
            <v>35.072.275/0001-15</v>
          </cell>
          <cell r="G4964" t="str">
            <v>FERROFORT</v>
          </cell>
        </row>
        <row r="4965">
          <cell r="A4965">
            <v>41231</v>
          </cell>
          <cell r="B4965" t="str">
            <v>CORPORATION</v>
          </cell>
          <cell r="C4965" t="str">
            <v>Belenus Ltda</v>
          </cell>
          <cell r="D4965" t="str">
            <v>Belenus Do Brasil S.A</v>
          </cell>
          <cell r="E4965" t="str">
            <v>BR_CNPJ</v>
          </cell>
          <cell r="F4965" t="str">
            <v>05.151.518/0009-05</v>
          </cell>
          <cell r="G4965" t="str">
            <v>BELENUS</v>
          </cell>
        </row>
        <row r="4966">
          <cell r="A4966">
            <v>41235</v>
          </cell>
          <cell r="B4966" t="str">
            <v>CORPORATION</v>
          </cell>
          <cell r="C4966" t="str">
            <v>Rc Maquinas Peças E Serviços Ltda</v>
          </cell>
          <cell r="D4966" t="str">
            <v>Maquinaria (Roma Motos)</v>
          </cell>
          <cell r="E4966" t="str">
            <v>BR_CNPJ</v>
          </cell>
          <cell r="F4966" t="str">
            <v>38.132.854/0001-02</v>
          </cell>
          <cell r="G4966" t="str">
            <v>ROMA MOTOS</v>
          </cell>
        </row>
        <row r="4967">
          <cell r="A4967">
            <v>41239</v>
          </cell>
          <cell r="B4967" t="str">
            <v>CORPORATION</v>
          </cell>
          <cell r="C4967" t="str">
            <v>Ferragista Macaubas Ltda</v>
          </cell>
          <cell r="D4967" t="str">
            <v>Ferragista Macaubas</v>
          </cell>
          <cell r="E4967" t="str">
            <v>BR_CNPJ</v>
          </cell>
          <cell r="F4967" t="str">
            <v>12.263.782/0001-30</v>
          </cell>
        </row>
        <row r="4968">
          <cell r="A4968">
            <v>41240</v>
          </cell>
          <cell r="B4968" t="str">
            <v>CORPORATION</v>
          </cell>
          <cell r="C4968" t="str">
            <v>Atv Acessorios De Maquinas Ltda</v>
          </cell>
          <cell r="D4968" t="str">
            <v>Atv Acessorios De Maquinas</v>
          </cell>
          <cell r="E4968" t="str">
            <v>BR_CNPJ</v>
          </cell>
          <cell r="F4968" t="str">
            <v>42.612.687/0001-66</v>
          </cell>
        </row>
        <row r="4969">
          <cell r="A4969">
            <v>41246</v>
          </cell>
          <cell r="B4969" t="str">
            <v>CORPORATION</v>
          </cell>
          <cell r="C4969" t="str">
            <v>Young Shop Music Eireli</v>
          </cell>
          <cell r="D4969" t="str">
            <v>Young Shop Music</v>
          </cell>
          <cell r="E4969" t="str">
            <v>BR_CNPJ</v>
          </cell>
          <cell r="F4969" t="str">
            <v>09.086.394/0001-17</v>
          </cell>
        </row>
        <row r="4970">
          <cell r="A4970">
            <v>41256</v>
          </cell>
          <cell r="B4970" t="str">
            <v>CORPORATION</v>
          </cell>
          <cell r="C4970" t="str">
            <v>Valdemir Canuto De Santana Junior 07592946408</v>
          </cell>
          <cell r="D4970" t="str">
            <v>Vva Ferramentas</v>
          </cell>
          <cell r="E4970" t="str">
            <v>BR_CNPJ</v>
          </cell>
          <cell r="F4970" t="str">
            <v>30.243.435/0001-28</v>
          </cell>
        </row>
        <row r="4971">
          <cell r="A4971">
            <v>41262</v>
          </cell>
          <cell r="B4971" t="str">
            <v>CORPORATION</v>
          </cell>
          <cell r="C4971" t="str">
            <v>Methallum Suprimentos Industriais Ltda</v>
          </cell>
          <cell r="D4971" t="str">
            <v>Methallum Suprimentos Industriais</v>
          </cell>
          <cell r="E4971" t="str">
            <v>BR_CNPJ</v>
          </cell>
          <cell r="F4971" t="str">
            <v>13.406.852/0001-25</v>
          </cell>
        </row>
        <row r="4972">
          <cell r="A4972">
            <v>41265</v>
          </cell>
          <cell r="B4972" t="str">
            <v>CORPORATION</v>
          </cell>
          <cell r="C4972" t="str">
            <v>Marques E Inacio Ferragista Ltda</v>
          </cell>
          <cell r="D4972" t="str">
            <v>Ferragista Expansao</v>
          </cell>
          <cell r="E4972" t="str">
            <v>BR_CNPJ</v>
          </cell>
          <cell r="F4972" t="str">
            <v>07.626.845/0001-36</v>
          </cell>
        </row>
        <row r="4973">
          <cell r="A4973">
            <v>41267</v>
          </cell>
          <cell r="B4973" t="str">
            <v>CORPORATION</v>
          </cell>
          <cell r="C4973" t="str">
            <v>Cooperativa Dos Plantadores De Cana Do Estado Sao Paulo</v>
          </cell>
          <cell r="D4973" t="str">
            <v>Coplacana (Cosmópolis)</v>
          </cell>
          <cell r="E4973" t="str">
            <v>BR_CNPJ</v>
          </cell>
          <cell r="F4973" t="str">
            <v>54.366.547/0007-20</v>
          </cell>
          <cell r="G4973" t="str">
            <v>COPLACANA</v>
          </cell>
        </row>
        <row r="4974">
          <cell r="A4974">
            <v>41268</v>
          </cell>
          <cell r="B4974" t="str">
            <v>CORPORATION</v>
          </cell>
          <cell r="C4974" t="str">
            <v>Carlos Volonte</v>
          </cell>
          <cell r="D4974" t="str">
            <v>Tudo.Com</v>
          </cell>
          <cell r="E4974" t="str">
            <v>BR_CNPJ</v>
          </cell>
          <cell r="F4974" t="str">
            <v>35.775.894/0001-76</v>
          </cell>
        </row>
        <row r="4975">
          <cell r="A4975">
            <v>41275</v>
          </cell>
          <cell r="B4975" t="str">
            <v>CORPORATION</v>
          </cell>
          <cell r="C4975" t="str">
            <v>Ze Mavel Rolamentos Ltda</v>
          </cell>
          <cell r="D4975" t="str">
            <v>Ze Mavel Rolamentos</v>
          </cell>
          <cell r="E4975" t="str">
            <v>BR_CNPJ</v>
          </cell>
          <cell r="F4975" t="str">
            <v>06.232.696/0001-68</v>
          </cell>
        </row>
        <row r="4976">
          <cell r="A4976">
            <v>41277</v>
          </cell>
          <cell r="B4976" t="str">
            <v>CORPORATION</v>
          </cell>
          <cell r="C4976" t="str">
            <v>Ferpar Comercio De Ferramentas E Parafusos Ltda</v>
          </cell>
          <cell r="D4976" t="str">
            <v>Ferpar Comercio De Ferramentas E Parafusos</v>
          </cell>
          <cell r="E4976" t="str">
            <v>BR_CNPJ</v>
          </cell>
          <cell r="F4976" t="str">
            <v>02.249.995/0001-54</v>
          </cell>
        </row>
        <row r="4977">
          <cell r="A4977">
            <v>41282</v>
          </cell>
          <cell r="B4977" t="str">
            <v>CORPORATION</v>
          </cell>
          <cell r="C4977" t="str">
            <v>Ferragista Mariana Ltda</v>
          </cell>
          <cell r="D4977" t="str">
            <v>Ferragista Skinao</v>
          </cell>
          <cell r="E4977" t="str">
            <v>BR_CNPJ</v>
          </cell>
          <cell r="F4977" t="str">
            <v>28.709.286/0001-06</v>
          </cell>
        </row>
        <row r="4978">
          <cell r="A4978">
            <v>41285</v>
          </cell>
          <cell r="B4978" t="str">
            <v>CORPORATION</v>
          </cell>
          <cell r="C4978" t="str">
            <v>Cofeve-Comercio De Ferramentas Ltda</v>
          </cell>
          <cell r="D4978" t="str">
            <v>Cofeve</v>
          </cell>
          <cell r="E4978" t="str">
            <v>BR_CNPJ</v>
          </cell>
          <cell r="F4978" t="str">
            <v>62.600.226/0001-80</v>
          </cell>
        </row>
        <row r="4979">
          <cell r="A4979">
            <v>41289</v>
          </cell>
          <cell r="B4979" t="str">
            <v>CORPORATION</v>
          </cell>
          <cell r="C4979" t="str">
            <v>A N Queiroz Ltda</v>
          </cell>
          <cell r="D4979" t="str">
            <v>Me Materiais De Construcao</v>
          </cell>
          <cell r="E4979" t="str">
            <v>BR_CNPJ</v>
          </cell>
          <cell r="F4979" t="str">
            <v>45.403.096/0001-77</v>
          </cell>
        </row>
        <row r="4980">
          <cell r="A4980">
            <v>41302</v>
          </cell>
          <cell r="B4980" t="str">
            <v>CORPORATION</v>
          </cell>
          <cell r="C4980" t="str">
            <v>Vinicius Cordeiro Puca 12559546477</v>
          </cell>
          <cell r="D4980" t="str">
            <v>Fv Solucoes Industriais</v>
          </cell>
          <cell r="E4980" t="str">
            <v>BR_CNPJ</v>
          </cell>
          <cell r="F4980" t="str">
            <v>35.574.574/0001-58</v>
          </cell>
        </row>
        <row r="4981">
          <cell r="A4981">
            <v>41311</v>
          </cell>
          <cell r="B4981" t="str">
            <v>CORPORATION</v>
          </cell>
          <cell r="C4981" t="str">
            <v>Jf Pecas Agricolas Ltda</v>
          </cell>
          <cell r="D4981" t="str">
            <v>Agripecas Jf</v>
          </cell>
          <cell r="E4981" t="str">
            <v>BR_CNPJ</v>
          </cell>
          <cell r="F4981" t="str">
            <v>02.213.597/0009-35</v>
          </cell>
          <cell r="G4981" t="str">
            <v>AGRIPECAS</v>
          </cell>
        </row>
        <row r="4982">
          <cell r="A4982">
            <v>41312</v>
          </cell>
          <cell r="B4982" t="str">
            <v>CORPORATION</v>
          </cell>
          <cell r="C4982" t="str">
            <v>Mvg Batista</v>
          </cell>
          <cell r="D4982" t="str">
            <v>Kairos Eletrica Automacao E Montagens</v>
          </cell>
          <cell r="E4982" t="str">
            <v>BR_CNPJ</v>
          </cell>
          <cell r="F4982" t="str">
            <v>25.285.930/0001-60</v>
          </cell>
        </row>
        <row r="4983">
          <cell r="A4983">
            <v>41316</v>
          </cell>
          <cell r="B4983" t="str">
            <v>CORPORATION</v>
          </cell>
          <cell r="C4983" t="str">
            <v>Union Supply Comercio E Servicos De Manutencao De Maquinas Ltda.</v>
          </cell>
          <cell r="D4983" t="str">
            <v>Union Supply Comercio &amp; Servicos</v>
          </cell>
          <cell r="E4983" t="str">
            <v>BR_CNPJ</v>
          </cell>
          <cell r="F4983" t="str">
            <v>37.322.630/0001-92</v>
          </cell>
          <cell r="G4983" t="str">
            <v>UNION SUPPLY</v>
          </cell>
        </row>
        <row r="4984">
          <cell r="A4984">
            <v>41326</v>
          </cell>
          <cell r="B4984" t="str">
            <v>CORPORATION</v>
          </cell>
          <cell r="C4984" t="str">
            <v>Vania Moreira Mundim Lima</v>
          </cell>
          <cell r="D4984" t="str">
            <v>Ferragista Lima</v>
          </cell>
          <cell r="E4984" t="str">
            <v>BR_CNPJ</v>
          </cell>
          <cell r="F4984" t="str">
            <v>00.685.570/0001-62</v>
          </cell>
        </row>
        <row r="4985">
          <cell r="A4985">
            <v>41327</v>
          </cell>
          <cell r="B4985" t="str">
            <v>CORPORATION</v>
          </cell>
          <cell r="C4985" t="str">
            <v>Shopping Real Comercio De Ferragens Ltda</v>
          </cell>
          <cell r="D4985" t="str">
            <v>Shopping Real</v>
          </cell>
          <cell r="E4985" t="str">
            <v>BR_CNPJ</v>
          </cell>
          <cell r="F4985" t="str">
            <v>43.986.378/0001-19</v>
          </cell>
          <cell r="G4985" t="str">
            <v>REAL COMERCIO</v>
          </cell>
        </row>
        <row r="4986">
          <cell r="A4986">
            <v>41331</v>
          </cell>
          <cell r="B4986" t="str">
            <v>CORPORATION</v>
          </cell>
          <cell r="C4986" t="str">
            <v>Central Comercio De Ferramentas Em Geral Ltda</v>
          </cell>
          <cell r="D4986" t="str">
            <v>Maqfix Comercio De Ferramentas E Maquinas Em Geral</v>
          </cell>
          <cell r="E4986" t="str">
            <v>BR_CNPJ</v>
          </cell>
          <cell r="F4986" t="str">
            <v>42.935.450/0001-16</v>
          </cell>
          <cell r="G4986" t="str">
            <v>MAQFIX</v>
          </cell>
        </row>
        <row r="4987">
          <cell r="A4987">
            <v>41334</v>
          </cell>
          <cell r="B4987" t="str">
            <v>CORPORATION</v>
          </cell>
          <cell r="C4987" t="str">
            <v>Ferragista Real Comercio De Parafusos Ltda</v>
          </cell>
          <cell r="D4987" t="str">
            <v>Real Parafusos</v>
          </cell>
          <cell r="E4987" t="str">
            <v>BR_CNPJ</v>
          </cell>
          <cell r="F4987" t="str">
            <v>07.844.376/0001-21</v>
          </cell>
          <cell r="G4987" t="str">
            <v>REAL COMERCIO</v>
          </cell>
        </row>
        <row r="4988">
          <cell r="A4988">
            <v>41354</v>
          </cell>
          <cell r="B4988" t="str">
            <v>CORPORATION</v>
          </cell>
          <cell r="C4988" t="str">
            <v>N. Garbinato Industria E Comercio De Carretas E Reboques</v>
          </cell>
          <cell r="D4988" t="str">
            <v>Garbinato Motores E Maquinas</v>
          </cell>
          <cell r="E4988" t="str">
            <v>BR_CNPJ</v>
          </cell>
          <cell r="F4988" t="str">
            <v>05.897.513/0001-60</v>
          </cell>
        </row>
        <row r="4989">
          <cell r="A4989">
            <v>41358</v>
          </cell>
          <cell r="B4989" t="str">
            <v>CORPORATION</v>
          </cell>
          <cell r="C4989" t="str">
            <v>Nova Parafusos E Ferragens Ltda</v>
          </cell>
          <cell r="D4989" t="str">
            <v>Comam</v>
          </cell>
          <cell r="E4989" t="str">
            <v>BR_CNPJ</v>
          </cell>
          <cell r="F4989" t="str">
            <v>12.004.300/0001-28</v>
          </cell>
        </row>
        <row r="4990">
          <cell r="A4990">
            <v>41360</v>
          </cell>
          <cell r="B4990" t="str">
            <v>CORPORATION</v>
          </cell>
          <cell r="C4990" t="str">
            <v>Elaine Deborah Medalha Braga 18151629886</v>
          </cell>
          <cell r="D4990" t="str">
            <v>Braga Ferramentas</v>
          </cell>
          <cell r="E4990" t="str">
            <v>BR_CNPJ</v>
          </cell>
          <cell r="F4990" t="str">
            <v>18.770.200/0001-99</v>
          </cell>
        </row>
        <row r="4991">
          <cell r="A4991">
            <v>41364</v>
          </cell>
          <cell r="B4991" t="str">
            <v>CORPORATION</v>
          </cell>
          <cell r="C4991" t="str">
            <v>Ferragista Constru-Bem Ltda</v>
          </cell>
          <cell r="D4991" t="str">
            <v>Ferragista Constru-Bem</v>
          </cell>
          <cell r="E4991" t="str">
            <v>BR_CNPJ</v>
          </cell>
          <cell r="F4991" t="str">
            <v>09.540.807/0001-91</v>
          </cell>
        </row>
        <row r="4992">
          <cell r="A4992">
            <v>41370</v>
          </cell>
          <cell r="B4992" t="str">
            <v>CORPORATION</v>
          </cell>
          <cell r="C4992" t="str">
            <v>Silvone Ferreira De Oliveira 21706476191</v>
          </cell>
          <cell r="D4992" t="str">
            <v>Online Ferramentas</v>
          </cell>
          <cell r="E4992" t="str">
            <v>BR_CNPJ</v>
          </cell>
          <cell r="F4992" t="str">
            <v>24.418.938/0001-94</v>
          </cell>
        </row>
        <row r="4993">
          <cell r="A4993">
            <v>41371</v>
          </cell>
          <cell r="B4993" t="str">
            <v>CORPORATION</v>
          </cell>
          <cell r="C4993" t="str">
            <v>Gurgel Prestacao De Servicos Ltda</v>
          </cell>
          <cell r="D4993" t="str">
            <v>A Seringueira Assistencia Tecnica</v>
          </cell>
          <cell r="E4993" t="str">
            <v>BR_CNPJ</v>
          </cell>
          <cell r="F4993" t="str">
            <v>47.627.076/0001-05</v>
          </cell>
          <cell r="G4993" t="str">
            <v>SERINGUEIRA</v>
          </cell>
        </row>
        <row r="4994">
          <cell r="A4994">
            <v>41373</v>
          </cell>
          <cell r="B4994" t="str">
            <v>CORPORATION</v>
          </cell>
          <cell r="C4994" t="str">
            <v>Mix Das Ferramentas Ltda</v>
          </cell>
          <cell r="D4994" t="str">
            <v>Mix Das Ferramentas</v>
          </cell>
          <cell r="E4994" t="str">
            <v>BR_CNPJ</v>
          </cell>
          <cell r="F4994" t="str">
            <v>34.183.329/0001-57</v>
          </cell>
          <cell r="G4994" t="str">
            <v>CASA DO BORRACHEIRO</v>
          </cell>
        </row>
        <row r="4995">
          <cell r="A4995">
            <v>41376</v>
          </cell>
          <cell r="B4995" t="str">
            <v>CORPORATION</v>
          </cell>
          <cell r="C4995" t="str">
            <v>Cpf Parafusos Limitada</v>
          </cell>
          <cell r="D4995" t="str">
            <v>Casa Do Parafuso E Ferramentas</v>
          </cell>
          <cell r="E4995" t="str">
            <v>BR_CNPJ</v>
          </cell>
          <cell r="F4995" t="str">
            <v>05.493.695/0001-04</v>
          </cell>
        </row>
        <row r="4996">
          <cell r="A4996">
            <v>41378</v>
          </cell>
          <cell r="B4996" t="str">
            <v>CORPORATION</v>
          </cell>
          <cell r="C4996" t="str">
            <v>Giga Maquinas Comercio E Assistencia Tecnica Ltda</v>
          </cell>
          <cell r="D4996" t="str">
            <v>Giga Maquinas</v>
          </cell>
          <cell r="E4996" t="str">
            <v>BR_CNPJ</v>
          </cell>
          <cell r="F4996" t="str">
            <v>30.611.562/0001-32</v>
          </cell>
        </row>
        <row r="4997">
          <cell r="A4997">
            <v>41380</v>
          </cell>
          <cell r="B4997" t="str">
            <v>CORPORATION</v>
          </cell>
          <cell r="C4997" t="str">
            <v>Joaquim Da Silva Magalhaes Me</v>
          </cell>
          <cell r="D4997" t="str">
            <v>Ferragista Magalhaes</v>
          </cell>
          <cell r="E4997" t="str">
            <v>BR_CNPJ</v>
          </cell>
          <cell r="F4997" t="str">
            <v>14.768.050/0001-28</v>
          </cell>
        </row>
        <row r="4998">
          <cell r="A4998">
            <v>41381</v>
          </cell>
          <cell r="B4998" t="str">
            <v>CORPORATION</v>
          </cell>
          <cell r="C4998" t="str">
            <v>J M Dos Santos Agropecuaria Ltda</v>
          </cell>
          <cell r="D4998" t="str">
            <v>Martins Agropecuaria</v>
          </cell>
          <cell r="E4998" t="str">
            <v>BR_CNPJ</v>
          </cell>
          <cell r="F4998" t="str">
            <v>14.514.296/0001-73</v>
          </cell>
        </row>
        <row r="4999">
          <cell r="A4999">
            <v>41382</v>
          </cell>
          <cell r="B4999" t="str">
            <v>CORPORATION</v>
          </cell>
          <cell r="C4999" t="str">
            <v>Saint-Gobain Distribuicao Brasil Ltda</v>
          </cell>
          <cell r="D4999" t="str">
            <v>Telhanorte</v>
          </cell>
          <cell r="E4999" t="str">
            <v>BR_CNPJ</v>
          </cell>
          <cell r="F4999" t="str">
            <v>03.840.986/0010-97</v>
          </cell>
          <cell r="G4999" t="str">
            <v>SAINT-GOBAIN</v>
          </cell>
        </row>
        <row r="5000">
          <cell r="A5000">
            <v>41384</v>
          </cell>
          <cell r="B5000" t="str">
            <v>CORPORATION</v>
          </cell>
          <cell r="C5000" t="str">
            <v>Diogo V Weirich Ltda</v>
          </cell>
          <cell r="D5000" t="str">
            <v>Grupo Mw</v>
          </cell>
          <cell r="E5000" t="str">
            <v>BR_CNPJ</v>
          </cell>
          <cell r="F5000" t="str">
            <v>80.389.661/0001-90</v>
          </cell>
        </row>
        <row r="5001">
          <cell r="A5001">
            <v>41390</v>
          </cell>
          <cell r="B5001" t="str">
            <v>CORPORATION</v>
          </cell>
          <cell r="C5001" t="str">
            <v>Gvb Comercio Ltda</v>
          </cell>
          <cell r="D5001" t="str">
            <v>Ferragista Alianca Parafusos</v>
          </cell>
          <cell r="E5001" t="str">
            <v>BR_CNPJ</v>
          </cell>
          <cell r="F5001" t="str">
            <v>53.529.377/0001-07</v>
          </cell>
          <cell r="G5001" t="str">
            <v>ALIANÇA PARAFUSOS</v>
          </cell>
        </row>
        <row r="5002">
          <cell r="A5002">
            <v>41392</v>
          </cell>
          <cell r="B5002" t="str">
            <v>CORPORATION</v>
          </cell>
          <cell r="C5002" t="str">
            <v>Plc Ferramentas Comercio Eletronico Ltda</v>
          </cell>
          <cell r="D5002" t="str">
            <v>Ferramentando Maquinas</v>
          </cell>
          <cell r="E5002" t="str">
            <v>BR_CNPJ</v>
          </cell>
          <cell r="F5002" t="str">
            <v>36.889.312/0001-45</v>
          </cell>
        </row>
        <row r="5003">
          <cell r="A5003">
            <v>41423</v>
          </cell>
          <cell r="B5003" t="str">
            <v>CORPORATION</v>
          </cell>
          <cell r="C5003" t="str">
            <v>E. A. De Souza Faria Com. De Equip. De Seg Eletronica Eireli</v>
          </cell>
          <cell r="D5003" t="str">
            <v>Segtec</v>
          </cell>
          <cell r="E5003" t="str">
            <v>BR_CNPJ</v>
          </cell>
          <cell r="F5003" t="str">
            <v>13.523.894/0001-46</v>
          </cell>
        </row>
        <row r="5004">
          <cell r="A5004">
            <v>41425</v>
          </cell>
          <cell r="B5004" t="str">
            <v>CORPORATION</v>
          </cell>
          <cell r="C5004" t="str">
            <v>Dafel Digital Comercio De Materiais De Construcao E Industriais Ltda</v>
          </cell>
          <cell r="D5004" t="str">
            <v>Dafel Digital</v>
          </cell>
          <cell r="E5004" t="str">
            <v>BR_CNPJ</v>
          </cell>
          <cell r="F5004" t="str">
            <v>43.769.536/0001-89</v>
          </cell>
          <cell r="G5004" t="str">
            <v>DAFEL</v>
          </cell>
        </row>
        <row r="5005">
          <cell r="A5005">
            <v>41432</v>
          </cell>
          <cell r="B5005" t="str">
            <v>CORPORATION</v>
          </cell>
          <cell r="C5005" t="str">
            <v>Avallone Comercio De Borrachas E Artefatos Ltda</v>
          </cell>
          <cell r="D5005" t="str">
            <v>Tapemag Comercio</v>
          </cell>
          <cell r="E5005" t="str">
            <v>BR_CNPJ</v>
          </cell>
          <cell r="F5005" t="str">
            <v>12.819.877/0001-98</v>
          </cell>
          <cell r="G5005" t="str">
            <v>TAPEMAG</v>
          </cell>
        </row>
        <row r="5006">
          <cell r="A5006">
            <v>41435</v>
          </cell>
          <cell r="B5006" t="str">
            <v>CORPORATION</v>
          </cell>
          <cell r="C5006" t="str">
            <v>Casa Do Plantador Do Pajeu Ltda</v>
          </cell>
          <cell r="D5006" t="str">
            <v>Casa Do Plantador Do Pajeu</v>
          </cell>
          <cell r="E5006" t="str">
            <v>BR_CNPJ</v>
          </cell>
          <cell r="F5006" t="str">
            <v>02.175.901/0001-40</v>
          </cell>
        </row>
        <row r="5007">
          <cell r="A5007">
            <v>41436</v>
          </cell>
          <cell r="B5007" t="str">
            <v>CORPORATION</v>
          </cell>
          <cell r="C5007" t="str">
            <v>Dafel Comercial De Ferro E Aluminio Ltda</v>
          </cell>
          <cell r="D5007" t="str">
            <v>Dafel</v>
          </cell>
          <cell r="E5007" t="str">
            <v>BR_CNPJ</v>
          </cell>
          <cell r="F5007" t="str">
            <v>08.518.829/0006-05</v>
          </cell>
          <cell r="G5007" t="str">
            <v>DAFEL</v>
          </cell>
        </row>
        <row r="5008">
          <cell r="A5008">
            <v>41450</v>
          </cell>
          <cell r="B5008" t="str">
            <v>CORPORATION</v>
          </cell>
          <cell r="C5008" t="str">
            <v>Maria Da Conceicao Silva Cruz</v>
          </cell>
          <cell r="D5008" t="str">
            <v>Ferparsa</v>
          </cell>
          <cell r="E5008" t="str">
            <v>BR_CNPJ</v>
          </cell>
          <cell r="F5008" t="str">
            <v>07.149.917/0001-00</v>
          </cell>
          <cell r="G5008" t="str">
            <v>FERPARSA</v>
          </cell>
        </row>
        <row r="5009">
          <cell r="A5009">
            <v>41455</v>
          </cell>
          <cell r="B5009" t="str">
            <v>CORPORATION</v>
          </cell>
          <cell r="C5009" t="str">
            <v>Wb Componentes Automotivos Ltda</v>
          </cell>
          <cell r="D5009" t="str">
            <v>Wb Componentes Automotivos</v>
          </cell>
          <cell r="E5009" t="str">
            <v>BR_CNPJ</v>
          </cell>
          <cell r="F5009" t="str">
            <v>08.528.393/0001-12</v>
          </cell>
          <cell r="G5009" t="str">
            <v>ORCA</v>
          </cell>
        </row>
        <row r="5010">
          <cell r="A5010">
            <v>41456</v>
          </cell>
          <cell r="B5010" t="str">
            <v>CORPORATION</v>
          </cell>
          <cell r="C5010" t="str">
            <v>Renan Rapchan Alves Pereira</v>
          </cell>
          <cell r="D5010" t="str">
            <v>R A Parafusos</v>
          </cell>
          <cell r="E5010" t="str">
            <v>BR_CNPJ</v>
          </cell>
          <cell r="F5010" t="str">
            <v>28.621.060/0001-40</v>
          </cell>
        </row>
        <row r="5011">
          <cell r="A5011">
            <v>41458</v>
          </cell>
          <cell r="B5011" t="str">
            <v>CORPORATION</v>
          </cell>
          <cell r="C5011" t="str">
            <v>Noe Joao Da Silva</v>
          </cell>
          <cell r="D5011" t="str">
            <v>Gms Centro De Compras</v>
          </cell>
          <cell r="E5011" t="str">
            <v>BR_CNPJ</v>
          </cell>
          <cell r="F5011" t="str">
            <v>07.073.525/0001-04</v>
          </cell>
        </row>
        <row r="5012">
          <cell r="A5012">
            <v>41459</v>
          </cell>
          <cell r="B5012" t="str">
            <v>CORPORATION</v>
          </cell>
          <cell r="C5012" t="str">
            <v>J. Batista Da Silva</v>
          </cell>
          <cell r="D5012" t="str">
            <v>Jb Ferramentas</v>
          </cell>
          <cell r="E5012" t="str">
            <v>BR_CNPJ</v>
          </cell>
          <cell r="F5012" t="str">
            <v>39.293.000/0001-62</v>
          </cell>
        </row>
        <row r="5013">
          <cell r="A5013">
            <v>41464</v>
          </cell>
          <cell r="B5013" t="str">
            <v>CORPORATION</v>
          </cell>
          <cell r="C5013" t="str">
            <v>Oxi-Baeta Materiais Para Solda Ltda</v>
          </cell>
          <cell r="D5013" t="str">
            <v>Oxi-Baeta</v>
          </cell>
          <cell r="E5013" t="str">
            <v>BR_CNPJ</v>
          </cell>
          <cell r="F5013" t="str">
            <v>00.270.697/0001-10</v>
          </cell>
        </row>
        <row r="5014">
          <cell r="A5014">
            <v>41466</v>
          </cell>
          <cell r="B5014" t="str">
            <v>CORPORATION</v>
          </cell>
          <cell r="C5014" t="str">
            <v>Saint-Gobain Distribuicão Brasil Ltda</v>
          </cell>
          <cell r="D5014" t="str">
            <v>Telhanorte (Tatuapé 2)</v>
          </cell>
          <cell r="E5014" t="str">
            <v>BR_CNPJ</v>
          </cell>
          <cell r="F5014" t="str">
            <v>03.840.986/0024-92</v>
          </cell>
          <cell r="G5014" t="str">
            <v>SAINT-GOBAIN</v>
          </cell>
        </row>
        <row r="5015">
          <cell r="A5015">
            <v>41471</v>
          </cell>
          <cell r="B5015" t="str">
            <v>CORPORATION</v>
          </cell>
          <cell r="C5015" t="str">
            <v>Saint-Gobain Distribuicao Brasil Ltda</v>
          </cell>
          <cell r="D5015" t="str">
            <v>Telhanorte (Agua Branca)</v>
          </cell>
          <cell r="E5015" t="str">
            <v>BR_CNPJ</v>
          </cell>
          <cell r="F5015" t="str">
            <v>03.840.986/0018-44</v>
          </cell>
          <cell r="G5015" t="str">
            <v>SAINT-GOBAIN</v>
          </cell>
        </row>
        <row r="5016">
          <cell r="A5016">
            <v>41472</v>
          </cell>
          <cell r="B5016" t="str">
            <v>CORPORATION</v>
          </cell>
          <cell r="C5016" t="str">
            <v>Jesuino E Parreira Ltda</v>
          </cell>
          <cell r="D5016" t="str">
            <v>Ipiranga Metais Jesuino</v>
          </cell>
          <cell r="E5016" t="str">
            <v>BR_CNPJ</v>
          </cell>
          <cell r="F5016" t="str">
            <v>00.264.076/0001-24</v>
          </cell>
          <cell r="G5016" t="str">
            <v>IPIRANGA METAIS</v>
          </cell>
        </row>
        <row r="5017">
          <cell r="A5017">
            <v>41473</v>
          </cell>
          <cell r="B5017" t="str">
            <v>CORPORATION</v>
          </cell>
          <cell r="C5017" t="str">
            <v>52.666.612 Glauco Carlos Ferreira</v>
          </cell>
          <cell r="D5017" t="str">
            <v>Glauaço</v>
          </cell>
          <cell r="E5017" t="str">
            <v>BR_CNPJ</v>
          </cell>
          <cell r="F5017" t="str">
            <v>52.666.612/0001-11</v>
          </cell>
        </row>
        <row r="5018">
          <cell r="A5018">
            <v>41477</v>
          </cell>
          <cell r="B5018" t="str">
            <v>CORPORATION</v>
          </cell>
          <cell r="C5018" t="str">
            <v>Goiasnorte Distribuidora Ltda</v>
          </cell>
          <cell r="D5018" t="str">
            <v>Ferragista Mundial</v>
          </cell>
          <cell r="E5018" t="str">
            <v>BR_CNPJ</v>
          </cell>
          <cell r="F5018" t="str">
            <v>43.742.229/0001-04</v>
          </cell>
          <cell r="G5018" t="str">
            <v>MUNDIAL</v>
          </cell>
        </row>
        <row r="5019">
          <cell r="A5019">
            <v>41481</v>
          </cell>
          <cell r="B5019" t="str">
            <v>CORPORATION</v>
          </cell>
          <cell r="C5019" t="str">
            <v>Renan Ramos Rodrigues 36244509803</v>
          </cell>
          <cell r="D5019" t="str">
            <v>R&amp;R Ferramentas</v>
          </cell>
          <cell r="E5019" t="str">
            <v>BR_CNPJ</v>
          </cell>
          <cell r="F5019" t="str">
            <v>33.481.093/0001-72</v>
          </cell>
        </row>
        <row r="5020">
          <cell r="A5020">
            <v>41483</v>
          </cell>
          <cell r="B5020" t="str">
            <v>CORPORATION</v>
          </cell>
          <cell r="C5020" t="str">
            <v>Imperio Ferramentas Ltda</v>
          </cell>
          <cell r="D5020" t="str">
            <v>Imperio Ferramentas</v>
          </cell>
          <cell r="E5020" t="str">
            <v>BR_CNPJ</v>
          </cell>
          <cell r="F5020" t="str">
            <v>54.104.573/0001-94</v>
          </cell>
          <cell r="G5020" t="str">
            <v>DIFERRO</v>
          </cell>
        </row>
        <row r="5021">
          <cell r="A5021">
            <v>41491</v>
          </cell>
          <cell r="B5021" t="str">
            <v>CORPORATION</v>
          </cell>
          <cell r="C5021" t="str">
            <v>Coliseu Comercio De Pecas, Ferramentas E Acessorios Ltda</v>
          </cell>
          <cell r="D5021" t="str">
            <v>Coliseu</v>
          </cell>
          <cell r="E5021" t="str">
            <v>BR_CNPJ</v>
          </cell>
          <cell r="F5021" t="str">
            <v>22.931.187/0001-80</v>
          </cell>
          <cell r="G5021" t="str">
            <v>COLISEU</v>
          </cell>
        </row>
        <row r="5022">
          <cell r="A5022">
            <v>41497</v>
          </cell>
          <cell r="B5022" t="str">
            <v>CORPORATION</v>
          </cell>
          <cell r="C5022" t="str">
            <v>J C Distribuidora Ltda</v>
          </cell>
          <cell r="D5022" t="str">
            <v>Jc Distribuidora</v>
          </cell>
          <cell r="E5022" t="str">
            <v>BR_CNPJ</v>
          </cell>
          <cell r="F5022" t="str">
            <v>02.477.785/0001-13</v>
          </cell>
        </row>
        <row r="5023">
          <cell r="A5023">
            <v>41503</v>
          </cell>
          <cell r="B5023" t="str">
            <v>CORPORATION</v>
          </cell>
          <cell r="C5023" t="str">
            <v>Caselar Artigos Para Marcenaria E Decoracao Ltda</v>
          </cell>
          <cell r="D5023" t="str">
            <v>Caselar</v>
          </cell>
          <cell r="E5023" t="str">
            <v>BR_CNPJ</v>
          </cell>
          <cell r="F5023" t="str">
            <v>05.101.950/0001-26</v>
          </cell>
        </row>
        <row r="5024">
          <cell r="A5024">
            <v>41506</v>
          </cell>
          <cell r="B5024" t="str">
            <v>CORPORATION</v>
          </cell>
          <cell r="C5024" t="str">
            <v>Ferragista Lima Alvarenga Ltda</v>
          </cell>
          <cell r="D5024" t="str">
            <v>Ferragista Lima Alvarenga</v>
          </cell>
          <cell r="E5024" t="str">
            <v>BR_CNPJ</v>
          </cell>
          <cell r="F5024" t="str">
            <v>43.472.781/0001-20</v>
          </cell>
          <cell r="G5024" t="str">
            <v>FERRAGISTA LIMA ALVARENGA</v>
          </cell>
        </row>
        <row r="5025">
          <cell r="A5025">
            <v>41511</v>
          </cell>
          <cell r="B5025" t="str">
            <v>CORPORATION</v>
          </cell>
          <cell r="C5025" t="str">
            <v>Gleice Kelly Da Silva Fronchetti</v>
          </cell>
          <cell r="D5025" t="str">
            <v>Gs Parafusos E Ferramentas</v>
          </cell>
          <cell r="E5025" t="str">
            <v>BR_CNPJ</v>
          </cell>
          <cell r="F5025" t="str">
            <v>45.969.428/0001-85</v>
          </cell>
        </row>
        <row r="5026">
          <cell r="A5026">
            <v>41514</v>
          </cell>
          <cell r="B5026" t="str">
            <v>CORPORATION</v>
          </cell>
          <cell r="C5026" t="str">
            <v>Ezequiel Dos Santos Damasceno 11112622764</v>
          </cell>
          <cell r="D5026" t="str">
            <v>Diga Gracas A Deus</v>
          </cell>
          <cell r="E5026" t="str">
            <v>BR_CNPJ</v>
          </cell>
          <cell r="F5026" t="str">
            <v>23.374.254/0001-75</v>
          </cell>
        </row>
        <row r="5027">
          <cell r="A5027">
            <v>41516</v>
          </cell>
          <cell r="B5027" t="str">
            <v>CORPORATION</v>
          </cell>
          <cell r="C5027" t="str">
            <v>Flavio Ferramentas E Epi Ltda</v>
          </cell>
          <cell r="D5027" t="str">
            <v>Flavio Ferramentas E Epi Ltda</v>
          </cell>
          <cell r="E5027" t="str">
            <v>BR_CNPJ</v>
          </cell>
          <cell r="F5027" t="str">
            <v>46.723.047/0001-84</v>
          </cell>
        </row>
        <row r="5028">
          <cell r="A5028">
            <v>41517</v>
          </cell>
          <cell r="B5028" t="str">
            <v>CORPORATION</v>
          </cell>
          <cell r="C5028" t="str">
            <v>Aferramentas Comercio De Ferramentas Eireli</v>
          </cell>
          <cell r="D5028" t="str">
            <v>Aferramentas</v>
          </cell>
          <cell r="E5028" t="str">
            <v>BR_CNPJ</v>
          </cell>
          <cell r="F5028" t="str">
            <v>29.817.591/0002-57</v>
          </cell>
          <cell r="G5028" t="str">
            <v>AFERRAMENTAS</v>
          </cell>
        </row>
        <row r="5029">
          <cell r="A5029">
            <v>41518</v>
          </cell>
          <cell r="B5029" t="str">
            <v>CORPORATION</v>
          </cell>
          <cell r="C5029" t="str">
            <v>D C Comercio Varejista De Materiais De Construcao Ltda</v>
          </cell>
          <cell r="D5029" t="str">
            <v>D C Comercio Varejista De Materiais De Construcao</v>
          </cell>
          <cell r="E5029" t="str">
            <v>BR_CNPJ</v>
          </cell>
          <cell r="F5029" t="str">
            <v>35.970.626/0001-05</v>
          </cell>
        </row>
        <row r="5030">
          <cell r="A5030">
            <v>41526</v>
          </cell>
          <cell r="B5030" t="str">
            <v>CORPORATION</v>
          </cell>
          <cell r="C5030" t="str">
            <v>Oriza Vieira Lima</v>
          </cell>
          <cell r="D5030" t="str">
            <v>Oriza</v>
          </cell>
          <cell r="E5030" t="str">
            <v>BR_CNPJ</v>
          </cell>
          <cell r="F5030" t="str">
            <v>03.867.404/0001-75</v>
          </cell>
          <cell r="G5030" t="str">
            <v>ORIZA</v>
          </cell>
        </row>
        <row r="5031">
          <cell r="A5031">
            <v>41529</v>
          </cell>
          <cell r="B5031" t="str">
            <v>CORPORATION</v>
          </cell>
          <cell r="C5031" t="str">
            <v>Kiodai Solucoes Inteligentes Ltda</v>
          </cell>
          <cell r="D5031" t="str">
            <v>Kiodai</v>
          </cell>
          <cell r="E5031" t="str">
            <v>BR_CNPJ</v>
          </cell>
          <cell r="F5031" t="str">
            <v>01.617.701/0001-37</v>
          </cell>
        </row>
        <row r="5032">
          <cell r="A5032">
            <v>41531</v>
          </cell>
          <cell r="B5032" t="str">
            <v>CORPORATION</v>
          </cell>
          <cell r="C5032" t="str">
            <v>S. Schaab &amp; E. Schaab Ltda</v>
          </cell>
          <cell r="D5032" t="str">
            <v>Multi Peças Agrícolas</v>
          </cell>
          <cell r="E5032" t="str">
            <v>BR_CNPJ</v>
          </cell>
          <cell r="F5032" t="str">
            <v>12.352.166/0001-56</v>
          </cell>
        </row>
        <row r="5033">
          <cell r="A5033">
            <v>41532</v>
          </cell>
          <cell r="B5033" t="str">
            <v>CORPORATION</v>
          </cell>
          <cell r="C5033" t="str">
            <v>Emmi Comercio E Representacoes Ltda</v>
          </cell>
          <cell r="D5033" t="str">
            <v>Emmi</v>
          </cell>
          <cell r="E5033" t="str">
            <v>BR_CNPJ</v>
          </cell>
          <cell r="F5033" t="str">
            <v>32.620.866/0001-91</v>
          </cell>
        </row>
        <row r="5034">
          <cell r="A5034">
            <v>41533</v>
          </cell>
          <cell r="B5034" t="str">
            <v>CORPORATION</v>
          </cell>
          <cell r="C5034" t="str">
            <v>Recautec Maquinas E Ferramentas Ltda</v>
          </cell>
          <cell r="D5034" t="str">
            <v>Recautec Maquinas E Ferramentas</v>
          </cell>
          <cell r="E5034" t="str">
            <v>BR_CNPJ</v>
          </cell>
          <cell r="F5034" t="str">
            <v>15.814.588/0004-37</v>
          </cell>
          <cell r="G5034" t="str">
            <v>RECAUTEC</v>
          </cell>
        </row>
        <row r="5035">
          <cell r="A5035">
            <v>41544</v>
          </cell>
          <cell r="B5035" t="str">
            <v>CORPORATION</v>
          </cell>
          <cell r="C5035" t="str">
            <v>Ponto Das Tintas Comercial Ltda</v>
          </cell>
          <cell r="D5035" t="str">
            <v>Ponto Das Tintas</v>
          </cell>
          <cell r="E5035" t="str">
            <v>BR_CNPJ</v>
          </cell>
          <cell r="F5035" t="str">
            <v>09.033.043/0001-48</v>
          </cell>
          <cell r="G5035" t="str">
            <v>PONTO DAS TINTAS</v>
          </cell>
        </row>
        <row r="5036">
          <cell r="A5036">
            <v>41547</v>
          </cell>
          <cell r="B5036" t="str">
            <v>CORPORATION</v>
          </cell>
          <cell r="C5036" t="str">
            <v>Moises Bernardo Barbosa</v>
          </cell>
          <cell r="D5036" t="str">
            <v>Casa De Ferragens Brasil (Loja Do Moises)</v>
          </cell>
          <cell r="E5036" t="str">
            <v>BR_CNPJ</v>
          </cell>
          <cell r="F5036" t="str">
            <v>05.162.652/0001-46</v>
          </cell>
        </row>
        <row r="5037">
          <cell r="A5037">
            <v>41561</v>
          </cell>
          <cell r="B5037" t="str">
            <v>CORPORATION</v>
          </cell>
          <cell r="C5037" t="str">
            <v>Victoria Maquinas E Equipamentos - Eireli</v>
          </cell>
          <cell r="D5037" t="str">
            <v>Victoria Maquinas E Equipamentos</v>
          </cell>
          <cell r="E5037" t="str">
            <v>BR_CNPJ</v>
          </cell>
          <cell r="F5037" t="str">
            <v>03.155.730/0001-50</v>
          </cell>
        </row>
        <row r="5038">
          <cell r="A5038">
            <v>41562</v>
          </cell>
          <cell r="B5038" t="str">
            <v>CORPORATION</v>
          </cell>
          <cell r="C5038" t="str">
            <v>Karen Cardoso Da Silva Souza</v>
          </cell>
          <cell r="D5038" t="str">
            <v>Fogao E Cia</v>
          </cell>
          <cell r="E5038" t="str">
            <v>BR_CNPJ</v>
          </cell>
          <cell r="F5038" t="str">
            <v>19.526.273/0001-00</v>
          </cell>
        </row>
        <row r="5039">
          <cell r="A5039">
            <v>41563</v>
          </cell>
          <cell r="B5039" t="str">
            <v>CORPORATION</v>
          </cell>
          <cell r="C5039" t="str">
            <v>Utra Mix Distribuidora Ltda</v>
          </cell>
          <cell r="D5039" t="str">
            <v>Ultra Mix Distribuidora</v>
          </cell>
          <cell r="E5039" t="str">
            <v>BR_CNPJ</v>
          </cell>
          <cell r="F5039" t="str">
            <v>09.199.954/0001-40</v>
          </cell>
        </row>
        <row r="5040">
          <cell r="A5040">
            <v>41564</v>
          </cell>
          <cell r="B5040" t="str">
            <v>CORPORATION</v>
          </cell>
          <cell r="C5040" t="str">
            <v>Reginaldo Aparecido Da Silva Eireli</v>
          </cell>
          <cell r="D5040" t="str">
            <v>Vitoria Distribuidora</v>
          </cell>
          <cell r="E5040" t="str">
            <v>BR_CNPJ</v>
          </cell>
          <cell r="F5040" t="str">
            <v>22.033.469/0001-60</v>
          </cell>
        </row>
        <row r="5041">
          <cell r="A5041">
            <v>41568</v>
          </cell>
          <cell r="B5041" t="str">
            <v>CORPORATION</v>
          </cell>
          <cell r="C5041" t="str">
            <v>L Cabral Dos Reis Manutencao De Maquinas</v>
          </cell>
          <cell r="D5041" t="str">
            <v>Industrias Reis</v>
          </cell>
          <cell r="E5041" t="str">
            <v>BR_CNPJ</v>
          </cell>
          <cell r="F5041" t="str">
            <v>11.918.149/0001-70</v>
          </cell>
        </row>
        <row r="5042">
          <cell r="A5042">
            <v>41571</v>
          </cell>
          <cell r="B5042" t="str">
            <v>CORPORATION</v>
          </cell>
          <cell r="C5042" t="str">
            <v>Rodrigo S Santana</v>
          </cell>
          <cell r="D5042" t="str">
            <v>Ac Dc Maquinas E Suprimentos De Solda</v>
          </cell>
          <cell r="E5042" t="str">
            <v>BR_CNPJ</v>
          </cell>
          <cell r="F5042" t="str">
            <v>28.731.793/0001-38</v>
          </cell>
        </row>
        <row r="5043">
          <cell r="A5043">
            <v>41578</v>
          </cell>
          <cell r="B5043" t="str">
            <v>CORPORATION</v>
          </cell>
          <cell r="C5043" t="str">
            <v>Fortsmaq Comercio De Ferramentas Eireli</v>
          </cell>
          <cell r="D5043" t="str">
            <v>Fortsmaq</v>
          </cell>
          <cell r="E5043" t="str">
            <v>BR_CNPJ</v>
          </cell>
          <cell r="F5043" t="str">
            <v>15.615.383/0001-80</v>
          </cell>
          <cell r="G5043" t="str">
            <v>FORTSMAQ</v>
          </cell>
        </row>
        <row r="5044">
          <cell r="A5044">
            <v>41582</v>
          </cell>
          <cell r="B5044" t="str">
            <v>CORPORATION</v>
          </cell>
          <cell r="C5044" t="str">
            <v>Construzilo Ltda</v>
          </cell>
          <cell r="D5044" t="str">
            <v>Construzilo</v>
          </cell>
          <cell r="E5044" t="str">
            <v>BR_CNPJ</v>
          </cell>
          <cell r="F5044" t="str">
            <v>32.683.182/0001-39</v>
          </cell>
        </row>
        <row r="5045">
          <cell r="A5045">
            <v>41588</v>
          </cell>
          <cell r="B5045" t="str">
            <v>CORPORATION</v>
          </cell>
          <cell r="C5045" t="str">
            <v>Ferragista Damazio Ltda</v>
          </cell>
          <cell r="D5045" t="str">
            <v>Ferragista Damazio</v>
          </cell>
          <cell r="E5045" t="str">
            <v>BR_CNPJ</v>
          </cell>
          <cell r="F5045" t="str">
            <v>14.465.849/0001-45</v>
          </cell>
          <cell r="G5045" t="str">
            <v>FERRAGISTA DAMAZIO</v>
          </cell>
        </row>
        <row r="5046">
          <cell r="A5046">
            <v>41593</v>
          </cell>
          <cell r="B5046" t="str">
            <v>CORPORATION</v>
          </cell>
          <cell r="C5046" t="str">
            <v>Joice De Sousa Barros 01632199157</v>
          </cell>
          <cell r="D5046" t="str">
            <v>Joice Ferramentas</v>
          </cell>
          <cell r="E5046" t="str">
            <v>BR_CNPJ</v>
          </cell>
          <cell r="F5046" t="str">
            <v>43.803.638/0001-73</v>
          </cell>
          <cell r="G5046" t="str">
            <v>JOICE FERRAMENTAS</v>
          </cell>
        </row>
        <row r="5047">
          <cell r="A5047">
            <v>41596</v>
          </cell>
          <cell r="B5047" t="str">
            <v>CORPORATION</v>
          </cell>
          <cell r="C5047" t="str">
            <v>One Comercial Ltda</v>
          </cell>
          <cell r="D5047" t="str">
            <v>One Comercial</v>
          </cell>
          <cell r="E5047" t="str">
            <v>BR_CNPJ</v>
          </cell>
          <cell r="F5047" t="str">
            <v>14.517.117/0001-51</v>
          </cell>
        </row>
        <row r="5048">
          <cell r="A5048">
            <v>41605</v>
          </cell>
          <cell r="B5048" t="str">
            <v>CORPORATION</v>
          </cell>
          <cell r="C5048" t="str">
            <v>Aumax Automacao E Distribuicao Ltda</v>
          </cell>
          <cell r="D5048" t="str">
            <v>Aumax Mobilidade</v>
          </cell>
          <cell r="E5048" t="str">
            <v>BR_CNPJ</v>
          </cell>
          <cell r="F5048" t="str">
            <v>22.175.971/0001-05</v>
          </cell>
        </row>
        <row r="5049">
          <cell r="A5049">
            <v>41611</v>
          </cell>
          <cell r="B5049" t="str">
            <v>CORPORATION</v>
          </cell>
          <cell r="C5049" t="str">
            <v>Dudu Maquinas Ferramentas E Equipamentos Ltda</v>
          </cell>
          <cell r="D5049" t="str">
            <v>Dudu Maquinas</v>
          </cell>
          <cell r="E5049" t="str">
            <v>BR_CNPJ</v>
          </cell>
          <cell r="F5049" t="str">
            <v>46.651.721/0001-62</v>
          </cell>
        </row>
        <row r="5050">
          <cell r="A5050">
            <v>41613</v>
          </cell>
          <cell r="B5050" t="str">
            <v>CORPORATION</v>
          </cell>
          <cell r="C5050" t="str">
            <v>A L Dantas Da Silva</v>
          </cell>
          <cell r="D5050" t="str">
            <v>Centro Da Construção</v>
          </cell>
          <cell r="E5050" t="str">
            <v>BR_CNPJ</v>
          </cell>
          <cell r="F5050" t="str">
            <v>04.847.821/0001-19</v>
          </cell>
        </row>
        <row r="5051">
          <cell r="A5051">
            <v>41614</v>
          </cell>
          <cell r="B5051" t="str">
            <v>CORPORATION</v>
          </cell>
          <cell r="C5051" t="str">
            <v>Mg7 Maquinas E Ferramentas Ltda</v>
          </cell>
          <cell r="D5051" t="str">
            <v>Mg7 Maquinas E Ferramentas</v>
          </cell>
          <cell r="E5051" t="str">
            <v>BR_CNPJ</v>
          </cell>
          <cell r="F5051" t="str">
            <v>26.463.066/0001-01</v>
          </cell>
        </row>
        <row r="5052">
          <cell r="A5052">
            <v>41618</v>
          </cell>
          <cell r="B5052" t="str">
            <v>CORPORATION</v>
          </cell>
          <cell r="C5052" t="str">
            <v>Fortsmaq Comercio De Ferramentas Eireli</v>
          </cell>
          <cell r="D5052" t="str">
            <v>Fortsmaq</v>
          </cell>
          <cell r="E5052" t="str">
            <v>BR_CNPJ</v>
          </cell>
          <cell r="F5052" t="str">
            <v>15.615.383/0002-60</v>
          </cell>
          <cell r="G5052" t="str">
            <v>FORTSMAQ</v>
          </cell>
        </row>
        <row r="5053">
          <cell r="A5053">
            <v>41621</v>
          </cell>
          <cell r="B5053" t="str">
            <v>CORPORATION</v>
          </cell>
          <cell r="C5053" t="str">
            <v>Industria, Distribuidora E Comercio Bom Preco Ltda</v>
          </cell>
          <cell r="D5053" t="str">
            <v>Aco Vale</v>
          </cell>
          <cell r="E5053" t="str">
            <v>BR_CNPJ</v>
          </cell>
          <cell r="F5053" t="str">
            <v>10.254.127/0001-90</v>
          </cell>
          <cell r="G5053" t="str">
            <v>BOM PREÇO</v>
          </cell>
        </row>
        <row r="5054">
          <cell r="A5054">
            <v>41622</v>
          </cell>
          <cell r="B5054" t="str">
            <v>CORPORATION</v>
          </cell>
          <cell r="C5054" t="str">
            <v>Luiz Tadeo Damaschi</v>
          </cell>
          <cell r="D5054" t="str">
            <v>Tnutri Tecnologia E Servicos</v>
          </cell>
          <cell r="E5054" t="str">
            <v>BR_CNPJ</v>
          </cell>
          <cell r="F5054" t="str">
            <v>01.424.128/0001-45</v>
          </cell>
        </row>
        <row r="5055">
          <cell r="A5055">
            <v>41627</v>
          </cell>
          <cell r="B5055" t="str">
            <v>CORPORATION</v>
          </cell>
          <cell r="C5055" t="str">
            <v>M De F Pereira De Menezes</v>
          </cell>
          <cell r="D5055" t="str">
            <v>A Construferro</v>
          </cell>
          <cell r="E5055" t="str">
            <v>BR_CNPJ</v>
          </cell>
          <cell r="F5055" t="str">
            <v>04.990.153/0001-84</v>
          </cell>
        </row>
        <row r="5056">
          <cell r="A5056">
            <v>41630</v>
          </cell>
          <cell r="B5056" t="str">
            <v>CORPORATION</v>
          </cell>
          <cell r="C5056" t="str">
            <v>K.R.M - Comercio De Material Eletrico Ltda</v>
          </cell>
          <cell r="D5056" t="str">
            <v>K.R.M Eletrica E Hidraulica</v>
          </cell>
          <cell r="E5056" t="str">
            <v>BR_CNPJ</v>
          </cell>
          <cell r="F5056" t="str">
            <v>19.628.766/0001-43</v>
          </cell>
        </row>
        <row r="5057">
          <cell r="A5057">
            <v>41632</v>
          </cell>
          <cell r="B5057" t="str">
            <v>CORPORATION</v>
          </cell>
          <cell r="C5057" t="str">
            <v>Uau Ferramentas Eireli</v>
          </cell>
          <cell r="D5057" t="str">
            <v>Lojão Dos Parafusos Uau</v>
          </cell>
          <cell r="E5057" t="str">
            <v>BR_CNPJ</v>
          </cell>
          <cell r="F5057" t="str">
            <v>31.695.591/0001-92</v>
          </cell>
          <cell r="G5057" t="str">
            <v>LOJAO DOS PARAFUSOS</v>
          </cell>
        </row>
        <row r="5058">
          <cell r="A5058">
            <v>41641</v>
          </cell>
          <cell r="B5058" t="str">
            <v>CORPORATION</v>
          </cell>
          <cell r="C5058" t="str">
            <v>Marson Metal Industria E Comercio Ltda</v>
          </cell>
          <cell r="D5058" t="str">
            <v>Marson Metal</v>
          </cell>
          <cell r="E5058" t="str">
            <v>BR_CNPJ</v>
          </cell>
          <cell r="F5058" t="str">
            <v>47.941.539/0001-09</v>
          </cell>
        </row>
        <row r="5059">
          <cell r="A5059">
            <v>41645</v>
          </cell>
          <cell r="B5059" t="str">
            <v>CORPORATION</v>
          </cell>
          <cell r="C5059" t="str">
            <v>Nova Casa - Maquinas, Ferramentas E Epis Ltda</v>
          </cell>
          <cell r="D5059" t="str">
            <v>Arco De Pua Parafusos E Ferramentas Em Geral</v>
          </cell>
          <cell r="E5059" t="str">
            <v>BR_CNPJ</v>
          </cell>
          <cell r="F5059" t="str">
            <v>54.696.102/0001-12</v>
          </cell>
          <cell r="G5059" t="str">
            <v>ARCO DE PUA</v>
          </cell>
        </row>
        <row r="5060">
          <cell r="A5060">
            <v>41650</v>
          </cell>
          <cell r="B5060" t="str">
            <v>CORPORATION</v>
          </cell>
          <cell r="C5060" t="str">
            <v>Triade Votuporanga Aluguel De Maquinas E Equipamentos Ltda</v>
          </cell>
          <cell r="D5060" t="str">
            <v>Casa Do Construtor Votuporanga</v>
          </cell>
          <cell r="E5060" t="str">
            <v>BR_CNPJ</v>
          </cell>
          <cell r="F5060" t="str">
            <v>21.891.922/0001-06</v>
          </cell>
          <cell r="G5060" t="str">
            <v>CASA DO CONSTRUTOR</v>
          </cell>
        </row>
        <row r="5061">
          <cell r="A5061">
            <v>41652</v>
          </cell>
          <cell r="B5061" t="str">
            <v>CORPORATION</v>
          </cell>
          <cell r="C5061" t="str">
            <v>Vanilson B. Sousa De Almeida</v>
          </cell>
          <cell r="D5061" t="str">
            <v>Ferragri - Ferramentas E Ferragens Agricola</v>
          </cell>
          <cell r="E5061" t="str">
            <v>BR_CNPJ</v>
          </cell>
          <cell r="F5061" t="str">
            <v>03.620.607/0001-62</v>
          </cell>
        </row>
        <row r="5062">
          <cell r="A5062">
            <v>41654</v>
          </cell>
          <cell r="B5062" t="str">
            <v>CORPORATION</v>
          </cell>
          <cell r="C5062" t="str">
            <v>51.856.212 Priscila Midian Martins Costa Carvalho</v>
          </cell>
          <cell r="D5062" t="str">
            <v>Jpl Soldas</v>
          </cell>
          <cell r="E5062" t="str">
            <v>BR_CNPJ</v>
          </cell>
          <cell r="F5062" t="str">
            <v>51.856.212/0001-06</v>
          </cell>
        </row>
        <row r="5063">
          <cell r="A5063">
            <v>41655</v>
          </cell>
          <cell r="B5063" t="str">
            <v>CORPORATION</v>
          </cell>
          <cell r="C5063" t="str">
            <v>Rl Locacoes De Maquinas E Equipamentos Para Construcao Ltda</v>
          </cell>
          <cell r="D5063" t="str">
            <v>Loc Maquinas</v>
          </cell>
          <cell r="E5063" t="str">
            <v>BR_CNPJ</v>
          </cell>
          <cell r="F5063" t="str">
            <v>12.001.663/0001-00</v>
          </cell>
        </row>
        <row r="5064">
          <cell r="A5064">
            <v>41662</v>
          </cell>
          <cell r="B5064" t="str">
            <v>CORPORATION</v>
          </cell>
          <cell r="C5064" t="str">
            <v>Cooperativa Dos Plantadores De Cana Do Estado Sao Paulo</v>
          </cell>
          <cell r="D5064" t="str">
            <v>Coplacana (Assis)</v>
          </cell>
          <cell r="E5064" t="str">
            <v>BR_CNPJ</v>
          </cell>
          <cell r="F5064" t="str">
            <v>54.366.547/0011-06</v>
          </cell>
          <cell r="G5064" t="str">
            <v>COPLACANA</v>
          </cell>
        </row>
        <row r="5065">
          <cell r="A5065">
            <v>41666</v>
          </cell>
          <cell r="B5065" t="str">
            <v>CORPORATION</v>
          </cell>
          <cell r="C5065" t="str">
            <v>Comercio De Ferragens Machadinho Ltda</v>
          </cell>
          <cell r="D5065" t="str">
            <v>Casa Do Marceneiro</v>
          </cell>
          <cell r="E5065" t="str">
            <v>BR_CNPJ</v>
          </cell>
          <cell r="F5065" t="str">
            <v>05.538.834/0001-79</v>
          </cell>
        </row>
        <row r="5066">
          <cell r="A5066">
            <v>41667</v>
          </cell>
          <cell r="B5066" t="str">
            <v>CORPORATION</v>
          </cell>
          <cell r="C5066" t="str">
            <v>Maria Sirlene Castro Viana Dourado 03743975548</v>
          </cell>
          <cell r="D5066" t="str">
            <v>S Castro</v>
          </cell>
          <cell r="E5066" t="str">
            <v>BR_CNPJ</v>
          </cell>
          <cell r="F5066" t="str">
            <v>36.640.220/0001-27</v>
          </cell>
        </row>
        <row r="5067">
          <cell r="A5067">
            <v>41669</v>
          </cell>
          <cell r="B5067" t="str">
            <v>CORPORATION</v>
          </cell>
          <cell r="C5067" t="str">
            <v>Uniao Com. De Maquinas E Implementos Agricola Eireli</v>
          </cell>
          <cell r="D5067" t="str">
            <v>Uniao Maquinas E Implementos Agricola</v>
          </cell>
          <cell r="E5067" t="str">
            <v>BR_CNPJ</v>
          </cell>
          <cell r="F5067" t="str">
            <v>35.629.573/0001-63</v>
          </cell>
        </row>
        <row r="5068">
          <cell r="A5068">
            <v>41672</v>
          </cell>
          <cell r="B5068" t="str">
            <v>CORPORATION</v>
          </cell>
          <cell r="C5068" t="str">
            <v>Paulo C. Souza</v>
          </cell>
          <cell r="D5068" t="str">
            <v>Parafusaço</v>
          </cell>
          <cell r="E5068" t="str">
            <v>BR_CNPJ</v>
          </cell>
          <cell r="F5068" t="str">
            <v>07.739.982/0001-87</v>
          </cell>
        </row>
        <row r="5069">
          <cell r="A5069">
            <v>41680</v>
          </cell>
          <cell r="B5069" t="str">
            <v>CORPORATION</v>
          </cell>
          <cell r="C5069" t="str">
            <v>R. Bernardi Junior &amp; Cia Ltda</v>
          </cell>
          <cell r="D5069" t="str">
            <v>R. Bernardi Junior &amp; Cia Ltda</v>
          </cell>
          <cell r="E5069" t="str">
            <v>BR_CNPJ</v>
          </cell>
          <cell r="F5069" t="str">
            <v>57.510.893/0001-32</v>
          </cell>
        </row>
        <row r="5070">
          <cell r="A5070">
            <v>41685</v>
          </cell>
          <cell r="B5070" t="str">
            <v>CORPORATION</v>
          </cell>
          <cell r="C5070" t="str">
            <v>Jbs Parafusos Ltda</v>
          </cell>
          <cell r="D5070" t="str">
            <v>Jbs Parafusos</v>
          </cell>
          <cell r="E5070" t="str">
            <v>BR_CNPJ</v>
          </cell>
          <cell r="F5070" t="str">
            <v>04.629.679/0001-33</v>
          </cell>
          <cell r="G5070" t="str">
            <v>EFETA MOVEIS</v>
          </cell>
        </row>
        <row r="5071">
          <cell r="A5071">
            <v>41691</v>
          </cell>
          <cell r="B5071" t="str">
            <v>CORPORATION</v>
          </cell>
          <cell r="C5071" t="str">
            <v>Bela Caixa Comercio E Pintura Ltda</v>
          </cell>
          <cell r="D5071" t="str">
            <v>Bela Caixa Comercio E Pintura Ltda</v>
          </cell>
          <cell r="E5071" t="str">
            <v>BR_CNPJ</v>
          </cell>
          <cell r="F5071" t="str">
            <v>11.185.814/0001-64</v>
          </cell>
        </row>
        <row r="5072">
          <cell r="A5072">
            <v>41694</v>
          </cell>
          <cell r="B5072" t="str">
            <v>CORPORATION</v>
          </cell>
          <cell r="C5072" t="str">
            <v>Shopping Atacadista Material Eletrico Ltda</v>
          </cell>
          <cell r="D5072" t="str">
            <v>Shopping Atacadista</v>
          </cell>
          <cell r="E5072" t="str">
            <v>BR_CNPJ</v>
          </cell>
          <cell r="F5072" t="str">
            <v>44.547.443/0001-72</v>
          </cell>
        </row>
        <row r="5073">
          <cell r="A5073">
            <v>41695</v>
          </cell>
          <cell r="B5073" t="str">
            <v>CORPORATION</v>
          </cell>
          <cell r="C5073" t="str">
            <v>Comercio De Ferragens Brasil Ltda</v>
          </cell>
          <cell r="D5073" t="str">
            <v>Ferragens Brasil</v>
          </cell>
          <cell r="E5073" t="str">
            <v>BR_CNPJ</v>
          </cell>
          <cell r="F5073" t="str">
            <v>09.404.579/0001-22</v>
          </cell>
        </row>
        <row r="5074">
          <cell r="A5074">
            <v>41697</v>
          </cell>
          <cell r="B5074" t="str">
            <v>CORPORATION</v>
          </cell>
          <cell r="C5074" t="str">
            <v>Hulk Montagens E Servicos Industriais Ltda</v>
          </cell>
          <cell r="D5074" t="str">
            <v>Hulk Locacoes E Servicos</v>
          </cell>
          <cell r="E5074" t="str">
            <v>BR_CNPJ</v>
          </cell>
          <cell r="F5074" t="str">
            <v>33.626.397/0001-80</v>
          </cell>
        </row>
        <row r="5075">
          <cell r="A5075">
            <v>41698</v>
          </cell>
          <cell r="B5075" t="str">
            <v>CORPORATION</v>
          </cell>
          <cell r="C5075" t="str">
            <v>M W De Faria</v>
          </cell>
          <cell r="D5075" t="str">
            <v>Irrimaq</v>
          </cell>
          <cell r="E5075" t="str">
            <v>BR_CNPJ</v>
          </cell>
          <cell r="F5075" t="str">
            <v>05.213.498/0001-94</v>
          </cell>
        </row>
        <row r="5076">
          <cell r="A5076">
            <v>41705</v>
          </cell>
          <cell r="B5076" t="str">
            <v>CORPORATION</v>
          </cell>
          <cell r="C5076" t="str">
            <v>Afonso De Sobral Macedo</v>
          </cell>
          <cell r="D5076" t="str">
            <v>Macedo Construcao</v>
          </cell>
          <cell r="E5076" t="str">
            <v>BR_CNPJ</v>
          </cell>
          <cell r="F5076" t="str">
            <v>33.807.644/0001-45</v>
          </cell>
        </row>
        <row r="5077">
          <cell r="A5077">
            <v>41707</v>
          </cell>
          <cell r="B5077" t="str">
            <v>CORPORATION</v>
          </cell>
          <cell r="C5077" t="str">
            <v>Omni Automatech Ltda</v>
          </cell>
          <cell r="D5077" t="str">
            <v>Omni Automateck</v>
          </cell>
          <cell r="E5077" t="str">
            <v>BR_CNPJ</v>
          </cell>
          <cell r="F5077" t="str">
            <v>09.327.048/0001-83</v>
          </cell>
        </row>
        <row r="5078">
          <cell r="A5078">
            <v>41708</v>
          </cell>
          <cell r="B5078" t="str">
            <v>CORPORATION</v>
          </cell>
          <cell r="C5078" t="str">
            <v>Natanael Martins 12242573675</v>
          </cell>
          <cell r="D5078" t="str">
            <v>Sol Livre</v>
          </cell>
          <cell r="E5078" t="str">
            <v>BR_CNPJ</v>
          </cell>
          <cell r="F5078" t="str">
            <v>29.636.241/0001-03</v>
          </cell>
        </row>
        <row r="5079">
          <cell r="A5079">
            <v>41709</v>
          </cell>
          <cell r="B5079" t="str">
            <v>CORPORATION</v>
          </cell>
          <cell r="C5079" t="str">
            <v>Jd Ferragista E Distribuidora De Ferragens Ltda</v>
          </cell>
          <cell r="D5079" t="str">
            <v>Jd Ferragista E Distribuidora</v>
          </cell>
          <cell r="E5079" t="str">
            <v>BR_CNPJ</v>
          </cell>
          <cell r="F5079" t="str">
            <v>12.068.304/0001-70</v>
          </cell>
        </row>
        <row r="5080">
          <cell r="A5080">
            <v>41741</v>
          </cell>
          <cell r="B5080" t="str">
            <v>CORPORATION</v>
          </cell>
          <cell r="C5080" t="str">
            <v>Deposito Fernandes Materiais De Construção E Ferragista Eireli</v>
          </cell>
          <cell r="D5080" t="str">
            <v>Deposito Fernandes</v>
          </cell>
          <cell r="E5080" t="str">
            <v>BR_CNPJ</v>
          </cell>
          <cell r="F5080" t="str">
            <v>40.446.968/0001-60</v>
          </cell>
        </row>
        <row r="5081">
          <cell r="A5081">
            <v>41743</v>
          </cell>
          <cell r="B5081" t="str">
            <v>CORPORATION</v>
          </cell>
          <cell r="C5081" t="str">
            <v>A C Machado &amp; Cia Ltda</v>
          </cell>
          <cell r="D5081" t="str">
            <v>Aristeu Ferragens</v>
          </cell>
          <cell r="E5081" t="str">
            <v>BR_CNPJ</v>
          </cell>
          <cell r="F5081" t="str">
            <v>85.029.536/0001-92</v>
          </cell>
        </row>
        <row r="5082">
          <cell r="A5082">
            <v>41745</v>
          </cell>
          <cell r="B5082" t="str">
            <v>CORPORATION</v>
          </cell>
          <cell r="C5082" t="str">
            <v>Sbardelini, Gabricho &amp; Cia. Ltda.</v>
          </cell>
          <cell r="D5082" t="str">
            <v>Gol Materiais Para Construcao</v>
          </cell>
          <cell r="E5082" t="str">
            <v>BR_CNPJ</v>
          </cell>
          <cell r="F5082" t="str">
            <v>03.077.824/0007-43</v>
          </cell>
          <cell r="G5082" t="str">
            <v>FUZIL</v>
          </cell>
        </row>
        <row r="5083">
          <cell r="A5083">
            <v>41781</v>
          </cell>
          <cell r="B5083" t="str">
            <v>CORPORATION</v>
          </cell>
          <cell r="C5083" t="str">
            <v>G Leao Teles</v>
          </cell>
          <cell r="D5083" t="str">
            <v>Teles Construcao</v>
          </cell>
          <cell r="E5083" t="str">
            <v>BR_CNPJ</v>
          </cell>
          <cell r="F5083" t="str">
            <v>02.563.485/0001-57</v>
          </cell>
        </row>
        <row r="5084">
          <cell r="A5084">
            <v>41784</v>
          </cell>
          <cell r="B5084" t="str">
            <v>CORPORATION</v>
          </cell>
          <cell r="C5084" t="str">
            <v>Suprema Ferragens Ltda</v>
          </cell>
          <cell r="D5084" t="str">
            <v>Suprema Ferragens</v>
          </cell>
          <cell r="E5084" t="str">
            <v>BR_CNPJ</v>
          </cell>
          <cell r="F5084" t="str">
            <v>29.328.993/0001-07</v>
          </cell>
        </row>
        <row r="5085">
          <cell r="A5085">
            <v>41786</v>
          </cell>
          <cell r="B5085" t="str">
            <v>CORPORATION</v>
          </cell>
          <cell r="C5085" t="str">
            <v>Lanca Produtos - Comercio E Servicos Ltda</v>
          </cell>
          <cell r="D5085" t="str">
            <v>Lanca Produtos</v>
          </cell>
          <cell r="E5085" t="str">
            <v>BR_CNPJ</v>
          </cell>
          <cell r="F5085" t="str">
            <v>44.258.379/0001-00</v>
          </cell>
        </row>
        <row r="5086">
          <cell r="A5086">
            <v>41788</v>
          </cell>
          <cell r="B5086" t="str">
            <v>CORPORATION</v>
          </cell>
          <cell r="C5086" t="str">
            <v>Mauricio Armellin</v>
          </cell>
          <cell r="D5086" t="str">
            <v>Galpao Parafusos</v>
          </cell>
          <cell r="E5086" t="str">
            <v>BR_CNPJ</v>
          </cell>
          <cell r="F5086" t="str">
            <v>02.250.941/0001-09</v>
          </cell>
        </row>
        <row r="5087">
          <cell r="A5087">
            <v>41791</v>
          </cell>
          <cell r="B5087" t="str">
            <v>CORPORATION</v>
          </cell>
          <cell r="C5087" t="str">
            <v>J.C Mascarenhas Aguiar &amp; Cia Ltda.</v>
          </cell>
          <cell r="D5087" t="str">
            <v>Mascarenhas Aguiar</v>
          </cell>
          <cell r="E5087" t="str">
            <v>BR_CNPJ</v>
          </cell>
          <cell r="F5087" t="str">
            <v>04.485.540/0001-63</v>
          </cell>
        </row>
        <row r="5088">
          <cell r="A5088">
            <v>41793</v>
          </cell>
          <cell r="B5088" t="str">
            <v>CORPORATION</v>
          </cell>
          <cell r="C5088" t="str">
            <v>49.720.319 Gustavo Henrique Miranda Silva</v>
          </cell>
          <cell r="D5088" t="str">
            <v>Ferragista Freitas</v>
          </cell>
          <cell r="E5088" t="str">
            <v>BR_CNPJ</v>
          </cell>
          <cell r="F5088" t="str">
            <v>49.720.319/0001-80</v>
          </cell>
        </row>
        <row r="5089">
          <cell r="A5089">
            <v>41814</v>
          </cell>
          <cell r="B5089" t="str">
            <v>CORPORATION</v>
          </cell>
          <cell r="C5089" t="str">
            <v>Gkseg Epi Maquinas E Equipamentos Ltda</v>
          </cell>
          <cell r="D5089" t="str">
            <v>Gkseg Maquinas E Equipamentos</v>
          </cell>
          <cell r="E5089" t="str">
            <v>BR_CNPJ</v>
          </cell>
          <cell r="F5089" t="str">
            <v>11.191.946/0001-07</v>
          </cell>
        </row>
        <row r="5090">
          <cell r="A5090">
            <v>41818</v>
          </cell>
          <cell r="B5090" t="str">
            <v>CORPORATION</v>
          </cell>
          <cell r="C5090" t="str">
            <v>Duplor Comercio De Ferramentas Industriais E Servicos Ltda</v>
          </cell>
          <cell r="D5090" t="str">
            <v>Ddmaquinas</v>
          </cell>
          <cell r="E5090" t="str">
            <v>BR_CNPJ</v>
          </cell>
          <cell r="F5090" t="str">
            <v>10.622.178/0001-28</v>
          </cell>
        </row>
        <row r="5091">
          <cell r="A5091">
            <v>41820</v>
          </cell>
          <cell r="B5091" t="str">
            <v>CORPORATION</v>
          </cell>
          <cell r="C5091" t="str">
            <v>Deposito Do Chefe Ltda</v>
          </cell>
          <cell r="D5091" t="str">
            <v>Zefer</v>
          </cell>
          <cell r="E5091" t="str">
            <v>BR_CNPJ</v>
          </cell>
          <cell r="F5091" t="str">
            <v>96.455.738/0001-12</v>
          </cell>
        </row>
        <row r="5092">
          <cell r="A5092">
            <v>41822</v>
          </cell>
          <cell r="B5092" t="str">
            <v>CORPORATION</v>
          </cell>
          <cell r="C5092" t="str">
            <v>Luvas Rio Preto Ltda</v>
          </cell>
          <cell r="D5092" t="str">
            <v>Luvas Rio Preto</v>
          </cell>
          <cell r="E5092" t="str">
            <v>BR_CNPJ</v>
          </cell>
          <cell r="F5092" t="str">
            <v>22.469.536/0001-93</v>
          </cell>
          <cell r="G5092" t="str">
            <v>LUVAS RIO PRETO</v>
          </cell>
        </row>
        <row r="5093">
          <cell r="A5093">
            <v>41842</v>
          </cell>
          <cell r="B5093" t="str">
            <v>CORPORATION</v>
          </cell>
          <cell r="C5093" t="str">
            <v>Jps Materiais De Construcao E Decoracoes Ltda</v>
          </cell>
          <cell r="D5093" t="str">
            <v>Joviki</v>
          </cell>
          <cell r="E5093" t="str">
            <v>BR_CNPJ</v>
          </cell>
          <cell r="F5093" t="str">
            <v>12.063.217/0001-20</v>
          </cell>
          <cell r="G5093" t="str">
            <v>JOVIKI</v>
          </cell>
        </row>
        <row r="5094">
          <cell r="A5094">
            <v>41843</v>
          </cell>
          <cell r="B5094" t="str">
            <v>CORPORATION</v>
          </cell>
          <cell r="C5094" t="str">
            <v>Ferreira &amp; Fiorini Ltda</v>
          </cell>
          <cell r="D5094" t="str">
            <v>Ferramental</v>
          </cell>
          <cell r="E5094" t="str">
            <v>BR_CNPJ</v>
          </cell>
          <cell r="F5094" t="str">
            <v>38.766.861/0001-58</v>
          </cell>
        </row>
        <row r="5095">
          <cell r="A5095">
            <v>41844</v>
          </cell>
          <cell r="B5095" t="str">
            <v>CORPORATION</v>
          </cell>
          <cell r="C5095" t="str">
            <v>Ailton Netto Goncalves Martins 16698303739</v>
          </cell>
          <cell r="D5095" t="str">
            <v>Brother'S Tools</v>
          </cell>
          <cell r="E5095" t="str">
            <v>BR_CNPJ</v>
          </cell>
          <cell r="F5095" t="str">
            <v>33.136.166/0001-99</v>
          </cell>
        </row>
        <row r="5096">
          <cell r="A5096">
            <v>41845</v>
          </cell>
          <cell r="B5096" t="str">
            <v>CORPORATION</v>
          </cell>
          <cell r="C5096" t="str">
            <v>Solucao Ferramentas Ltda</v>
          </cell>
          <cell r="D5096" t="str">
            <v>Solucao Ferramentas E Cia</v>
          </cell>
          <cell r="E5096" t="str">
            <v>BR_CNPJ</v>
          </cell>
          <cell r="F5096" t="str">
            <v>32.275.011/0001-70</v>
          </cell>
        </row>
        <row r="5097">
          <cell r="A5097">
            <v>41846</v>
          </cell>
          <cell r="B5097" t="str">
            <v>CORPORATION</v>
          </cell>
          <cell r="C5097" t="str">
            <v>Loc Obra Locadora De Equipamentos Ltda</v>
          </cell>
          <cell r="D5097" t="str">
            <v>Loc Obra</v>
          </cell>
          <cell r="E5097" t="str">
            <v>BR_CNPJ</v>
          </cell>
          <cell r="F5097" t="str">
            <v>14.890.659/0001-75</v>
          </cell>
        </row>
        <row r="5098">
          <cell r="A5098">
            <v>41853</v>
          </cell>
          <cell r="B5098" t="str">
            <v>CORPORATION</v>
          </cell>
          <cell r="C5098" t="str">
            <v>Agropecuaria Souza Antunes Ltda</v>
          </cell>
          <cell r="D5098" t="str">
            <v>Agropecuaria Souza Antunes</v>
          </cell>
          <cell r="E5098" t="str">
            <v>BR_CNPJ</v>
          </cell>
          <cell r="F5098" t="str">
            <v>20.757.728/0001-70</v>
          </cell>
        </row>
        <row r="5099">
          <cell r="A5099">
            <v>41856</v>
          </cell>
          <cell r="B5099" t="str">
            <v>CORPORATION</v>
          </cell>
          <cell r="C5099" t="str">
            <v>Ferragista Universitaria Unipessoal Ltda</v>
          </cell>
          <cell r="D5099" t="str">
            <v>Ferragista Universitaria</v>
          </cell>
          <cell r="E5099" t="str">
            <v>BR_CNPJ</v>
          </cell>
          <cell r="F5099" t="str">
            <v>27.853.428/0001-33</v>
          </cell>
        </row>
        <row r="5100">
          <cell r="A5100">
            <v>41858</v>
          </cell>
          <cell r="B5100" t="str">
            <v>CORPORATION</v>
          </cell>
          <cell r="C5100" t="str">
            <v>Bmb Material De Construcao S.A.</v>
          </cell>
          <cell r="D5100" t="str">
            <v>Obramax Duque De Caxias</v>
          </cell>
          <cell r="E5100" t="str">
            <v>BR_CNPJ</v>
          </cell>
          <cell r="F5100" t="str">
            <v>23.476.033/0018-56</v>
          </cell>
          <cell r="G5100" t="str">
            <v>OBRAMAX</v>
          </cell>
        </row>
        <row r="5101">
          <cell r="A5101">
            <v>41859</v>
          </cell>
          <cell r="B5101" t="str">
            <v>CORPORATION</v>
          </cell>
          <cell r="C5101" t="str">
            <v>Giovani &amp; Diogo Locacao De Andaimes Ltda</v>
          </cell>
          <cell r="D5101" t="str">
            <v>Gd Maquinas Locacao De Ferramentas</v>
          </cell>
          <cell r="E5101" t="str">
            <v>BR_CNPJ</v>
          </cell>
          <cell r="F5101" t="str">
            <v>30.274.220/0001-74</v>
          </cell>
        </row>
        <row r="5102">
          <cell r="A5102">
            <v>41877</v>
          </cell>
          <cell r="B5102" t="str">
            <v>CORPORATION</v>
          </cell>
          <cell r="C5102" t="str">
            <v>Xavier Comercio De Soldas Ltda</v>
          </cell>
          <cell r="D5102" t="str">
            <v>Xavier Comercio De Soldas</v>
          </cell>
          <cell r="E5102" t="str">
            <v>BR_CNPJ</v>
          </cell>
          <cell r="F5102" t="str">
            <v>56.283.039/0001-18</v>
          </cell>
        </row>
        <row r="5103">
          <cell r="A5103">
            <v>41883</v>
          </cell>
          <cell r="B5103" t="str">
            <v>CORPORATION</v>
          </cell>
          <cell r="C5103" t="str">
            <v>Max Equipamentos Eireli</v>
          </cell>
          <cell r="D5103" t="str">
            <v>Max Equipamentos Eireli</v>
          </cell>
          <cell r="E5103" t="str">
            <v>BR_CNPJ</v>
          </cell>
          <cell r="F5103" t="str">
            <v>05.602.748/0001-88</v>
          </cell>
        </row>
        <row r="5104">
          <cell r="A5104">
            <v>41886</v>
          </cell>
          <cell r="B5104" t="str">
            <v>CORPORATION</v>
          </cell>
          <cell r="C5104" t="str">
            <v>Protege Minas Ltda</v>
          </cell>
          <cell r="D5104" t="str">
            <v>Protege Minas Ltda</v>
          </cell>
          <cell r="E5104" t="str">
            <v>BR_CNPJ</v>
          </cell>
          <cell r="F5104" t="str">
            <v>05.115.256/0001-68</v>
          </cell>
        </row>
        <row r="5105">
          <cell r="A5105">
            <v>41889</v>
          </cell>
          <cell r="B5105" t="str">
            <v>CORPORATION</v>
          </cell>
          <cell r="C5105" t="str">
            <v>Peres &amp; Espinoza Ltda</v>
          </cell>
          <cell r="D5105" t="str">
            <v>Tibico Agropecuaria</v>
          </cell>
          <cell r="E5105" t="str">
            <v>BR_CNPJ</v>
          </cell>
          <cell r="F5105" t="str">
            <v>00.239.224/0001-50</v>
          </cell>
        </row>
        <row r="5106">
          <cell r="A5106">
            <v>41895</v>
          </cell>
          <cell r="B5106" t="str">
            <v>CORPORATION</v>
          </cell>
          <cell r="C5106" t="str">
            <v>Bruno Henrique De Lima Ferragens</v>
          </cell>
          <cell r="D5106" t="str">
            <v>Ml Ferragens E Locacoes</v>
          </cell>
          <cell r="E5106" t="str">
            <v>BR_CNPJ</v>
          </cell>
          <cell r="F5106" t="str">
            <v>24.315.399/0001-68</v>
          </cell>
        </row>
        <row r="5107">
          <cell r="A5107">
            <v>41905</v>
          </cell>
          <cell r="B5107" t="str">
            <v>CORPORATION</v>
          </cell>
          <cell r="C5107" t="str">
            <v>Mercosul Mercantil Ltda</v>
          </cell>
          <cell r="D5107" t="str">
            <v>Mercosul</v>
          </cell>
          <cell r="E5107" t="str">
            <v>BR_CNPJ</v>
          </cell>
          <cell r="F5107" t="str">
            <v>01.592.156/0001-71</v>
          </cell>
        </row>
        <row r="5108">
          <cell r="A5108">
            <v>41908</v>
          </cell>
          <cell r="B5108" t="str">
            <v>CORPORATION</v>
          </cell>
          <cell r="C5108" t="str">
            <v>Bruno Felipe Dos Santos Lima 02812391189</v>
          </cell>
          <cell r="D5108" t="str">
            <v>Excelencia Metal</v>
          </cell>
          <cell r="E5108" t="str">
            <v>BR_CNPJ</v>
          </cell>
          <cell r="F5108" t="str">
            <v>24.405.475/0001-26</v>
          </cell>
        </row>
        <row r="5109">
          <cell r="A5109">
            <v>41909</v>
          </cell>
          <cell r="B5109" t="str">
            <v>CORPORATION</v>
          </cell>
          <cell r="C5109" t="str">
            <v>J. V. De Menezes - Comercio</v>
          </cell>
          <cell r="D5109" t="str">
            <v>Comercial Meneses Construções</v>
          </cell>
          <cell r="E5109" t="str">
            <v>BR_CNPJ</v>
          </cell>
          <cell r="F5109" t="str">
            <v>11.896.080/0001-21</v>
          </cell>
        </row>
        <row r="5110">
          <cell r="A5110">
            <v>41912</v>
          </cell>
          <cell r="B5110" t="str">
            <v>CORPORATION</v>
          </cell>
          <cell r="C5110" t="str">
            <v>Fernando Amaro Alves E Cia Ltda</v>
          </cell>
          <cell r="D5110" t="str">
            <v>Amaro Eletrica</v>
          </cell>
          <cell r="E5110" t="str">
            <v>BR_CNPJ</v>
          </cell>
          <cell r="F5110" t="str">
            <v>23.504.076/0001-50</v>
          </cell>
        </row>
        <row r="5111">
          <cell r="A5111">
            <v>41914</v>
          </cell>
          <cell r="B5111" t="str">
            <v>CORPORATION</v>
          </cell>
          <cell r="C5111" t="str">
            <v>Marcio De Sousa Campos</v>
          </cell>
          <cell r="D5111" t="str">
            <v>M.S Campos</v>
          </cell>
          <cell r="E5111" t="str">
            <v>BR_CNPJ</v>
          </cell>
          <cell r="F5111" t="str">
            <v>24.818.915/0001-77</v>
          </cell>
          <cell r="G5111" t="str">
            <v>M.S CAMPOS</v>
          </cell>
        </row>
        <row r="5112">
          <cell r="A5112">
            <v>41916</v>
          </cell>
          <cell r="B5112" t="str">
            <v>CORPORATION</v>
          </cell>
          <cell r="C5112" t="str">
            <v>Carlos Antonio Alves Barreto Gomes</v>
          </cell>
          <cell r="D5112" t="str">
            <v>Top Center (Topflex)</v>
          </cell>
          <cell r="E5112" t="str">
            <v>BR_CNPJ</v>
          </cell>
          <cell r="F5112" t="str">
            <v>44.718.171/0001-26</v>
          </cell>
          <cell r="G5112" t="str">
            <v>TOPFLEX</v>
          </cell>
        </row>
        <row r="5113">
          <cell r="A5113">
            <v>41917</v>
          </cell>
          <cell r="B5113" t="str">
            <v>CORPORATION</v>
          </cell>
          <cell r="C5113" t="str">
            <v>P. H. B. Santana Comercio E Servicos Ltda</v>
          </cell>
          <cell r="D5113" t="str">
            <v>Comercial Santa Fe</v>
          </cell>
          <cell r="E5113" t="str">
            <v>BR_CNPJ</v>
          </cell>
          <cell r="F5113" t="str">
            <v>04.096.016/0001-09</v>
          </cell>
        </row>
        <row r="5114">
          <cell r="A5114">
            <v>41940</v>
          </cell>
          <cell r="B5114" t="str">
            <v>CORPORATION</v>
          </cell>
          <cell r="C5114" t="str">
            <v>Torres Santana Material De Construcao Ltda</v>
          </cell>
          <cell r="D5114" t="str">
            <v>Casa Do Serralheiro</v>
          </cell>
          <cell r="E5114" t="str">
            <v>BR_CNPJ</v>
          </cell>
          <cell r="F5114" t="str">
            <v>05.093.570/0001-97</v>
          </cell>
          <cell r="G5114" t="str">
            <v>TORRES SANTANA</v>
          </cell>
        </row>
        <row r="5115">
          <cell r="A5115">
            <v>41941</v>
          </cell>
          <cell r="B5115" t="str">
            <v>CORPORATION</v>
          </cell>
          <cell r="C5115" t="str">
            <v>Ricardo Assis De Paula 01337285609</v>
          </cell>
          <cell r="D5115" t="str">
            <v>Seg Auto</v>
          </cell>
          <cell r="E5115" t="str">
            <v>BR_CNPJ</v>
          </cell>
          <cell r="F5115" t="str">
            <v>20.755.837/0001-58</v>
          </cell>
          <cell r="G5115" t="str">
            <v>GEMAC</v>
          </cell>
        </row>
        <row r="5116">
          <cell r="A5116">
            <v>41947</v>
          </cell>
          <cell r="B5116" t="str">
            <v>CORPORATION</v>
          </cell>
          <cell r="C5116" t="str">
            <v>P. S. R. Bacelar</v>
          </cell>
          <cell r="D5116" t="str">
            <v>Casa Das Bombas</v>
          </cell>
          <cell r="E5116" t="str">
            <v>BR_CNPJ</v>
          </cell>
          <cell r="F5116" t="str">
            <v>20.314.713/0001-37</v>
          </cell>
        </row>
        <row r="5117">
          <cell r="A5117">
            <v>41952</v>
          </cell>
          <cell r="B5117" t="str">
            <v>CORPORATION</v>
          </cell>
          <cell r="C5117" t="str">
            <v>Ferragista Maranata Comercio De Ferragens Ltda</v>
          </cell>
          <cell r="D5117" t="str">
            <v>Ferragista Maranata</v>
          </cell>
          <cell r="E5117" t="str">
            <v>BR_CNPJ</v>
          </cell>
          <cell r="F5117" t="str">
            <v>19.332.747/0001-75</v>
          </cell>
          <cell r="G5117" t="str">
            <v>FERRAGISTA MARANATA</v>
          </cell>
        </row>
        <row r="5118">
          <cell r="A5118">
            <v>41959</v>
          </cell>
          <cell r="B5118" t="str">
            <v>CORPORATION</v>
          </cell>
          <cell r="C5118" t="str">
            <v>Rodrigo Cavalcanti Reis Eireli</v>
          </cell>
          <cell r="D5118" t="str">
            <v>Sertaneja</v>
          </cell>
          <cell r="E5118" t="str">
            <v>BR_CNPJ</v>
          </cell>
          <cell r="F5118" t="str">
            <v>13.690.295/0001-17</v>
          </cell>
        </row>
        <row r="5119">
          <cell r="A5119">
            <v>41964</v>
          </cell>
          <cell r="B5119" t="str">
            <v>CORPORATION</v>
          </cell>
          <cell r="C5119" t="str">
            <v>Ailande Regis Ferreira Dos Santos</v>
          </cell>
          <cell r="D5119" t="str">
            <v>Damiao Equipamentos E Ferramentas</v>
          </cell>
          <cell r="E5119" t="str">
            <v>BR_CNPJ</v>
          </cell>
          <cell r="F5119" t="str">
            <v>13.056.180/0001-75</v>
          </cell>
        </row>
        <row r="5120">
          <cell r="A5120">
            <v>41969</v>
          </cell>
          <cell r="B5120" t="str">
            <v>CORPORATION</v>
          </cell>
          <cell r="C5120" t="str">
            <v>Material De Construcao Itanhem Ltda</v>
          </cell>
          <cell r="D5120" t="str">
            <v>Bom Fort Distribuidor</v>
          </cell>
          <cell r="E5120" t="str">
            <v>BR_CNPJ</v>
          </cell>
          <cell r="F5120" t="str">
            <v>07.544.507/0001-55</v>
          </cell>
        </row>
        <row r="5121">
          <cell r="A5121">
            <v>41971</v>
          </cell>
          <cell r="B5121" t="str">
            <v>CORPORATION</v>
          </cell>
          <cell r="C5121" t="str">
            <v>Comercial Trabiju De Materiais De Construcao Ltda</v>
          </cell>
          <cell r="D5121" t="str">
            <v>Comercial Trabiju De Materiais De Construcao</v>
          </cell>
          <cell r="E5121" t="str">
            <v>BR_CNPJ</v>
          </cell>
          <cell r="F5121" t="str">
            <v>62.533.633/0001-12</v>
          </cell>
        </row>
        <row r="5122">
          <cell r="A5122">
            <v>41977</v>
          </cell>
          <cell r="B5122" t="str">
            <v>CORPORATION</v>
          </cell>
          <cell r="C5122" t="str">
            <v>Supra Ferramentas E Equipamentos Ltda</v>
          </cell>
          <cell r="D5122" t="str">
            <v>Supra</v>
          </cell>
          <cell r="E5122" t="str">
            <v>BR_CNPJ</v>
          </cell>
          <cell r="F5122" t="str">
            <v>62.398.581/0001-19</v>
          </cell>
        </row>
        <row r="5123">
          <cell r="A5123">
            <v>41979</v>
          </cell>
          <cell r="B5123" t="str">
            <v>CORPORATION</v>
          </cell>
          <cell r="C5123" t="str">
            <v>Comercial Alexandrina Com. De Mat. P/ Construcao Ltda</v>
          </cell>
          <cell r="D5123" t="str">
            <v>A Pioneira</v>
          </cell>
          <cell r="E5123" t="str">
            <v>BR_CNPJ</v>
          </cell>
          <cell r="F5123" t="str">
            <v>04.652.049/0001-80</v>
          </cell>
        </row>
        <row r="5124">
          <cell r="A5124">
            <v>41980</v>
          </cell>
          <cell r="B5124" t="str">
            <v>CORPORATION</v>
          </cell>
          <cell r="C5124" t="str">
            <v>Natal Alves &amp; Cia Ltda</v>
          </cell>
          <cell r="D5124" t="str">
            <v>Natal Alves Materiais De Construcao</v>
          </cell>
          <cell r="E5124" t="str">
            <v>BR_CNPJ</v>
          </cell>
          <cell r="F5124" t="str">
            <v>01.114.440/0001-32</v>
          </cell>
        </row>
        <row r="5125">
          <cell r="A5125">
            <v>41988</v>
          </cell>
          <cell r="B5125" t="str">
            <v>CORPORATION</v>
          </cell>
          <cell r="C5125" t="str">
            <v>Sr Ferragens &amp; Locacoes De Maquinas Ltda</v>
          </cell>
          <cell r="D5125" t="str">
            <v>Sandro Ferragens</v>
          </cell>
          <cell r="E5125" t="str">
            <v>BR_CNPJ</v>
          </cell>
          <cell r="F5125" t="str">
            <v>26.946.942/0001-50</v>
          </cell>
          <cell r="G5125" t="str">
            <v>SR FERRAGENS</v>
          </cell>
        </row>
        <row r="5126">
          <cell r="A5126">
            <v>41991</v>
          </cell>
          <cell r="B5126" t="str">
            <v>CORPORATION</v>
          </cell>
          <cell r="C5126" t="str">
            <v>L H G De Albuquerque</v>
          </cell>
          <cell r="D5126" t="str">
            <v>Brasilcenter (A Construcenter)</v>
          </cell>
          <cell r="E5126" t="str">
            <v>BR_CNPJ</v>
          </cell>
          <cell r="F5126" t="str">
            <v>63.407.456/0001-90</v>
          </cell>
        </row>
        <row r="5127">
          <cell r="A5127">
            <v>41992</v>
          </cell>
          <cell r="B5127" t="str">
            <v>CORPORATION</v>
          </cell>
          <cell r="C5127" t="str">
            <v>Hs Materiais De Construcao E Acabamento Ltda</v>
          </cell>
          <cell r="D5127" t="str">
            <v>Hs Casa E Construcao</v>
          </cell>
          <cell r="E5127" t="str">
            <v>BR_CNPJ</v>
          </cell>
          <cell r="F5127" t="str">
            <v>29.996.574/0001-43</v>
          </cell>
        </row>
        <row r="5128">
          <cell r="A5128">
            <v>41995</v>
          </cell>
          <cell r="B5128" t="str">
            <v>CORPORATION</v>
          </cell>
          <cell r="C5128" t="str">
            <v>Martins Bastos &amp; Cia Ltda.</v>
          </cell>
          <cell r="D5128" t="str">
            <v>M Bastos</v>
          </cell>
          <cell r="E5128" t="str">
            <v>BR_CNPJ</v>
          </cell>
          <cell r="F5128" t="str">
            <v>61.242.517/0001-81</v>
          </cell>
        </row>
        <row r="5129">
          <cell r="A5129">
            <v>41996</v>
          </cell>
          <cell r="B5129" t="str">
            <v>CORPORATION</v>
          </cell>
          <cell r="C5129" t="str">
            <v>Eco Cortez Comercio, Importacao E Exportacao Ltda</v>
          </cell>
          <cell r="D5129" t="str">
            <v>Soldac</v>
          </cell>
          <cell r="E5129" t="str">
            <v>BR_CNPJ</v>
          </cell>
          <cell r="F5129" t="str">
            <v>29.953.829/0001-90</v>
          </cell>
          <cell r="G5129" t="str">
            <v>SOLDAC</v>
          </cell>
        </row>
        <row r="5130">
          <cell r="A5130">
            <v>41998</v>
          </cell>
          <cell r="B5130" t="str">
            <v>CORPORATION</v>
          </cell>
          <cell r="C5130" t="str">
            <v>Lucia Maria Veiga De Sant Ana Rammert</v>
          </cell>
          <cell r="D5130" t="str">
            <v>Lm Veiga</v>
          </cell>
          <cell r="E5130" t="str">
            <v>BR_CNPJ</v>
          </cell>
          <cell r="F5130" t="str">
            <v>02.063.377/0001-15</v>
          </cell>
        </row>
        <row r="5131">
          <cell r="A5131">
            <v>42009</v>
          </cell>
          <cell r="B5131" t="str">
            <v>CORPORATION</v>
          </cell>
          <cell r="C5131" t="str">
            <v>Castelo Materiais De Construcao Ltda</v>
          </cell>
          <cell r="D5131" t="str">
            <v>Castelo Materiais De Construcao</v>
          </cell>
          <cell r="E5131" t="str">
            <v>BR_CNPJ</v>
          </cell>
          <cell r="F5131" t="str">
            <v>07.726.544/0001-84</v>
          </cell>
        </row>
        <row r="5132">
          <cell r="A5132">
            <v>42022</v>
          </cell>
          <cell r="B5132" t="str">
            <v>CORPORATION</v>
          </cell>
          <cell r="C5132" t="str">
            <v>Borguezani Comercio De Parafusos E Ferramentas Ltda</v>
          </cell>
          <cell r="D5132" t="str">
            <v>So Parafusos</v>
          </cell>
          <cell r="E5132" t="str">
            <v>BR_CNPJ</v>
          </cell>
          <cell r="F5132" t="str">
            <v>04.041.917/0001-95</v>
          </cell>
        </row>
        <row r="5133">
          <cell r="A5133">
            <v>42023</v>
          </cell>
          <cell r="B5133" t="str">
            <v>CORPORATION</v>
          </cell>
          <cell r="C5133" t="str">
            <v>Motobras Motores Ltda</v>
          </cell>
          <cell r="D5133" t="str">
            <v>Motobras Motores Ltda (Fortmaq)</v>
          </cell>
          <cell r="E5133" t="str">
            <v>BR_CNPJ</v>
          </cell>
          <cell r="F5133" t="str">
            <v>04.854.089/0001-04</v>
          </cell>
          <cell r="G5133" t="str">
            <v>FORTMAQ</v>
          </cell>
        </row>
        <row r="5134">
          <cell r="A5134">
            <v>42024</v>
          </cell>
          <cell r="B5134" t="str">
            <v>CORPORATION</v>
          </cell>
          <cell r="C5134" t="str">
            <v>Ferrolider Ferro E Aco Eireli</v>
          </cell>
          <cell r="D5134" t="str">
            <v>Ferrolider Ferro E Aco</v>
          </cell>
          <cell r="E5134" t="str">
            <v>BR_CNPJ</v>
          </cell>
          <cell r="F5134" t="str">
            <v>21.003.111/0001-21</v>
          </cell>
        </row>
        <row r="5135">
          <cell r="A5135">
            <v>42028</v>
          </cell>
          <cell r="B5135" t="str">
            <v>CORPORATION</v>
          </cell>
          <cell r="C5135" t="str">
            <v>Fabricio Rachadel Costa</v>
          </cell>
          <cell r="D5135" t="str">
            <v>Frc Licitacoes</v>
          </cell>
          <cell r="E5135" t="str">
            <v>BR_CNPJ</v>
          </cell>
          <cell r="F5135" t="str">
            <v>33.618.396/0001-94</v>
          </cell>
        </row>
        <row r="5136">
          <cell r="A5136">
            <v>42035</v>
          </cell>
          <cell r="B5136" t="str">
            <v>CORPORATION</v>
          </cell>
          <cell r="C5136" t="str">
            <v>J.A. Lopes Acessorios</v>
          </cell>
          <cell r="D5136" t="str">
            <v>Comercial Z L</v>
          </cell>
          <cell r="E5136" t="str">
            <v>BR_CNPJ</v>
          </cell>
          <cell r="F5136" t="str">
            <v>01.678.910/0001-90</v>
          </cell>
        </row>
        <row r="5137">
          <cell r="A5137">
            <v>42037</v>
          </cell>
          <cell r="B5137" t="str">
            <v>CORPORATION</v>
          </cell>
          <cell r="C5137" t="str">
            <v>Jose Joaquim De Oliveira Ferramentas</v>
          </cell>
          <cell r="D5137" t="str">
            <v>Pajucara Ferramentas</v>
          </cell>
          <cell r="E5137" t="str">
            <v>BR_CNPJ</v>
          </cell>
          <cell r="F5137" t="str">
            <v>24.155.010/0001-64</v>
          </cell>
        </row>
        <row r="5138">
          <cell r="A5138">
            <v>42040</v>
          </cell>
          <cell r="B5138" t="str">
            <v>CORPORATION</v>
          </cell>
          <cell r="C5138" t="str">
            <v>Planetario Comercio De Sucatas E Ferro Ltda</v>
          </cell>
          <cell r="D5138" t="str">
            <v>Ezidio Mara Filho</v>
          </cell>
          <cell r="E5138" t="str">
            <v>BR_CNPJ</v>
          </cell>
          <cell r="F5138" t="str">
            <v>82.379.470/0001-72</v>
          </cell>
        </row>
        <row r="5139">
          <cell r="A5139">
            <v>42041</v>
          </cell>
          <cell r="B5139" t="str">
            <v>CORPORATION</v>
          </cell>
          <cell r="C5139" t="str">
            <v>Lojao Dos Parafusos Ferramentas E Ferragens Ltda</v>
          </cell>
          <cell r="D5139" t="str">
            <v>Lojao Dos Parafusos (Filial)</v>
          </cell>
          <cell r="E5139" t="str">
            <v>BR_CNPJ</v>
          </cell>
          <cell r="F5139" t="str">
            <v>03.040.903/0005-18</v>
          </cell>
          <cell r="G5139" t="str">
            <v>LOJAO DOS PARAFUSOS</v>
          </cell>
        </row>
        <row r="5140">
          <cell r="A5140">
            <v>42045</v>
          </cell>
          <cell r="B5140" t="str">
            <v>CORPORATION</v>
          </cell>
          <cell r="C5140" t="str">
            <v>Lojao Dos Parafusos Ferramentas E Ferragens Ltda</v>
          </cell>
          <cell r="D5140" t="str">
            <v>Lojao Dos Parafusos (Matriz)</v>
          </cell>
          <cell r="E5140" t="str">
            <v>BR_CNPJ</v>
          </cell>
          <cell r="F5140" t="str">
            <v>03.040.903/0001-94</v>
          </cell>
          <cell r="G5140" t="str">
            <v>LOJAO DOS PARAFUSOS</v>
          </cell>
        </row>
        <row r="5141">
          <cell r="A5141">
            <v>42046</v>
          </cell>
          <cell r="B5141" t="str">
            <v>CORPORATION</v>
          </cell>
          <cell r="C5141" t="str">
            <v>Jose Carlos Da Silva Ii</v>
          </cell>
          <cell r="D5141" t="str">
            <v>Ferro E Aco Planalto</v>
          </cell>
          <cell r="E5141" t="str">
            <v>BR_CNPJ</v>
          </cell>
          <cell r="F5141" t="str">
            <v>00.517.687/0001-37</v>
          </cell>
        </row>
        <row r="5142">
          <cell r="A5142">
            <v>42047</v>
          </cell>
          <cell r="B5142" t="str">
            <v>CORPORATION</v>
          </cell>
          <cell r="C5142" t="str">
            <v>Adailton Alves Cabral</v>
          </cell>
          <cell r="D5142" t="str">
            <v>Auto Center E Comercio De Pecas Alves</v>
          </cell>
          <cell r="E5142" t="str">
            <v>BR_CNPJ</v>
          </cell>
          <cell r="F5142" t="str">
            <v>11.260.014/0001-60</v>
          </cell>
        </row>
        <row r="5143">
          <cell r="A5143">
            <v>42049</v>
          </cell>
          <cell r="B5143" t="str">
            <v>CORPORATION</v>
          </cell>
          <cell r="C5143" t="str">
            <v>Simone Popoaski Melanski</v>
          </cell>
          <cell r="D5143" t="str">
            <v>Construsul Empreiteira De Obras</v>
          </cell>
          <cell r="E5143" t="str">
            <v>BR_CNPJ</v>
          </cell>
          <cell r="F5143" t="str">
            <v>10.304.671/0001-08</v>
          </cell>
        </row>
        <row r="5144">
          <cell r="A5144">
            <v>42053</v>
          </cell>
          <cell r="B5144" t="str">
            <v>CORPORATION</v>
          </cell>
          <cell r="C5144" t="str">
            <v>Util Arte Comercio De Materiais Eletricos E Hidr. Ltda</v>
          </cell>
          <cell r="D5144" t="str">
            <v>Util Arte</v>
          </cell>
          <cell r="E5144" t="str">
            <v>BR_CNPJ</v>
          </cell>
          <cell r="F5144" t="str">
            <v>47.385.539/0001-70</v>
          </cell>
        </row>
        <row r="5145">
          <cell r="A5145">
            <v>42060</v>
          </cell>
          <cell r="B5145" t="str">
            <v>CORPORATION</v>
          </cell>
          <cell r="C5145" t="str">
            <v>Shopping Das Ferramentas Ltda</v>
          </cell>
          <cell r="D5145" t="str">
            <v>Shopping Das Ferramentas</v>
          </cell>
          <cell r="E5145" t="str">
            <v>BR_CNPJ</v>
          </cell>
          <cell r="F5145" t="str">
            <v>05.627.762/0001-36</v>
          </cell>
        </row>
        <row r="5146">
          <cell r="A5146">
            <v>42062</v>
          </cell>
          <cell r="B5146" t="str">
            <v>CORPORATION</v>
          </cell>
          <cell r="C5146" t="str">
            <v>Essencial Locadora De Maquinas E Equipamentos Eireli</v>
          </cell>
          <cell r="D5146" t="str">
            <v>Essencial Locadora De Equipamentos</v>
          </cell>
          <cell r="E5146" t="str">
            <v>BR_CNPJ</v>
          </cell>
          <cell r="F5146" t="str">
            <v>15.119.500/0001-14</v>
          </cell>
        </row>
        <row r="5147">
          <cell r="A5147">
            <v>42063</v>
          </cell>
          <cell r="B5147" t="str">
            <v>CORPORATION</v>
          </cell>
          <cell r="C5147" t="str">
            <v>Madeiranit Comercio E Industria De Madeiras Ltda</v>
          </cell>
          <cell r="D5147" t="str">
            <v>Madeiranit Leme</v>
          </cell>
          <cell r="E5147" t="str">
            <v>BR_CNPJ</v>
          </cell>
          <cell r="F5147" t="str">
            <v>46.676.813/0001-05</v>
          </cell>
        </row>
        <row r="5148">
          <cell r="A5148">
            <v>42067</v>
          </cell>
          <cell r="B5148" t="str">
            <v>CORPORATION</v>
          </cell>
          <cell r="C5148" t="str">
            <v>Ruketools Comercio De Ferramentas Ltda</v>
          </cell>
          <cell r="D5148" t="str">
            <v>Ruketools Comercio De Ferramentas Ltda</v>
          </cell>
          <cell r="E5148" t="str">
            <v>BR_CNPJ</v>
          </cell>
          <cell r="F5148" t="str">
            <v>04.977.489/0001-07</v>
          </cell>
        </row>
        <row r="5149">
          <cell r="A5149">
            <v>42071</v>
          </cell>
          <cell r="B5149" t="str">
            <v>CORPORATION</v>
          </cell>
          <cell r="C5149" t="str">
            <v>Orlasolda Comercio De Ferramentas E Soldas Ltda</v>
          </cell>
          <cell r="D5149" t="str">
            <v>Orlasolda Comercio De Ferramentas E Soldas</v>
          </cell>
          <cell r="E5149" t="str">
            <v>BR_CNPJ</v>
          </cell>
          <cell r="F5149" t="str">
            <v>66.185.133/0001-98</v>
          </cell>
          <cell r="G5149" t="str">
            <v>ORLASOLDA</v>
          </cell>
        </row>
        <row r="5150">
          <cell r="A5150">
            <v>42083</v>
          </cell>
          <cell r="B5150" t="str">
            <v>CORPORATION</v>
          </cell>
          <cell r="C5150" t="str">
            <v>Agro Rio Agropecuaria Ltda</v>
          </cell>
          <cell r="D5150" t="str">
            <v>Agro Rio Agropecuaria Ltda</v>
          </cell>
          <cell r="E5150" t="str">
            <v>BR_CNPJ</v>
          </cell>
          <cell r="F5150" t="str">
            <v>28.050.524/0001-06</v>
          </cell>
        </row>
        <row r="5151">
          <cell r="A5151">
            <v>42085</v>
          </cell>
          <cell r="B5151" t="str">
            <v>CORPORATION</v>
          </cell>
          <cell r="C5151" t="str">
            <v>Balehn Tecnologia Em Soldagem Ltda</v>
          </cell>
          <cell r="D5151" t="str">
            <v>Balehn Tecnologia Em Soldagem Ltda</v>
          </cell>
          <cell r="E5151" t="str">
            <v>BR_CNPJ</v>
          </cell>
          <cell r="F5151" t="str">
            <v>17.495.434/0001-02</v>
          </cell>
        </row>
        <row r="5152">
          <cell r="A5152">
            <v>42087</v>
          </cell>
          <cell r="B5152" t="str">
            <v>CORPORATION</v>
          </cell>
          <cell r="C5152" t="str">
            <v>Forte Aço Industria E Comercio Ltda</v>
          </cell>
          <cell r="D5152" t="str">
            <v>Forte Aço</v>
          </cell>
          <cell r="E5152" t="str">
            <v>BR_CNPJ</v>
          </cell>
          <cell r="F5152" t="str">
            <v>26.474.366/0001-96</v>
          </cell>
        </row>
        <row r="5153">
          <cell r="A5153">
            <v>42090</v>
          </cell>
          <cell r="B5153" t="str">
            <v>CORPORATION</v>
          </cell>
          <cell r="C5153" t="str">
            <v>J H Do Nascimento</v>
          </cell>
          <cell r="D5153" t="str">
            <v>Jh Do Nascimento (Silva &amp; Nascimento Construcao)</v>
          </cell>
          <cell r="E5153" t="str">
            <v>BR_CNPJ</v>
          </cell>
          <cell r="F5153" t="str">
            <v>24.094.856/0001-31</v>
          </cell>
        </row>
        <row r="5154">
          <cell r="A5154">
            <v>42093</v>
          </cell>
          <cell r="B5154" t="str">
            <v>CORPORATION</v>
          </cell>
          <cell r="C5154" t="str">
            <v>Pai &amp; Filho Tecnologia Em Aco Ltda</v>
          </cell>
          <cell r="D5154" t="str">
            <v>Serralheria Pai E Filho</v>
          </cell>
          <cell r="E5154" t="str">
            <v>BR_CNPJ</v>
          </cell>
          <cell r="F5154" t="str">
            <v>12.108.313/0001-47</v>
          </cell>
        </row>
        <row r="5155">
          <cell r="A5155">
            <v>42097</v>
          </cell>
          <cell r="B5155" t="str">
            <v>CORPORATION</v>
          </cell>
          <cell r="C5155" t="str">
            <v>Danubia Da Silva Nascimento 13800801779</v>
          </cell>
          <cell r="D5155" t="str">
            <v>D. M. Maquinas E Equipamentos</v>
          </cell>
          <cell r="E5155" t="str">
            <v>BR_CNPJ</v>
          </cell>
          <cell r="F5155" t="str">
            <v>34.914.278/0001-96</v>
          </cell>
        </row>
        <row r="5156">
          <cell r="A5156">
            <v>42098</v>
          </cell>
          <cell r="B5156" t="str">
            <v>CORPORATION</v>
          </cell>
          <cell r="C5156" t="str">
            <v>Diniz &amp; Diniz Robotica E Automacao Ltda</v>
          </cell>
          <cell r="D5156" t="str">
            <v>Xtreme Robotica E Automacao</v>
          </cell>
          <cell r="E5156" t="str">
            <v>BR_CNPJ</v>
          </cell>
          <cell r="F5156" t="str">
            <v>51.228.845/0001-70</v>
          </cell>
        </row>
        <row r="5157">
          <cell r="A5157">
            <v>42100</v>
          </cell>
          <cell r="B5157" t="str">
            <v>CORPORATION</v>
          </cell>
          <cell r="C5157" t="str">
            <v>Marcos Antonio Ramos Informatica</v>
          </cell>
          <cell r="D5157" t="str">
            <v>Wl Sorocaba E-Commerce Brasil</v>
          </cell>
          <cell r="E5157" t="str">
            <v>BR_CNPJ</v>
          </cell>
          <cell r="F5157" t="str">
            <v>36.265.334/0001-34</v>
          </cell>
          <cell r="G5157" t="str">
            <v>WL SOROCABA</v>
          </cell>
        </row>
        <row r="5158">
          <cell r="A5158">
            <v>42104</v>
          </cell>
          <cell r="B5158" t="str">
            <v>CORPORATION</v>
          </cell>
          <cell r="C5158" t="str">
            <v>Ferragem Centro Oeste Ltda</v>
          </cell>
          <cell r="D5158" t="str">
            <v>Ferracel</v>
          </cell>
          <cell r="E5158" t="str">
            <v>BR_CNPJ</v>
          </cell>
          <cell r="F5158" t="str">
            <v>33.461.054/0001-03</v>
          </cell>
        </row>
        <row r="5159">
          <cell r="A5159">
            <v>42108</v>
          </cell>
          <cell r="B5159" t="str">
            <v>CORPORATION</v>
          </cell>
          <cell r="C5159" t="str">
            <v>Alberto Soldas Ltda</v>
          </cell>
          <cell r="D5159" t="str">
            <v>Alberto Soldas Ltda</v>
          </cell>
          <cell r="E5159" t="str">
            <v>BR_CNPJ</v>
          </cell>
          <cell r="F5159" t="str">
            <v>16.566.799/0001-18</v>
          </cell>
        </row>
        <row r="5160">
          <cell r="A5160">
            <v>42114</v>
          </cell>
          <cell r="B5160" t="str">
            <v>CORPORATION</v>
          </cell>
          <cell r="C5160" t="str">
            <v>Comercial Bassetto De Maquinas Ltda</v>
          </cell>
          <cell r="D5160" t="str">
            <v>Motorbass</v>
          </cell>
          <cell r="E5160" t="str">
            <v>BR_CNPJ</v>
          </cell>
          <cell r="F5160" t="str">
            <v>06.127.165/0001-05</v>
          </cell>
          <cell r="G5160" t="str">
            <v>MOTORBASS</v>
          </cell>
        </row>
        <row r="5161">
          <cell r="A5161">
            <v>42117</v>
          </cell>
          <cell r="B5161" t="str">
            <v>CORPORATION</v>
          </cell>
          <cell r="C5161" t="str">
            <v>Casa Do Serralheiro Comercio De Ferramenta Ltda</v>
          </cell>
          <cell r="D5161" t="str">
            <v>Casa Do Serralheiro (De Limeira)</v>
          </cell>
          <cell r="E5161" t="str">
            <v>BR_CNPJ</v>
          </cell>
          <cell r="F5161" t="str">
            <v>39.281.646/0001-20</v>
          </cell>
        </row>
        <row r="5162">
          <cell r="A5162">
            <v>42118</v>
          </cell>
          <cell r="B5162" t="str">
            <v>CORPORATION</v>
          </cell>
          <cell r="C5162" t="str">
            <v>Marcia A. Heck Ltda</v>
          </cell>
          <cell r="D5162" t="str">
            <v>Makinasul</v>
          </cell>
          <cell r="E5162" t="str">
            <v>BR_CNPJ</v>
          </cell>
          <cell r="F5162" t="str">
            <v>26.946.595/0001-66</v>
          </cell>
          <cell r="G5162" t="str">
            <v>MAKINASUL</v>
          </cell>
        </row>
        <row r="5163">
          <cell r="A5163">
            <v>42120</v>
          </cell>
          <cell r="B5163" t="str">
            <v>CORPORATION</v>
          </cell>
          <cell r="C5163" t="str">
            <v>Dieletron Eletronico E Hidraulico Ltda</v>
          </cell>
          <cell r="D5163" t="str">
            <v>Dieletron</v>
          </cell>
          <cell r="E5163" t="str">
            <v>BR_CNPJ</v>
          </cell>
          <cell r="F5163" t="str">
            <v>03.086.145/0001-45</v>
          </cell>
        </row>
        <row r="5164">
          <cell r="A5164">
            <v>42122</v>
          </cell>
          <cell r="B5164" t="str">
            <v>CORPORATION</v>
          </cell>
          <cell r="C5164" t="str">
            <v>Wst Produtos Para Soldas Ltda</v>
          </cell>
          <cell r="D5164" t="str">
            <v>Wst Produtos Para Soldas Ltda</v>
          </cell>
          <cell r="E5164" t="str">
            <v>BR_CNPJ</v>
          </cell>
          <cell r="F5164" t="str">
            <v>53.924.644/0001-32</v>
          </cell>
          <cell r="G5164" t="str">
            <v>WST</v>
          </cell>
        </row>
        <row r="5165">
          <cell r="A5165">
            <v>42125</v>
          </cell>
          <cell r="B5165" t="str">
            <v>CORPORATION</v>
          </cell>
          <cell r="C5165" t="str">
            <v>Industria E Comercio De Ferragens Jk Ltda</v>
          </cell>
          <cell r="D5165" t="str">
            <v>Industria E Comercio De Ferragens Jk Ltda</v>
          </cell>
          <cell r="E5165" t="str">
            <v>BR_CNPJ</v>
          </cell>
          <cell r="F5165" t="str">
            <v>07.093.153/0001-70</v>
          </cell>
        </row>
        <row r="5166">
          <cell r="A5166">
            <v>42128</v>
          </cell>
          <cell r="B5166" t="str">
            <v>CORPORATION</v>
          </cell>
          <cell r="C5166" t="str">
            <v>Silvana Brisola Goncalves Parafusos</v>
          </cell>
          <cell r="D5166" t="str">
            <v>J. S. Parafusos</v>
          </cell>
          <cell r="E5166" t="str">
            <v>BR_CNPJ</v>
          </cell>
          <cell r="F5166" t="str">
            <v>08.714.108/0001-58</v>
          </cell>
        </row>
        <row r="5167">
          <cell r="A5167">
            <v>42130</v>
          </cell>
          <cell r="B5167" t="str">
            <v>CORPORATION</v>
          </cell>
          <cell r="C5167" t="str">
            <v>Leroy Merlin Companhia Brasileira De Bricolagem</v>
          </cell>
          <cell r="D5167" t="str">
            <v>0067 Loja Guarulhos</v>
          </cell>
          <cell r="E5167" t="str">
            <v>BR_CNPJ</v>
          </cell>
          <cell r="F5167" t="str">
            <v>01.438.784/0073-71</v>
          </cell>
          <cell r="G5167" t="str">
            <v>LEROY MERLIN</v>
          </cell>
        </row>
        <row r="5168">
          <cell r="A5168">
            <v>42138</v>
          </cell>
          <cell r="B5168" t="str">
            <v>CORPORATION</v>
          </cell>
          <cell r="C5168" t="str">
            <v>Alyne Nunes Da Silva Rivas 02270997107</v>
          </cell>
          <cell r="D5168" t="str">
            <v>Ferragista Veneza</v>
          </cell>
          <cell r="E5168" t="str">
            <v>BR_CNPJ</v>
          </cell>
          <cell r="F5168" t="str">
            <v>36.201.303/0001-10</v>
          </cell>
        </row>
        <row r="5169">
          <cell r="A5169">
            <v>42145</v>
          </cell>
          <cell r="B5169" t="str">
            <v>CORPORATION</v>
          </cell>
          <cell r="C5169" t="str">
            <v>Cadore Bidoia &amp; Cia Ltda</v>
          </cell>
          <cell r="D5169" t="str">
            <v>C B Agricola (Matriz)</v>
          </cell>
          <cell r="E5169" t="str">
            <v>BR_CNPJ</v>
          </cell>
          <cell r="F5169" t="str">
            <v>26.552.687/0001-61</v>
          </cell>
          <cell r="G5169" t="str">
            <v>C B AGRICOLA</v>
          </cell>
        </row>
        <row r="5170">
          <cell r="A5170">
            <v>42153</v>
          </cell>
          <cell r="B5170" t="str">
            <v>CORPORATION</v>
          </cell>
          <cell r="C5170" t="str">
            <v>Cadore Bidoia &amp; Cia Ltda</v>
          </cell>
          <cell r="D5170" t="str">
            <v>Cb Agricola (Querência)</v>
          </cell>
          <cell r="E5170" t="str">
            <v>BR_CNPJ</v>
          </cell>
          <cell r="F5170" t="str">
            <v>26.552.687/0012-14</v>
          </cell>
          <cell r="G5170" t="str">
            <v>C B AGRICOLA</v>
          </cell>
        </row>
        <row r="5171">
          <cell r="A5171">
            <v>42156</v>
          </cell>
          <cell r="B5171" t="str">
            <v>CORPORATION</v>
          </cell>
          <cell r="C5171" t="str">
            <v>Ivan Ferreira Da Costa - Me</v>
          </cell>
          <cell r="D5171" t="str">
            <v>Ferragista Gemeos</v>
          </cell>
          <cell r="E5171" t="str">
            <v>BR_CNPJ</v>
          </cell>
          <cell r="F5171" t="str">
            <v>21.851.708/0001-26</v>
          </cell>
        </row>
        <row r="5172">
          <cell r="A5172">
            <v>42158</v>
          </cell>
          <cell r="B5172" t="str">
            <v>CORPORATION</v>
          </cell>
          <cell r="C5172" t="str">
            <v>Ferragista Ancora Ltda</v>
          </cell>
          <cell r="D5172" t="str">
            <v>Ferragista Ancora Ltda</v>
          </cell>
          <cell r="E5172" t="str">
            <v>BR_CNPJ</v>
          </cell>
          <cell r="F5172" t="str">
            <v>49.313.274/0001-20</v>
          </cell>
        </row>
        <row r="5173">
          <cell r="A5173">
            <v>42160</v>
          </cell>
          <cell r="B5173" t="str">
            <v>CORPORATION</v>
          </cell>
          <cell r="C5173" t="str">
            <v>Marlene Alves Santana</v>
          </cell>
          <cell r="D5173" t="str">
            <v>Constrular</v>
          </cell>
          <cell r="E5173" t="str">
            <v>BR_CNPJ</v>
          </cell>
          <cell r="F5173" t="str">
            <v>24.130.149/0001-53</v>
          </cell>
        </row>
        <row r="5174">
          <cell r="A5174">
            <v>42165</v>
          </cell>
          <cell r="B5174" t="str">
            <v>CORPORATION</v>
          </cell>
          <cell r="C5174" t="str">
            <v>Jose A. Soares</v>
          </cell>
          <cell r="D5174" t="str">
            <v>Destaque Ferramentas</v>
          </cell>
          <cell r="E5174" t="str">
            <v>BR_CNPJ</v>
          </cell>
          <cell r="F5174" t="str">
            <v>21.563.857/0001-90</v>
          </cell>
          <cell r="G5174" t="str">
            <v>DESTAQUE</v>
          </cell>
        </row>
        <row r="5175">
          <cell r="A5175">
            <v>42167</v>
          </cell>
          <cell r="B5175" t="str">
            <v>CORPORATION</v>
          </cell>
          <cell r="C5175" t="str">
            <v>Cadore Bidoia &amp; Cia Ltda</v>
          </cell>
          <cell r="D5175" t="str">
            <v>Cb Agricola (Sorriso)</v>
          </cell>
          <cell r="E5175" t="str">
            <v>BR_CNPJ</v>
          </cell>
          <cell r="F5175" t="str">
            <v>26.552.687/0003-23</v>
          </cell>
          <cell r="G5175" t="str">
            <v>C B AGRICOLA</v>
          </cell>
        </row>
        <row r="5176">
          <cell r="A5176">
            <v>42169</v>
          </cell>
          <cell r="B5176" t="str">
            <v>CORPORATION</v>
          </cell>
          <cell r="C5176" t="str">
            <v>E Correia Ltda</v>
          </cell>
          <cell r="D5176" t="str">
            <v>Ribeirao Parafusos</v>
          </cell>
          <cell r="E5176" t="str">
            <v>BR_CNPJ</v>
          </cell>
          <cell r="F5176" t="str">
            <v>10.802.818/0001-81</v>
          </cell>
        </row>
        <row r="5177">
          <cell r="A5177">
            <v>42171</v>
          </cell>
          <cell r="B5177" t="str">
            <v>CORPORATION</v>
          </cell>
          <cell r="C5177" t="str">
            <v>Tatiani Lima Gasparelli</v>
          </cell>
          <cell r="D5177" t="str">
            <v>Agroleite</v>
          </cell>
          <cell r="E5177" t="str">
            <v>BR_CNPJ</v>
          </cell>
          <cell r="F5177" t="str">
            <v>22.966.474/0001-25</v>
          </cell>
        </row>
        <row r="5178">
          <cell r="A5178">
            <v>42173</v>
          </cell>
          <cell r="B5178" t="str">
            <v>CORPORATION</v>
          </cell>
          <cell r="C5178" t="str">
            <v>Cadore Bidoia &amp; Cia Ltda</v>
          </cell>
          <cell r="D5178" t="str">
            <v>Cb Agricola (Tangara Da Serra)</v>
          </cell>
          <cell r="E5178" t="str">
            <v>BR_CNPJ</v>
          </cell>
          <cell r="F5178" t="str">
            <v>26.552.687/0015-67</v>
          </cell>
          <cell r="G5178" t="str">
            <v>C B AGRICOLA</v>
          </cell>
        </row>
        <row r="5179">
          <cell r="A5179">
            <v>42175</v>
          </cell>
          <cell r="B5179" t="str">
            <v>CORPORATION</v>
          </cell>
          <cell r="C5179" t="str">
            <v>Eletro Pioneiro Comercio De Materiais Eletricos Ltda</v>
          </cell>
          <cell r="D5179" t="str">
            <v>Eletro Pioneiro</v>
          </cell>
          <cell r="E5179" t="str">
            <v>BR_CNPJ</v>
          </cell>
          <cell r="F5179" t="str">
            <v>49.345.908/0001-26</v>
          </cell>
        </row>
        <row r="5180">
          <cell r="A5180">
            <v>42177</v>
          </cell>
          <cell r="B5180" t="str">
            <v>CORPORATION</v>
          </cell>
          <cell r="C5180" t="str">
            <v>Cadore Bidoia &amp; Cia Ltda</v>
          </cell>
          <cell r="D5180" t="str">
            <v>Cb Agricola (Campo Verde)</v>
          </cell>
          <cell r="E5180" t="str">
            <v>BR_CNPJ</v>
          </cell>
          <cell r="F5180" t="str">
            <v>26.552.687/0006-76</v>
          </cell>
          <cell r="G5180" t="str">
            <v>C B AGRICOLA</v>
          </cell>
        </row>
        <row r="5181">
          <cell r="A5181">
            <v>42179</v>
          </cell>
          <cell r="B5181" t="str">
            <v>CORPORATION</v>
          </cell>
          <cell r="C5181" t="str">
            <v>Flavio Neiva Santana</v>
          </cell>
          <cell r="D5181" t="str">
            <v>Comercial Santana</v>
          </cell>
          <cell r="E5181" t="str">
            <v>BR_CNPJ</v>
          </cell>
          <cell r="F5181" t="str">
            <v>34.199.984/0001-01</v>
          </cell>
        </row>
        <row r="5182">
          <cell r="A5182">
            <v>42180</v>
          </cell>
          <cell r="B5182" t="str">
            <v>CORPORATION</v>
          </cell>
          <cell r="C5182" t="str">
            <v>Cadore Bidoia &amp; Cia Ltda</v>
          </cell>
          <cell r="D5182" t="str">
            <v>Cb Agricola (Confresa)</v>
          </cell>
          <cell r="E5182" t="str">
            <v>BR_CNPJ</v>
          </cell>
          <cell r="F5182" t="str">
            <v>26.552.687/0013-03</v>
          </cell>
          <cell r="G5182" t="str">
            <v>C B AGRICOLA</v>
          </cell>
        </row>
        <row r="5183">
          <cell r="A5183">
            <v>42182</v>
          </cell>
          <cell r="B5183" t="str">
            <v>CORPORATION</v>
          </cell>
          <cell r="C5183" t="str">
            <v>Oliveira Ferramentas Ltda</v>
          </cell>
          <cell r="D5183" t="str">
            <v>Ferragens Fortes</v>
          </cell>
          <cell r="E5183" t="str">
            <v>BR_CNPJ</v>
          </cell>
          <cell r="F5183" t="str">
            <v>28.602.622/0001-09</v>
          </cell>
        </row>
        <row r="5184">
          <cell r="A5184">
            <v>42183</v>
          </cell>
          <cell r="B5184" t="str">
            <v>CORPORATION</v>
          </cell>
          <cell r="C5184" t="str">
            <v>Cadore Bidoia &amp; Cia Ltda</v>
          </cell>
          <cell r="D5184" t="str">
            <v>Cb Agricola ( Lucas Do Rio Verde)</v>
          </cell>
          <cell r="E5184" t="str">
            <v>BR_CNPJ</v>
          </cell>
          <cell r="F5184" t="str">
            <v>26.552.687/0004-04</v>
          </cell>
          <cell r="G5184" t="str">
            <v>C B AGRICOLA</v>
          </cell>
        </row>
        <row r="5185">
          <cell r="A5185">
            <v>42184</v>
          </cell>
          <cell r="B5185" t="str">
            <v>CORPORATION</v>
          </cell>
          <cell r="C5185" t="str">
            <v>Starlok Andaimes &amp; Equipamentos - Industria E Comercio Ltda</v>
          </cell>
          <cell r="D5185" t="str">
            <v>Starlok Andaimes &amp; Equipamentos</v>
          </cell>
          <cell r="E5185" t="str">
            <v>BR_CNPJ</v>
          </cell>
          <cell r="F5185" t="str">
            <v>31.348.480/0001-00</v>
          </cell>
        </row>
        <row r="5186">
          <cell r="A5186">
            <v>42188</v>
          </cell>
          <cell r="B5186" t="str">
            <v>CORPORATION</v>
          </cell>
          <cell r="C5186" t="str">
            <v>Cadore Bidoia &amp; Cia Ltda</v>
          </cell>
          <cell r="D5186" t="str">
            <v>Cb Agricola (Nova Mutum)</v>
          </cell>
          <cell r="E5186" t="str">
            <v>BR_CNPJ</v>
          </cell>
          <cell r="F5186" t="str">
            <v>26.552.687/0011-33</v>
          </cell>
          <cell r="G5186" t="str">
            <v>C B AGRICOLA</v>
          </cell>
        </row>
        <row r="5187">
          <cell r="A5187">
            <v>42191</v>
          </cell>
          <cell r="B5187" t="str">
            <v>CORPORATION</v>
          </cell>
          <cell r="C5187" t="str">
            <v>Imperio Comercio De Parafusos Ltda</v>
          </cell>
          <cell r="D5187" t="str">
            <v>Imperio Dos Parafusos</v>
          </cell>
          <cell r="E5187" t="str">
            <v>BR_CNPJ</v>
          </cell>
          <cell r="F5187" t="str">
            <v>22.691.295/0001-22</v>
          </cell>
        </row>
        <row r="5188">
          <cell r="A5188">
            <v>42192</v>
          </cell>
          <cell r="B5188" t="str">
            <v>CORPORATION</v>
          </cell>
          <cell r="C5188" t="str">
            <v>Serra E Martins Comercio Ltda</v>
          </cell>
          <cell r="D5188" t="str">
            <v>Tem Tudo Parafusos E Ferramentas</v>
          </cell>
          <cell r="E5188" t="str">
            <v>BR_CNPJ</v>
          </cell>
          <cell r="F5188" t="str">
            <v>11.219.521/0002-31</v>
          </cell>
        </row>
        <row r="5189">
          <cell r="A5189">
            <v>42193</v>
          </cell>
          <cell r="B5189" t="str">
            <v>CORPORATION</v>
          </cell>
          <cell r="C5189" t="str">
            <v>Jose Carlos Apolinario</v>
          </cell>
          <cell r="D5189" t="str">
            <v>Solution Supply</v>
          </cell>
          <cell r="E5189" t="str">
            <v>BR_CNPJ</v>
          </cell>
          <cell r="F5189" t="str">
            <v>18.048.329/0001-98</v>
          </cell>
        </row>
        <row r="5190">
          <cell r="A5190">
            <v>42195</v>
          </cell>
          <cell r="B5190" t="str">
            <v>CORPORATION</v>
          </cell>
          <cell r="C5190" t="str">
            <v>Fix Comercio De Materiais De Construcao Ltda</v>
          </cell>
          <cell r="D5190" t="str">
            <v>Fixhome Produtos E Utilidades</v>
          </cell>
          <cell r="E5190" t="str">
            <v>BR_CNPJ</v>
          </cell>
          <cell r="F5190" t="str">
            <v>29.682.962/0001-50</v>
          </cell>
        </row>
        <row r="5191">
          <cell r="A5191">
            <v>42196</v>
          </cell>
          <cell r="B5191" t="str">
            <v>CORPORATION</v>
          </cell>
          <cell r="C5191" t="str">
            <v>Monttech Service Manutencoes Industriais Eireli</v>
          </cell>
          <cell r="D5191" t="str">
            <v>Monttech Service</v>
          </cell>
          <cell r="E5191" t="str">
            <v>BR_CNPJ</v>
          </cell>
          <cell r="F5191" t="str">
            <v>20.097.863/0001-36</v>
          </cell>
        </row>
        <row r="5192">
          <cell r="A5192">
            <v>42197</v>
          </cell>
          <cell r="B5192" t="str">
            <v>CORPORATION</v>
          </cell>
          <cell r="C5192" t="str">
            <v>Ailton Alves Da Silva 21934498807</v>
          </cell>
          <cell r="D5192" t="str">
            <v>Casa Das Ferramentas</v>
          </cell>
          <cell r="E5192" t="str">
            <v>BR_CNPJ</v>
          </cell>
          <cell r="F5192" t="str">
            <v>38.143.523/0001-60</v>
          </cell>
        </row>
        <row r="5193">
          <cell r="A5193">
            <v>42198</v>
          </cell>
          <cell r="B5193" t="str">
            <v>CORPORATION</v>
          </cell>
          <cell r="C5193" t="str">
            <v>Casa 505 Ltda</v>
          </cell>
          <cell r="D5193" t="str">
            <v>Casa 505</v>
          </cell>
          <cell r="E5193" t="str">
            <v>BR_CNPJ</v>
          </cell>
          <cell r="F5193" t="str">
            <v>20.495.826/0001-86</v>
          </cell>
        </row>
        <row r="5194">
          <cell r="A5194">
            <v>42199</v>
          </cell>
          <cell r="B5194" t="str">
            <v>CORPORATION</v>
          </cell>
          <cell r="C5194" t="str">
            <v>Cooperativa Dos Plantadores De Cana Do Estado De São Paulo</v>
          </cell>
          <cell r="D5194" t="str">
            <v>Coplacana (Chavantes)</v>
          </cell>
          <cell r="E5194" t="str">
            <v>BR_CNPJ</v>
          </cell>
          <cell r="F5194" t="str">
            <v>54.366.547/0003-04</v>
          </cell>
          <cell r="G5194" t="str">
            <v>COPLACANA</v>
          </cell>
        </row>
        <row r="5195">
          <cell r="A5195">
            <v>42203</v>
          </cell>
          <cell r="B5195" t="str">
            <v>CORPORATION</v>
          </cell>
          <cell r="C5195" t="str">
            <v>Luma Comercio De Ferramentas E Utilidades Diversas Ltda</v>
          </cell>
          <cell r="D5195" t="str">
            <v>Luma Comercio De Ferramentas E Utilidades Diversas</v>
          </cell>
          <cell r="E5195" t="str">
            <v>BR_CNPJ</v>
          </cell>
          <cell r="F5195" t="str">
            <v>42.525.296/0001-04</v>
          </cell>
        </row>
        <row r="5196">
          <cell r="A5196">
            <v>42205</v>
          </cell>
          <cell r="B5196" t="str">
            <v>CORPORATION</v>
          </cell>
          <cell r="C5196" t="str">
            <v>Rdw Comercio De Ferro E Aco Ltda</v>
          </cell>
          <cell r="D5196" t="str">
            <v>Stampafer</v>
          </cell>
          <cell r="E5196" t="str">
            <v>BR_CNPJ</v>
          </cell>
          <cell r="F5196" t="str">
            <v>34.770.822/0002-54</v>
          </cell>
          <cell r="G5196" t="str">
            <v>STAMPAFER</v>
          </cell>
        </row>
        <row r="5197">
          <cell r="A5197">
            <v>42206</v>
          </cell>
          <cell r="B5197" t="str">
            <v>CORPORATION</v>
          </cell>
          <cell r="C5197" t="str">
            <v>Santec Comercio De Ferragens E Ferramentas Ltda</v>
          </cell>
          <cell r="D5197" t="str">
            <v>Santec Comercio De Ferragens E Ferramentas Ltda</v>
          </cell>
          <cell r="E5197" t="str">
            <v>BR_CNPJ</v>
          </cell>
          <cell r="F5197" t="str">
            <v>51.322.782/0001-16</v>
          </cell>
        </row>
        <row r="5198">
          <cell r="A5198">
            <v>42208</v>
          </cell>
          <cell r="B5198" t="str">
            <v>CORPORATION</v>
          </cell>
          <cell r="C5198" t="str">
            <v>Fonseca E Alcantara Comercio De Ferragens Ltda</v>
          </cell>
          <cell r="D5198" t="str">
            <v>Centro Oeste Parafusos E Borrachas</v>
          </cell>
          <cell r="E5198" t="str">
            <v>BR_CNPJ</v>
          </cell>
          <cell r="F5198" t="str">
            <v>46.659.654/0001-22</v>
          </cell>
          <cell r="G5198" t="str">
            <v>CENTRO OESTE</v>
          </cell>
        </row>
        <row r="5199">
          <cell r="A5199">
            <v>42214</v>
          </cell>
          <cell r="B5199" t="str">
            <v>CORPORATION</v>
          </cell>
          <cell r="C5199" t="str">
            <v>K B Da Silva</v>
          </cell>
          <cell r="D5199" t="str">
            <v>Kfaith</v>
          </cell>
          <cell r="E5199" t="str">
            <v>BR_CNPJ</v>
          </cell>
          <cell r="F5199" t="str">
            <v>30.194.075/0001-11</v>
          </cell>
        </row>
        <row r="5200">
          <cell r="A5200">
            <v>42220</v>
          </cell>
          <cell r="B5200" t="str">
            <v>CORPORATION</v>
          </cell>
          <cell r="C5200" t="str">
            <v>Jb Gases E Equipamentos De Solda Eireli</v>
          </cell>
          <cell r="D5200" t="str">
            <v>Gasmaq</v>
          </cell>
          <cell r="E5200" t="str">
            <v>BR_CNPJ</v>
          </cell>
          <cell r="F5200" t="str">
            <v>27.093.528/0001-09</v>
          </cell>
        </row>
        <row r="5201">
          <cell r="A5201">
            <v>42229</v>
          </cell>
          <cell r="B5201" t="str">
            <v>CORPORATION</v>
          </cell>
          <cell r="C5201" t="str">
            <v>F A Azevedo Marinho Equipamentos Industriais Me</v>
          </cell>
          <cell r="D5201" t="str">
            <v>F A Azevedo Marinho Equipamentos Industriais Me</v>
          </cell>
          <cell r="E5201" t="str">
            <v>BR_CNPJ</v>
          </cell>
          <cell r="F5201" t="str">
            <v>16.925.048/0001-40</v>
          </cell>
        </row>
        <row r="5202">
          <cell r="A5202">
            <v>42231</v>
          </cell>
          <cell r="B5202" t="str">
            <v>CORPORATION</v>
          </cell>
          <cell r="C5202" t="str">
            <v>Camila Dos Santos Silva 27155541842</v>
          </cell>
          <cell r="D5202" t="str">
            <v>Camila Dos Santos</v>
          </cell>
          <cell r="E5202" t="str">
            <v>BR_CNPJ</v>
          </cell>
          <cell r="F5202" t="str">
            <v>33.116.738/0001-78</v>
          </cell>
          <cell r="G5202" t="str">
            <v>CAMILA DOS SANTOS</v>
          </cell>
        </row>
        <row r="5203">
          <cell r="A5203">
            <v>42233</v>
          </cell>
          <cell r="B5203" t="str">
            <v>CORPORATION</v>
          </cell>
          <cell r="C5203" t="str">
            <v>Reis E Araujo Comercial De Ferros E Materiais De Construcao Ltda</v>
          </cell>
          <cell r="D5203" t="str">
            <v>Ferraco</v>
          </cell>
          <cell r="E5203" t="str">
            <v>BR_CNPJ</v>
          </cell>
          <cell r="F5203" t="str">
            <v>27.107.498/0001-42</v>
          </cell>
        </row>
        <row r="5204">
          <cell r="A5204">
            <v>42237</v>
          </cell>
          <cell r="B5204" t="str">
            <v>CORPORATION</v>
          </cell>
          <cell r="C5204" t="str">
            <v>Comercial Rdp Ltda</v>
          </cell>
          <cell r="D5204" t="str">
            <v>Rei Dos Parafusos</v>
          </cell>
          <cell r="E5204" t="str">
            <v>BR_CNPJ</v>
          </cell>
          <cell r="F5204" t="str">
            <v>46.984.546/0001-25</v>
          </cell>
        </row>
        <row r="5205">
          <cell r="A5205">
            <v>42239</v>
          </cell>
          <cell r="B5205" t="str">
            <v>CORPORATION</v>
          </cell>
          <cell r="C5205" t="str">
            <v>Areinha Tintas Ltda</v>
          </cell>
          <cell r="D5205" t="str">
            <v>Areinha Tintas</v>
          </cell>
          <cell r="E5205" t="str">
            <v>BR_CNPJ</v>
          </cell>
          <cell r="F5205" t="str">
            <v>06.077.715/0001-29</v>
          </cell>
        </row>
        <row r="5206">
          <cell r="A5206">
            <v>42240</v>
          </cell>
          <cell r="B5206" t="str">
            <v>CORPORATION</v>
          </cell>
          <cell r="C5206" t="str">
            <v>45.973.602 Bruno Henrique Nunes</v>
          </cell>
          <cell r="D5206" t="str">
            <v>Bs Instalacao E Manutencao</v>
          </cell>
          <cell r="E5206" t="str">
            <v>BR_CNPJ</v>
          </cell>
          <cell r="F5206" t="str">
            <v>45.973.602/0001-63</v>
          </cell>
        </row>
        <row r="5207">
          <cell r="A5207">
            <v>42243</v>
          </cell>
          <cell r="B5207" t="str">
            <v>CORPORATION</v>
          </cell>
          <cell r="C5207" t="str">
            <v>Ivam Ferragens Ltda</v>
          </cell>
          <cell r="D5207" t="str">
            <v>Ivam Ferragens</v>
          </cell>
          <cell r="E5207" t="str">
            <v>BR_CNPJ</v>
          </cell>
          <cell r="F5207" t="str">
            <v>03.862.404/0001-82</v>
          </cell>
          <cell r="G5207" t="str">
            <v>IVAM FERRAGENS</v>
          </cell>
        </row>
        <row r="5208">
          <cell r="A5208">
            <v>42244</v>
          </cell>
          <cell r="B5208" t="str">
            <v>CORPORATION</v>
          </cell>
          <cell r="C5208" t="str">
            <v>Joviki Multicoisas Comercio Ltda</v>
          </cell>
          <cell r="D5208" t="str">
            <v>Joviki Guaratiba</v>
          </cell>
          <cell r="E5208" t="str">
            <v>BR_CNPJ</v>
          </cell>
          <cell r="F5208" t="str">
            <v>54.480.027/0001-58</v>
          </cell>
          <cell r="G5208" t="str">
            <v>JOVIKI</v>
          </cell>
        </row>
        <row r="5209">
          <cell r="A5209">
            <v>42251</v>
          </cell>
          <cell r="B5209" t="str">
            <v>CORPORATION</v>
          </cell>
          <cell r="C5209" t="str">
            <v>Tiago Engel &amp; Cia Ltda</v>
          </cell>
          <cell r="D5209" t="str">
            <v>Metalsystem</v>
          </cell>
          <cell r="E5209" t="str">
            <v>BR_CNPJ</v>
          </cell>
          <cell r="F5209" t="str">
            <v>07.573.391/0001-82</v>
          </cell>
        </row>
        <row r="5210">
          <cell r="A5210">
            <v>42254</v>
          </cell>
          <cell r="B5210" t="str">
            <v>CORPORATION</v>
          </cell>
          <cell r="C5210" t="str">
            <v>Sila Viana Da Silva Tavares Neto Ltda</v>
          </cell>
          <cell r="D5210" t="str">
            <v>A Construmetal</v>
          </cell>
          <cell r="E5210" t="str">
            <v>BR_CNPJ</v>
          </cell>
          <cell r="F5210" t="str">
            <v>07.067.532/0001-95</v>
          </cell>
        </row>
        <row r="5211">
          <cell r="A5211">
            <v>42277</v>
          </cell>
          <cell r="B5211" t="str">
            <v>CORPORATION</v>
          </cell>
          <cell r="C5211" t="str">
            <v>Mb Imports Eireli</v>
          </cell>
          <cell r="D5211" t="str">
            <v>Sulmart</v>
          </cell>
          <cell r="E5211" t="str">
            <v>BR_CNPJ</v>
          </cell>
          <cell r="F5211" t="str">
            <v>19.999.623/0001-48</v>
          </cell>
        </row>
        <row r="5212">
          <cell r="A5212">
            <v>42279</v>
          </cell>
          <cell r="B5212" t="str">
            <v>CORPORATION</v>
          </cell>
          <cell r="C5212" t="str">
            <v>Lampiao Caca Pesca E Camping Ltda</v>
          </cell>
          <cell r="D5212" t="str">
            <v>Lampiao Caca Pesca E Camping Ltda</v>
          </cell>
          <cell r="E5212" t="str">
            <v>BR_CNPJ</v>
          </cell>
          <cell r="F5212" t="str">
            <v>09.019.761/0001-60</v>
          </cell>
        </row>
        <row r="5213">
          <cell r="A5213">
            <v>42281</v>
          </cell>
          <cell r="B5213" t="str">
            <v>CORPORATION</v>
          </cell>
          <cell r="C5213" t="str">
            <v>Jorge Paulo Vieira Diniz</v>
          </cell>
          <cell r="D5213" t="str">
            <v>Eletro- Eletronico Diniz</v>
          </cell>
          <cell r="E5213" t="str">
            <v>BR_CNPJ</v>
          </cell>
          <cell r="F5213" t="str">
            <v>04.189.928/0001-17</v>
          </cell>
        </row>
        <row r="5214">
          <cell r="A5214">
            <v>42289</v>
          </cell>
          <cell r="B5214" t="str">
            <v>CORPORATION</v>
          </cell>
          <cell r="C5214" t="str">
            <v>Paulo Antonio Da Rocha Junior</v>
          </cell>
          <cell r="D5214" t="str">
            <v>Eletro Uai</v>
          </cell>
          <cell r="E5214" t="str">
            <v>BR_CNPJ</v>
          </cell>
          <cell r="F5214" t="str">
            <v>26.307.606/0001-68</v>
          </cell>
        </row>
        <row r="5215">
          <cell r="A5215">
            <v>42293</v>
          </cell>
          <cell r="B5215" t="str">
            <v>CORPORATION</v>
          </cell>
          <cell r="C5215" t="str">
            <v>Douglas Ribeiro Da Silva 21736269810</v>
          </cell>
          <cell r="D5215" t="str">
            <v>Douglas Ribeiro Da Silva</v>
          </cell>
          <cell r="E5215" t="str">
            <v>BR_CNPJ</v>
          </cell>
          <cell r="F5215" t="str">
            <v>36.737.847/0001-09</v>
          </cell>
        </row>
        <row r="5216">
          <cell r="A5216">
            <v>42296</v>
          </cell>
          <cell r="B5216" t="str">
            <v>CORPORATION</v>
          </cell>
          <cell r="C5216" t="str">
            <v>Pedro Henrique Da Silva 70130257630</v>
          </cell>
          <cell r="D5216" t="str">
            <v>Perperio Automacoes</v>
          </cell>
          <cell r="E5216" t="str">
            <v>BR_CNPJ</v>
          </cell>
          <cell r="F5216" t="str">
            <v>36.284.921/0001-70</v>
          </cell>
        </row>
        <row r="5217">
          <cell r="A5217">
            <v>42300</v>
          </cell>
          <cell r="B5217" t="str">
            <v>CORPORATION</v>
          </cell>
          <cell r="C5217" t="str">
            <v>T. Romano Comercio De Materiais Eletricos E Parafusos Ltda</v>
          </cell>
          <cell r="D5217" t="str">
            <v>Redecam</v>
          </cell>
          <cell r="E5217" t="str">
            <v>BR_CNPJ</v>
          </cell>
          <cell r="F5217" t="str">
            <v>07.484.541/0001-81</v>
          </cell>
        </row>
        <row r="5218">
          <cell r="A5218">
            <v>42306</v>
          </cell>
          <cell r="B5218" t="str">
            <v>CORPORATION</v>
          </cell>
          <cell r="C5218" t="str">
            <v>Lider- Maquinas E Ferramentas Ltda</v>
          </cell>
          <cell r="D5218" t="str">
            <v>Linprol</v>
          </cell>
          <cell r="E5218" t="str">
            <v>BR_CNPJ</v>
          </cell>
          <cell r="F5218" t="str">
            <v>09.581.311/0001-66</v>
          </cell>
          <cell r="G5218" t="str">
            <v>LINPROL</v>
          </cell>
        </row>
        <row r="5219">
          <cell r="A5219">
            <v>42323</v>
          </cell>
          <cell r="B5219" t="str">
            <v>CORPORATION</v>
          </cell>
          <cell r="C5219" t="str">
            <v>J M Santiago Filho Ferragens E Equipamentos</v>
          </cell>
          <cell r="D5219" t="str">
            <v>Santiago Ferramentas</v>
          </cell>
          <cell r="E5219" t="str">
            <v>BR_CNPJ</v>
          </cell>
          <cell r="F5219" t="str">
            <v>53.845.503/0001-24</v>
          </cell>
        </row>
        <row r="5220">
          <cell r="A5220">
            <v>42334</v>
          </cell>
          <cell r="B5220" t="str">
            <v>CORPORATION</v>
          </cell>
          <cell r="C5220" t="str">
            <v>Assenco Aquecedores E Sistemas Sociedade Unipessoal Ltda</v>
          </cell>
          <cell r="D5220" t="str">
            <v>Assenco Aquecedores E Sistemas</v>
          </cell>
          <cell r="E5220" t="str">
            <v>BR_CNPJ</v>
          </cell>
          <cell r="F5220" t="str">
            <v>30.977.632/0001-70</v>
          </cell>
        </row>
        <row r="5221">
          <cell r="A5221">
            <v>42335</v>
          </cell>
          <cell r="B5221" t="str">
            <v>CORPORATION</v>
          </cell>
          <cell r="C5221" t="str">
            <v>Casa Do Marceneiro Comercial Ltda</v>
          </cell>
          <cell r="D5221" t="str">
            <v>Casa Do Marceneiro</v>
          </cell>
          <cell r="E5221" t="str">
            <v>BR_CNPJ</v>
          </cell>
          <cell r="F5221" t="str">
            <v>84.558.246/0001-73</v>
          </cell>
        </row>
        <row r="5222">
          <cell r="A5222">
            <v>42336</v>
          </cell>
          <cell r="B5222" t="str">
            <v>CORPORATION</v>
          </cell>
          <cell r="C5222" t="str">
            <v>Ribeiro Pecas Comercio Ltda</v>
          </cell>
          <cell r="D5222" t="str">
            <v>Ribeiro Pecas Comercio</v>
          </cell>
          <cell r="E5222" t="str">
            <v>BR_CNPJ</v>
          </cell>
          <cell r="F5222" t="str">
            <v>23.731.565/0001-44</v>
          </cell>
        </row>
        <row r="5223">
          <cell r="A5223">
            <v>42338</v>
          </cell>
          <cell r="B5223" t="str">
            <v>CORPORATION</v>
          </cell>
          <cell r="C5223" t="str">
            <v>Amanda Aparecida Camilo Porto 12169175660</v>
          </cell>
          <cell r="D5223" t="str">
            <v>Casa De Parafusos Chapadao</v>
          </cell>
          <cell r="E5223" t="str">
            <v>BR_CNPJ</v>
          </cell>
          <cell r="F5223" t="str">
            <v>26.092.386/0001-00</v>
          </cell>
        </row>
        <row r="5224">
          <cell r="A5224">
            <v>42341</v>
          </cell>
          <cell r="B5224" t="str">
            <v>CORPORATION</v>
          </cell>
          <cell r="C5224" t="str">
            <v>Maqpoint Ferramentas E Acessorios Ltda</v>
          </cell>
          <cell r="D5224" t="str">
            <v>Maqpoint Ferramentas E Acessorios Ltda</v>
          </cell>
          <cell r="E5224" t="str">
            <v>BR_CNPJ</v>
          </cell>
          <cell r="F5224" t="str">
            <v>30.958.897/0001-21</v>
          </cell>
          <cell r="G5224" t="str">
            <v>MAQPOINT</v>
          </cell>
        </row>
        <row r="5225">
          <cell r="A5225">
            <v>42348</v>
          </cell>
          <cell r="B5225" t="str">
            <v>CORPORATION</v>
          </cell>
          <cell r="C5225" t="str">
            <v>Adp Solucoes Tecnicas Brasil Ltda</v>
          </cell>
          <cell r="D5225" t="str">
            <v>Adpgroup Brasil</v>
          </cell>
          <cell r="E5225" t="str">
            <v>BR_CNPJ</v>
          </cell>
          <cell r="F5225" t="str">
            <v>26.372.091/0001-80</v>
          </cell>
        </row>
        <row r="5226">
          <cell r="A5226">
            <v>42355</v>
          </cell>
          <cell r="B5226" t="str">
            <v>CORPORATION</v>
          </cell>
          <cell r="C5226" t="str">
            <v>Pedra Construcao Ltda</v>
          </cell>
          <cell r="D5226" t="str">
            <v>Pedra Construcao</v>
          </cell>
          <cell r="E5226" t="str">
            <v>BR_CNPJ</v>
          </cell>
          <cell r="F5226" t="str">
            <v>40.777.690/0001-04</v>
          </cell>
        </row>
        <row r="5227">
          <cell r="A5227">
            <v>42368</v>
          </cell>
          <cell r="B5227" t="str">
            <v>CORPORATION</v>
          </cell>
          <cell r="C5227" t="str">
            <v>Andrea Maia Da Cruz Ramos</v>
          </cell>
          <cell r="D5227" t="str">
            <v>Sorocaba Shop Imports (Wl)</v>
          </cell>
          <cell r="E5227" t="str">
            <v>BR_CNPJ</v>
          </cell>
          <cell r="F5227" t="str">
            <v>21.419.570/0001-90</v>
          </cell>
          <cell r="G5227" t="str">
            <v>WL SOROCABA</v>
          </cell>
        </row>
        <row r="5228">
          <cell r="A5228">
            <v>42373</v>
          </cell>
          <cell r="B5228" t="str">
            <v>CORPORATION</v>
          </cell>
          <cell r="C5228" t="str">
            <v>Vertmaquinas Industria E Comercio De Maquinas E Ferramentas Ltda</v>
          </cell>
          <cell r="D5228" t="str">
            <v>Vertmaquinas (Riglamaq)</v>
          </cell>
          <cell r="E5228" t="str">
            <v>BR_CNPJ</v>
          </cell>
          <cell r="F5228" t="str">
            <v>50.680.799/0001-82</v>
          </cell>
          <cell r="G5228" t="str">
            <v>RIGLAMAQ</v>
          </cell>
        </row>
        <row r="5229">
          <cell r="A5229">
            <v>42380</v>
          </cell>
          <cell r="B5229" t="str">
            <v>CORPORATION</v>
          </cell>
          <cell r="C5229" t="str">
            <v>Renato Alves Faria</v>
          </cell>
          <cell r="D5229" t="str">
            <v>Agrofer Avenida</v>
          </cell>
          <cell r="E5229" t="str">
            <v>BR_CNPJ</v>
          </cell>
          <cell r="F5229" t="str">
            <v>44.921.863/0001-77</v>
          </cell>
        </row>
        <row r="5230">
          <cell r="A5230">
            <v>42393</v>
          </cell>
          <cell r="B5230" t="str">
            <v>CORPORATION</v>
          </cell>
          <cell r="C5230" t="str">
            <v>Vila 748 Bazar Ltda</v>
          </cell>
          <cell r="D5230" t="str">
            <v>Bazar Central</v>
          </cell>
          <cell r="E5230" t="str">
            <v>BR_CNPJ</v>
          </cell>
          <cell r="F5230" t="str">
            <v>11.439.090/0001-38</v>
          </cell>
        </row>
        <row r="5231">
          <cell r="A5231">
            <v>42397</v>
          </cell>
          <cell r="B5231" t="str">
            <v>CORPORATION</v>
          </cell>
          <cell r="C5231" t="str">
            <v>Primatec Comercio E Servico Ltda</v>
          </cell>
          <cell r="D5231" t="str">
            <v>Rio Epi</v>
          </cell>
          <cell r="E5231" t="str">
            <v>BR_CNPJ</v>
          </cell>
          <cell r="F5231" t="str">
            <v>41.777.728/0001-01</v>
          </cell>
        </row>
        <row r="5232">
          <cell r="A5232">
            <v>42402</v>
          </cell>
          <cell r="B5232" t="str">
            <v>CORPORATION</v>
          </cell>
          <cell r="C5232" t="str">
            <v>Igecast Distribuidora Ltda</v>
          </cell>
          <cell r="D5232" t="str">
            <v>Igecast Seg</v>
          </cell>
          <cell r="E5232" t="str">
            <v>BR_CNPJ</v>
          </cell>
          <cell r="F5232" t="str">
            <v>30.793.924/0001-53</v>
          </cell>
        </row>
        <row r="5233">
          <cell r="A5233">
            <v>42403</v>
          </cell>
          <cell r="B5233" t="str">
            <v>CORPORATION</v>
          </cell>
          <cell r="C5233" t="str">
            <v>Le Automotive Ltda</v>
          </cell>
          <cell r="D5233" t="str">
            <v>Extra Rolamentos E Retentores</v>
          </cell>
          <cell r="E5233" t="str">
            <v>BR_CNPJ</v>
          </cell>
          <cell r="F5233" t="str">
            <v>17.133.313/0001-10</v>
          </cell>
        </row>
        <row r="5234">
          <cell r="A5234">
            <v>42407</v>
          </cell>
          <cell r="B5234" t="str">
            <v>CORPORATION</v>
          </cell>
          <cell r="C5234" t="str">
            <v>Adrovando Tomaz Cavalcante</v>
          </cell>
          <cell r="D5234" t="str">
            <v>Acs Adrovando Comercio E Servicos</v>
          </cell>
          <cell r="E5234" t="str">
            <v>BR_CNPJ</v>
          </cell>
          <cell r="F5234" t="str">
            <v>02.258.764/0001-07</v>
          </cell>
        </row>
        <row r="5235">
          <cell r="A5235">
            <v>42418</v>
          </cell>
          <cell r="B5235" t="str">
            <v>CORPORATION</v>
          </cell>
          <cell r="C5235" t="str">
            <v>S. P. Parafusos Ltda</v>
          </cell>
          <cell r="D5235" t="str">
            <v>S. P. Parafusos Ltda</v>
          </cell>
          <cell r="E5235" t="str">
            <v>BR_CNPJ</v>
          </cell>
          <cell r="F5235" t="str">
            <v>84.555.945/0001-60</v>
          </cell>
        </row>
        <row r="5236">
          <cell r="A5236">
            <v>42419</v>
          </cell>
          <cell r="B5236" t="str">
            <v>CORPORATION</v>
          </cell>
          <cell r="C5236" t="str">
            <v>Soldas Joacaba Ltda</v>
          </cell>
          <cell r="D5236" t="str">
            <v>Soldas Joacaba Manutencao Industrial</v>
          </cell>
          <cell r="E5236" t="str">
            <v>BR_CNPJ</v>
          </cell>
          <cell r="F5236" t="str">
            <v>48.681.921/0001-93</v>
          </cell>
        </row>
        <row r="5237">
          <cell r="A5237">
            <v>42420</v>
          </cell>
          <cell r="B5237" t="str">
            <v>CORPORATION</v>
          </cell>
          <cell r="C5237" t="str">
            <v>D F Maia Ferragens - Eireli</v>
          </cell>
          <cell r="D5237" t="str">
            <v>Diaco</v>
          </cell>
          <cell r="E5237" t="str">
            <v>BR_CNPJ</v>
          </cell>
          <cell r="F5237" t="str">
            <v>18.643.193/0001-64</v>
          </cell>
        </row>
        <row r="5238">
          <cell r="A5238">
            <v>42422</v>
          </cell>
          <cell r="B5238" t="str">
            <v>CORPORATION</v>
          </cell>
          <cell r="C5238" t="str">
            <v>J C L Comercio De Maquinas E Equipamentos Ltda</v>
          </cell>
          <cell r="D5238" t="str">
            <v>Bacurau Motores</v>
          </cell>
          <cell r="E5238" t="str">
            <v>BR_CNPJ</v>
          </cell>
          <cell r="F5238" t="str">
            <v>54.824.691/0001-77</v>
          </cell>
        </row>
        <row r="5239">
          <cell r="A5239">
            <v>42434</v>
          </cell>
          <cell r="B5239" t="str">
            <v>CORPORATION</v>
          </cell>
          <cell r="C5239" t="str">
            <v>Lucas Akio Iwakura</v>
          </cell>
          <cell r="D5239" t="str">
            <v>Akio Distribuidora</v>
          </cell>
          <cell r="E5239" t="str">
            <v>BR_CNPJ</v>
          </cell>
          <cell r="F5239" t="str">
            <v>15.006.997/0001-64</v>
          </cell>
        </row>
        <row r="5240">
          <cell r="A5240">
            <v>42437</v>
          </cell>
          <cell r="B5240" t="str">
            <v>CORPORATION</v>
          </cell>
          <cell r="C5240" t="str">
            <v>Bom Bons E Descartaveis Eireli</v>
          </cell>
          <cell r="D5240" t="str">
            <v>Italy Design</v>
          </cell>
          <cell r="E5240" t="str">
            <v>BR_CNPJ</v>
          </cell>
          <cell r="F5240" t="str">
            <v>01.580.769/0001-99</v>
          </cell>
        </row>
        <row r="5241">
          <cell r="A5241">
            <v>42438</v>
          </cell>
          <cell r="B5241" t="str">
            <v>CORPORATION</v>
          </cell>
          <cell r="C5241" t="str">
            <v>Mgm Manutencao E Comercio De Ferramentas Ltda</v>
          </cell>
          <cell r="D5241" t="str">
            <v>Master Ferramentas</v>
          </cell>
          <cell r="E5241" t="str">
            <v>BR_CNPJ</v>
          </cell>
          <cell r="F5241" t="str">
            <v>44.647.371/0001-35</v>
          </cell>
          <cell r="G5241" t="str">
            <v>MASTER FERRAMENTAS</v>
          </cell>
        </row>
        <row r="5242">
          <cell r="A5242">
            <v>42442</v>
          </cell>
          <cell r="B5242" t="str">
            <v>CORPORATION</v>
          </cell>
          <cell r="C5242" t="str">
            <v>Oxi-Vieira Materiais Para Solda E Ferramentas Ltda</v>
          </cell>
          <cell r="D5242" t="str">
            <v>Oxi-Vieira</v>
          </cell>
          <cell r="E5242" t="str">
            <v>BR_CNPJ</v>
          </cell>
          <cell r="F5242" t="str">
            <v>08.189.712/0001-02</v>
          </cell>
        </row>
        <row r="5243">
          <cell r="A5243">
            <v>42448</v>
          </cell>
          <cell r="B5243" t="str">
            <v>CORPORATION</v>
          </cell>
          <cell r="C5243" t="str">
            <v>Atacadao Das Ferramentas Eireli</v>
          </cell>
          <cell r="D5243" t="str">
            <v>Atacadao Das Ferramentas</v>
          </cell>
          <cell r="E5243" t="str">
            <v>BR_CNPJ</v>
          </cell>
          <cell r="F5243" t="str">
            <v>24.840.284/0001-92</v>
          </cell>
        </row>
        <row r="5244">
          <cell r="A5244">
            <v>42452</v>
          </cell>
          <cell r="B5244" t="str">
            <v>CORPORATION</v>
          </cell>
          <cell r="C5244" t="str">
            <v>R R Parafusos E Ferragens Ltda</v>
          </cell>
          <cell r="D5244" t="str">
            <v>R R Parafusos E Ferragens Ltda</v>
          </cell>
          <cell r="E5244" t="str">
            <v>BR_CNPJ</v>
          </cell>
          <cell r="F5244" t="str">
            <v>50.424.269/0001-73</v>
          </cell>
        </row>
        <row r="5245">
          <cell r="A5245">
            <v>42459</v>
          </cell>
          <cell r="B5245" t="str">
            <v>CORPORATION</v>
          </cell>
          <cell r="C5245" t="str">
            <v>A Protasio Kurschner Comercio De Ferragens E Ferramentas</v>
          </cell>
          <cell r="D5245" t="str">
            <v>Map Soldas E Ferragens</v>
          </cell>
          <cell r="E5245" t="str">
            <v>BR_CNPJ</v>
          </cell>
          <cell r="F5245" t="str">
            <v>32.365.805/0001-25</v>
          </cell>
        </row>
        <row r="5246">
          <cell r="A5246">
            <v>42461</v>
          </cell>
          <cell r="B5246" t="str">
            <v>CORPORATION</v>
          </cell>
          <cell r="C5246" t="str">
            <v>Je Shop Ferramentas E Ferragens Ltda</v>
          </cell>
          <cell r="D5246" t="str">
            <v>Je Ferramentas</v>
          </cell>
          <cell r="E5246" t="str">
            <v>BR_CNPJ</v>
          </cell>
          <cell r="F5246" t="str">
            <v>44.998.400/0001-03</v>
          </cell>
          <cell r="G5246" t="str">
            <v>JE FERRAMENTAS</v>
          </cell>
        </row>
        <row r="5247">
          <cell r="A5247">
            <v>42471</v>
          </cell>
          <cell r="B5247" t="str">
            <v>CORPORATION</v>
          </cell>
          <cell r="C5247" t="str">
            <v>Zagar Comercio De Ferragens E Ferramentas Ltda</v>
          </cell>
          <cell r="D5247" t="str">
            <v>Zagar Comercio De Ferragens E Ferramentas Ltda</v>
          </cell>
          <cell r="E5247" t="str">
            <v>BR_CNPJ</v>
          </cell>
          <cell r="F5247" t="str">
            <v>10.653.631/0001-63</v>
          </cell>
        </row>
        <row r="5248">
          <cell r="A5248">
            <v>42478</v>
          </cell>
          <cell r="B5248" t="str">
            <v>CORPORATION</v>
          </cell>
          <cell r="C5248" t="str">
            <v>Apeferr Comércio De Ferram. Epis E Máqs. Ltda-Me</v>
          </cell>
          <cell r="D5248" t="str">
            <v>Apeferr</v>
          </cell>
          <cell r="E5248" t="str">
            <v>BR_CNPJ</v>
          </cell>
          <cell r="F5248" t="str">
            <v>06.962.260/0001-24</v>
          </cell>
        </row>
        <row r="5249">
          <cell r="A5249">
            <v>42487</v>
          </cell>
          <cell r="B5249" t="str">
            <v>CORPORATION</v>
          </cell>
          <cell r="C5249" t="str">
            <v>Chip Eletronica Industrial Eireli</v>
          </cell>
          <cell r="D5249" t="str">
            <v>Chip Eletronica Industrial</v>
          </cell>
          <cell r="E5249" t="str">
            <v>BR_CNPJ</v>
          </cell>
          <cell r="F5249" t="str">
            <v>31.711.911/0001-50</v>
          </cell>
        </row>
        <row r="5250">
          <cell r="A5250">
            <v>42488</v>
          </cell>
          <cell r="B5250" t="str">
            <v>CORPORATION</v>
          </cell>
          <cell r="C5250" t="str">
            <v>Patricia Claudia Barroso Martins</v>
          </cell>
          <cell r="D5250" t="str">
            <v>Inovar Ferramentas &amp; Soldas</v>
          </cell>
          <cell r="E5250" t="str">
            <v>BR_CNPJ</v>
          </cell>
          <cell r="F5250" t="str">
            <v>42.417.510/0001-09</v>
          </cell>
          <cell r="G5250" t="str">
            <v>INOVAR</v>
          </cell>
        </row>
        <row r="5251">
          <cell r="A5251">
            <v>42491</v>
          </cell>
          <cell r="B5251" t="str">
            <v>CORPORATION</v>
          </cell>
          <cell r="C5251" t="str">
            <v>Daniel Fabiano Adorno 31805512838</v>
          </cell>
          <cell r="D5251" t="str">
            <v>Dfamaquinas</v>
          </cell>
          <cell r="E5251" t="str">
            <v>BR_CNPJ</v>
          </cell>
          <cell r="F5251" t="str">
            <v>36.992.714/0001-70</v>
          </cell>
        </row>
        <row r="5252">
          <cell r="A5252">
            <v>42500</v>
          </cell>
          <cell r="B5252" t="str">
            <v>CORPORATION</v>
          </cell>
          <cell r="C5252" t="str">
            <v>F&amp;K Ferramentas Eireli</v>
          </cell>
          <cell r="D5252" t="str">
            <v>F&amp;K Ferramentas</v>
          </cell>
          <cell r="E5252" t="str">
            <v>BR_CNPJ</v>
          </cell>
          <cell r="F5252" t="str">
            <v>35.071.150/0001-70</v>
          </cell>
        </row>
        <row r="5253">
          <cell r="A5253">
            <v>42512</v>
          </cell>
          <cell r="B5253" t="str">
            <v>CORPORATION</v>
          </cell>
          <cell r="C5253" t="str">
            <v>Arafer - Aco, Ferro E Locacoes Ltda</v>
          </cell>
          <cell r="D5253" t="str">
            <v>Arafer-Aco Ferro E Locacoes</v>
          </cell>
          <cell r="E5253" t="str">
            <v>BR_CNPJ</v>
          </cell>
          <cell r="F5253" t="str">
            <v>06.036.136/0003-08</v>
          </cell>
          <cell r="G5253" t="str">
            <v>ARAFER</v>
          </cell>
        </row>
        <row r="5254">
          <cell r="A5254">
            <v>42513</v>
          </cell>
          <cell r="B5254" t="str">
            <v>CORPORATION</v>
          </cell>
          <cell r="C5254" t="str">
            <v>W. Spadrizani Imp E Exp De Pecas E Acessorios Automotivos Eireli</v>
          </cell>
          <cell r="D5254" t="str">
            <v>Acre Soldas Freios E Molas</v>
          </cell>
          <cell r="E5254" t="str">
            <v>BR_CNPJ</v>
          </cell>
          <cell r="F5254" t="str">
            <v>15.662.601/0001-37</v>
          </cell>
          <cell r="G5254" t="str">
            <v>W. SPADRIZANI</v>
          </cell>
        </row>
        <row r="5255">
          <cell r="A5255">
            <v>42516</v>
          </cell>
          <cell r="B5255" t="str">
            <v>CORPORATION</v>
          </cell>
          <cell r="C5255" t="str">
            <v>Arafer - Aco, Ferro E Locacoes Ltda</v>
          </cell>
          <cell r="D5255" t="str">
            <v>Arafer - Aco, Ferro E Locacoes</v>
          </cell>
          <cell r="E5255" t="str">
            <v>BR_CNPJ</v>
          </cell>
          <cell r="F5255" t="str">
            <v>06.036.136/0001-38</v>
          </cell>
          <cell r="G5255" t="str">
            <v>ARAFER</v>
          </cell>
        </row>
        <row r="5256">
          <cell r="A5256">
            <v>42534</v>
          </cell>
          <cell r="B5256" t="str">
            <v>CORPORATION</v>
          </cell>
          <cell r="C5256" t="str">
            <v>Gromann E Fonseca Ltda</v>
          </cell>
          <cell r="D5256" t="str">
            <v>F.&amp; G. Compressores</v>
          </cell>
          <cell r="E5256" t="str">
            <v>BR_CNPJ</v>
          </cell>
          <cell r="F5256" t="str">
            <v>05.413.113/0001-32</v>
          </cell>
        </row>
        <row r="5257">
          <cell r="A5257">
            <v>42537</v>
          </cell>
          <cell r="B5257" t="str">
            <v>CORPORATION</v>
          </cell>
          <cell r="C5257" t="str">
            <v>D. A. J. Fonseca Ferramentas</v>
          </cell>
          <cell r="D5257" t="str">
            <v>Multiestilo Magazine</v>
          </cell>
          <cell r="E5257" t="str">
            <v>BR_CNPJ</v>
          </cell>
          <cell r="F5257" t="str">
            <v>23.581.980/0001-69</v>
          </cell>
        </row>
        <row r="5258">
          <cell r="A5258">
            <v>42541</v>
          </cell>
          <cell r="B5258" t="str">
            <v>CORPORATION</v>
          </cell>
          <cell r="C5258" t="str">
            <v>Nautique Comercial Ltda</v>
          </cell>
          <cell r="D5258" t="str">
            <v>Nautique Comercial Ltda</v>
          </cell>
          <cell r="E5258" t="str">
            <v>BR_CNPJ</v>
          </cell>
          <cell r="F5258" t="str">
            <v>45.145.358/0001-40</v>
          </cell>
          <cell r="G5258" t="str">
            <v>NAUTIQUE SOLUTIONS</v>
          </cell>
        </row>
        <row r="5259">
          <cell r="A5259">
            <v>42546</v>
          </cell>
          <cell r="B5259" t="str">
            <v>CORPORATION</v>
          </cell>
          <cell r="C5259" t="str">
            <v>Md Comercio De Ferramentas E Servicos Ltda</v>
          </cell>
          <cell r="D5259" t="str">
            <v>Md Alphabras</v>
          </cell>
          <cell r="E5259" t="str">
            <v>BR_CNPJ</v>
          </cell>
          <cell r="F5259" t="str">
            <v>26.632.757/0001-91</v>
          </cell>
          <cell r="G5259" t="str">
            <v>ALPHABRAS</v>
          </cell>
        </row>
        <row r="5260">
          <cell r="A5260">
            <v>42548</v>
          </cell>
          <cell r="B5260" t="str">
            <v>CORPORATION</v>
          </cell>
          <cell r="C5260" t="str">
            <v>Jnb Eletrica Casa &amp; Lazer Ltda</v>
          </cell>
          <cell r="D5260" t="str">
            <v>Jnb Eletrica Casa &amp; Lazer Ltda</v>
          </cell>
          <cell r="E5260" t="str">
            <v>BR_CNPJ</v>
          </cell>
          <cell r="F5260" t="str">
            <v>61.968.541/0001-00</v>
          </cell>
        </row>
        <row r="5261">
          <cell r="A5261">
            <v>42551</v>
          </cell>
          <cell r="B5261" t="str">
            <v>CORPORATION</v>
          </cell>
          <cell r="C5261" t="str">
            <v>M. Montano Selantes Ltda</v>
          </cell>
          <cell r="D5261" t="str">
            <v>Tendy Mais</v>
          </cell>
          <cell r="E5261" t="str">
            <v>BR_CNPJ</v>
          </cell>
          <cell r="F5261" t="str">
            <v>05.686.364/0002-71</v>
          </cell>
        </row>
        <row r="5262">
          <cell r="A5262">
            <v>42554</v>
          </cell>
          <cell r="B5262" t="str">
            <v>CORPORATION</v>
          </cell>
          <cell r="C5262" t="str">
            <v>Laco Forte Comercio De Produtos Agricolas Ltda</v>
          </cell>
          <cell r="D5262" t="str">
            <v>Laco Forte Comercio</v>
          </cell>
          <cell r="E5262" t="str">
            <v>BR_CNPJ</v>
          </cell>
          <cell r="F5262" t="str">
            <v>20.101.588/0001-87</v>
          </cell>
        </row>
        <row r="5263">
          <cell r="A5263">
            <v>42559</v>
          </cell>
          <cell r="B5263" t="str">
            <v>CORPORATION</v>
          </cell>
          <cell r="C5263" t="str">
            <v>Epi Mt Comercio De Ferramentas E Equipamentos De Protecao Ltda</v>
          </cell>
          <cell r="D5263" t="str">
            <v>Epi Mt Equipmentos De Protecao</v>
          </cell>
          <cell r="E5263" t="str">
            <v>BR_CNPJ</v>
          </cell>
          <cell r="F5263" t="str">
            <v>11.065.482/0001-84</v>
          </cell>
        </row>
        <row r="5264">
          <cell r="A5264">
            <v>42560</v>
          </cell>
          <cell r="B5264" t="str">
            <v>CORPORATION</v>
          </cell>
          <cell r="C5264" t="str">
            <v>L.G.O. De Campos Ltda</v>
          </cell>
          <cell r="D5264" t="str">
            <v>L.G.O. De Campos</v>
          </cell>
          <cell r="E5264" t="str">
            <v>BR_CNPJ</v>
          </cell>
          <cell r="F5264" t="str">
            <v>53.629.259/0001-62</v>
          </cell>
        </row>
        <row r="5265">
          <cell r="A5265">
            <v>42563</v>
          </cell>
          <cell r="B5265" t="str">
            <v>CORPORATION</v>
          </cell>
          <cell r="C5265" t="str">
            <v>Agromec Descalvado Comercio De Maquinas Agricolas Ltda</v>
          </cell>
          <cell r="D5265" t="str">
            <v>Agromec</v>
          </cell>
          <cell r="E5265" t="str">
            <v>BR_CNPJ</v>
          </cell>
          <cell r="F5265" t="str">
            <v>56.264.682/0001-02</v>
          </cell>
        </row>
        <row r="5266">
          <cell r="A5266">
            <v>42564</v>
          </cell>
          <cell r="B5266" t="str">
            <v>CORPORATION</v>
          </cell>
          <cell r="C5266" t="str">
            <v>Morais &amp; Souza Ltda</v>
          </cell>
          <cell r="D5266" t="str">
            <v>Simao Ferramentas - Loja Ii</v>
          </cell>
          <cell r="E5266" t="str">
            <v>BR_CNPJ</v>
          </cell>
          <cell r="F5266" t="str">
            <v>18.623.448/0001-27</v>
          </cell>
          <cell r="G5266" t="str">
            <v>SIMAO FERRAMENTAS</v>
          </cell>
        </row>
        <row r="5267">
          <cell r="A5267">
            <v>42567</v>
          </cell>
          <cell r="B5267" t="str">
            <v>CORPORATION</v>
          </cell>
          <cell r="C5267" t="str">
            <v>Welignton Cunha Ltda</v>
          </cell>
          <cell r="D5267" t="str">
            <v>Gurusoldas</v>
          </cell>
          <cell r="E5267" t="str">
            <v>BR_CNPJ</v>
          </cell>
          <cell r="F5267" t="str">
            <v>23.196.373/0001-85</v>
          </cell>
        </row>
        <row r="5268">
          <cell r="A5268">
            <v>42568</v>
          </cell>
          <cell r="B5268" t="str">
            <v>CORPORATION</v>
          </cell>
          <cell r="C5268" t="str">
            <v>Mendoncar Comercio De Auto Pecas Ltda</v>
          </cell>
          <cell r="D5268" t="str">
            <v>Mendoncar Auto Pecas</v>
          </cell>
          <cell r="E5268" t="str">
            <v>BR_CNPJ</v>
          </cell>
          <cell r="F5268" t="str">
            <v>35.199.931/0001-45</v>
          </cell>
        </row>
        <row r="5269">
          <cell r="A5269">
            <v>42570</v>
          </cell>
          <cell r="B5269" t="str">
            <v>CORPORATION</v>
          </cell>
          <cell r="C5269" t="str">
            <v>Crk Comercio Varejista De Ferro Ltda</v>
          </cell>
          <cell r="D5269" t="str">
            <v>Kferros Comercio De Acessorios</v>
          </cell>
          <cell r="E5269" t="str">
            <v>BR_CNPJ</v>
          </cell>
          <cell r="F5269" t="str">
            <v>30.934.078/0001-44</v>
          </cell>
        </row>
        <row r="5270">
          <cell r="A5270">
            <v>42579</v>
          </cell>
          <cell r="B5270" t="str">
            <v>CORPORATION</v>
          </cell>
          <cell r="C5270" t="str">
            <v>Stanlei Eduardo Borges</v>
          </cell>
          <cell r="D5270" t="str">
            <v>Stanlei Ferramentas</v>
          </cell>
          <cell r="E5270" t="str">
            <v>BR_CNPJ</v>
          </cell>
          <cell r="F5270" t="str">
            <v>32.862.636/0001-39</v>
          </cell>
        </row>
        <row r="5271">
          <cell r="A5271">
            <v>42582</v>
          </cell>
          <cell r="B5271" t="str">
            <v>CORPORATION</v>
          </cell>
          <cell r="C5271" t="str">
            <v>Ekiplan Equipamentos De Seguranca E Assessoria Florestal Eireli</v>
          </cell>
          <cell r="D5271" t="str">
            <v>Ekiplan Equipamentos De Seguranca E Assessoria Floresta</v>
          </cell>
          <cell r="E5271" t="str">
            <v>BR_CNPJ</v>
          </cell>
          <cell r="F5271" t="str">
            <v>32.053.660/0001-27</v>
          </cell>
        </row>
        <row r="5272">
          <cell r="A5272">
            <v>42583</v>
          </cell>
          <cell r="B5272" t="str">
            <v>CORPORATION</v>
          </cell>
          <cell r="C5272" t="str">
            <v>Comercio De Ferragens Ferrofort Ltda</v>
          </cell>
          <cell r="D5272" t="str">
            <v>Comercio De Ferragens Ferrofort Ltda</v>
          </cell>
          <cell r="E5272" t="str">
            <v>BR_CNPJ</v>
          </cell>
          <cell r="F5272" t="str">
            <v>30.431.226/0001-08</v>
          </cell>
          <cell r="G5272" t="str">
            <v>FERROFORT</v>
          </cell>
        </row>
        <row r="5273">
          <cell r="A5273">
            <v>42588</v>
          </cell>
          <cell r="B5273" t="str">
            <v>CORPORATION</v>
          </cell>
          <cell r="C5273" t="str">
            <v>Mi Ferragens Ltda</v>
          </cell>
          <cell r="D5273" t="str">
            <v>Mi Ferragens</v>
          </cell>
          <cell r="E5273" t="str">
            <v>BR_CNPJ</v>
          </cell>
          <cell r="F5273" t="str">
            <v>11.517.013/0001-59</v>
          </cell>
          <cell r="G5273" t="str">
            <v>MI FERRAGENS</v>
          </cell>
        </row>
        <row r="5274">
          <cell r="A5274">
            <v>42590</v>
          </cell>
          <cell r="B5274" t="str">
            <v>CORPORATION</v>
          </cell>
          <cell r="C5274" t="str">
            <v>Afc Rafa Ltda</v>
          </cell>
          <cell r="D5274" t="str">
            <v>Agropecuaria E Ferragens Cordeiro</v>
          </cell>
          <cell r="E5274" t="str">
            <v>BR_CNPJ</v>
          </cell>
          <cell r="F5274" t="str">
            <v>42.171.196/0001-27</v>
          </cell>
        </row>
        <row r="5275">
          <cell r="A5275">
            <v>42593</v>
          </cell>
          <cell r="B5275" t="str">
            <v>CORPORATION</v>
          </cell>
          <cell r="C5275" t="str">
            <v>Metal Rapido Comercio E Distribuicao Ltda</v>
          </cell>
          <cell r="D5275" t="str">
            <v>Metal Rapido Ii</v>
          </cell>
          <cell r="E5275" t="str">
            <v>BR_CNPJ</v>
          </cell>
          <cell r="F5275" t="str">
            <v>51.309.828/0001-67</v>
          </cell>
          <cell r="G5275" t="str">
            <v>METAL RAPIDO</v>
          </cell>
        </row>
        <row r="5276">
          <cell r="A5276">
            <v>42595</v>
          </cell>
          <cell r="B5276" t="str">
            <v>CORPORATION</v>
          </cell>
          <cell r="C5276" t="str">
            <v>Maria De Cassia Souza Mossignato 01468789147</v>
          </cell>
          <cell r="D5276" t="str">
            <v>Ferragens Mm</v>
          </cell>
          <cell r="E5276" t="str">
            <v>BR_CNPJ</v>
          </cell>
          <cell r="F5276" t="str">
            <v>32.020.140/0001-18</v>
          </cell>
        </row>
        <row r="5277">
          <cell r="A5277">
            <v>42597</v>
          </cell>
          <cell r="B5277" t="str">
            <v>CORPORATION</v>
          </cell>
          <cell r="C5277" t="str">
            <v>Utimat Materiais Eletricos, Hidraulicos E Ferragens Ltda</v>
          </cell>
          <cell r="D5277" t="str">
            <v>Suprimax</v>
          </cell>
          <cell r="E5277" t="str">
            <v>BR_CNPJ</v>
          </cell>
          <cell r="F5277" t="str">
            <v>82.346.792/0001-15</v>
          </cell>
        </row>
        <row r="5278">
          <cell r="A5278">
            <v>42601</v>
          </cell>
          <cell r="B5278" t="str">
            <v>CORPORATION</v>
          </cell>
          <cell r="C5278" t="str">
            <v>Elastobor Borrachas E Plasticos Ltda</v>
          </cell>
          <cell r="D5278" t="str">
            <v>Elastobor Borrachas E Plasticos Ltda</v>
          </cell>
          <cell r="E5278" t="str">
            <v>BR_CNPJ</v>
          </cell>
          <cell r="F5278" t="str">
            <v>53.840.542/0002-10</v>
          </cell>
        </row>
        <row r="5279">
          <cell r="A5279">
            <v>42603</v>
          </cell>
          <cell r="B5279" t="str">
            <v>CORPORATION</v>
          </cell>
          <cell r="C5279" t="str">
            <v>Wyllis Comercio E Assistencia Tecnica De Ferramentas Ltda</v>
          </cell>
          <cell r="D5279" t="str">
            <v>Wyllis Comercio E Assistencia Tecnica De Ferramentas</v>
          </cell>
          <cell r="E5279" t="str">
            <v>BR_CNPJ</v>
          </cell>
          <cell r="F5279" t="str">
            <v>05.749.749/0001-50</v>
          </cell>
        </row>
        <row r="5280">
          <cell r="A5280">
            <v>42606</v>
          </cell>
          <cell r="B5280" t="str">
            <v>CORPORATION</v>
          </cell>
          <cell r="C5280" t="str">
            <v>Emanuel Barbosa De Sousa</v>
          </cell>
          <cell r="D5280" t="str">
            <v>Braga Ferramentas E Importados</v>
          </cell>
          <cell r="E5280" t="str">
            <v>BR_CNPJ</v>
          </cell>
          <cell r="F5280" t="str">
            <v>29.511.644/0001-26</v>
          </cell>
        </row>
        <row r="5281">
          <cell r="A5281">
            <v>42613</v>
          </cell>
          <cell r="B5281" t="str">
            <v>CORPORATION</v>
          </cell>
          <cell r="C5281" t="str">
            <v>Milimetrica Construcoes Comercio E Servicos Ltda</v>
          </cell>
          <cell r="D5281" t="str">
            <v>Milimetrica Telecom Comercio E Servico Ltda</v>
          </cell>
          <cell r="E5281" t="str">
            <v>BR_CNPJ</v>
          </cell>
          <cell r="F5281" t="str">
            <v>10.553.943/0001-03</v>
          </cell>
        </row>
        <row r="5282">
          <cell r="A5282">
            <v>42615</v>
          </cell>
          <cell r="B5282" t="str">
            <v>CORPORATION</v>
          </cell>
          <cell r="C5282" t="str">
            <v>Pablo Henrique Pereira Do Carmo</v>
          </cell>
          <cell r="D5282" t="str">
            <v>Carmo Souza Serralheria</v>
          </cell>
          <cell r="E5282" t="str">
            <v>BR_CNPJ</v>
          </cell>
          <cell r="F5282" t="str">
            <v>34.280.286/0001-28</v>
          </cell>
        </row>
        <row r="5283">
          <cell r="A5283">
            <v>42616</v>
          </cell>
          <cell r="B5283" t="str">
            <v>CORPORATION</v>
          </cell>
          <cell r="C5283" t="str">
            <v>Maq Gases E Equipamentos Eireli</v>
          </cell>
          <cell r="D5283" t="str">
            <v>Maq Gases E Equipamentos Eireli</v>
          </cell>
          <cell r="E5283" t="str">
            <v>BR_CNPJ</v>
          </cell>
          <cell r="F5283" t="str">
            <v>25.290.422/0001-70</v>
          </cell>
        </row>
        <row r="5284">
          <cell r="A5284">
            <v>42628</v>
          </cell>
          <cell r="B5284" t="str">
            <v>CORPORATION</v>
          </cell>
          <cell r="C5284" t="str">
            <v>Locaminas Comercio De Ferramentas Ltda</v>
          </cell>
          <cell r="D5284" t="str">
            <v>Locaminas Comercio De Ferramentas Ltda</v>
          </cell>
          <cell r="E5284" t="str">
            <v>BR_CNPJ</v>
          </cell>
          <cell r="F5284" t="str">
            <v>07.367.086/0001-34</v>
          </cell>
          <cell r="G5284" t="str">
            <v>LOCAMINAS</v>
          </cell>
        </row>
        <row r="5285">
          <cell r="A5285">
            <v>42632</v>
          </cell>
          <cell r="B5285" t="str">
            <v>CORPORATION</v>
          </cell>
          <cell r="C5285" t="str">
            <v>Comercial Tj Eletrica E Hidraulica Ltda</v>
          </cell>
          <cell r="D5285" t="str">
            <v>Comercial Tj Eletrica E Hidraulica</v>
          </cell>
          <cell r="E5285" t="str">
            <v>BR_CNPJ</v>
          </cell>
          <cell r="F5285" t="str">
            <v>21.220.738/0001-34</v>
          </cell>
        </row>
        <row r="5286">
          <cell r="A5286">
            <v>42633</v>
          </cell>
          <cell r="B5286" t="str">
            <v>CORPORATION</v>
          </cell>
          <cell r="C5286" t="str">
            <v>Silva Equipamentos Seguranca Ltda</v>
          </cell>
          <cell r="D5286" t="str">
            <v>Solucao Epis - Ferramentas</v>
          </cell>
          <cell r="E5286" t="str">
            <v>BR_CNPJ</v>
          </cell>
          <cell r="F5286" t="str">
            <v>07.614.412/0001-60</v>
          </cell>
        </row>
        <row r="5287">
          <cell r="A5287">
            <v>42636</v>
          </cell>
          <cell r="B5287" t="str">
            <v>CORPORATION</v>
          </cell>
          <cell r="C5287" t="str">
            <v>Gurgelmix Maquinas E Ferramentas S.A.</v>
          </cell>
          <cell r="D5287" t="str">
            <v>Loja Do Mecanico (Campinas)</v>
          </cell>
          <cell r="E5287" t="str">
            <v>BR_CNPJ</v>
          </cell>
          <cell r="F5287" t="str">
            <v>29.302.348/0017-82</v>
          </cell>
          <cell r="G5287" t="str">
            <v>GURGEL</v>
          </cell>
        </row>
        <row r="5288">
          <cell r="A5288">
            <v>42643</v>
          </cell>
          <cell r="B5288" t="str">
            <v>CORPORATION</v>
          </cell>
          <cell r="C5288" t="str">
            <v>Gurgelmix Maquinas E Ferramentas S.A.</v>
          </cell>
          <cell r="D5288" t="str">
            <v>Loja Do Mecanico (Sorocaba)</v>
          </cell>
          <cell r="E5288" t="str">
            <v>BR_CNPJ</v>
          </cell>
          <cell r="F5288" t="str">
            <v>29.302.348/0016-00</v>
          </cell>
          <cell r="G5288" t="str">
            <v>GURGEL</v>
          </cell>
        </row>
        <row r="5289">
          <cell r="A5289">
            <v>42646</v>
          </cell>
          <cell r="B5289" t="str">
            <v>CORPORATION</v>
          </cell>
          <cell r="C5289" t="str">
            <v>A. C. Alencar</v>
          </cell>
          <cell r="D5289" t="str">
            <v>J Barbosa</v>
          </cell>
          <cell r="E5289" t="str">
            <v>BR_CNPJ</v>
          </cell>
          <cell r="F5289" t="str">
            <v>09.476.919/0001-20</v>
          </cell>
        </row>
        <row r="5290">
          <cell r="A5290">
            <v>42648</v>
          </cell>
          <cell r="B5290" t="str">
            <v>CORPORATION</v>
          </cell>
          <cell r="C5290" t="str">
            <v>Efsoldas Comercio E Assistencia Tecnica Para Solda Ltda</v>
          </cell>
          <cell r="D5290" t="str">
            <v>Ef-Soldas</v>
          </cell>
          <cell r="E5290" t="str">
            <v>BR_CNPJ</v>
          </cell>
          <cell r="F5290" t="str">
            <v>28.843.358/0001-03</v>
          </cell>
        </row>
        <row r="5291">
          <cell r="A5291">
            <v>42651</v>
          </cell>
          <cell r="B5291" t="str">
            <v>CORPORATION</v>
          </cell>
          <cell r="C5291" t="str">
            <v>Eletronica Barroso Ltda</v>
          </cell>
          <cell r="D5291" t="str">
            <v>Hiperdromo</v>
          </cell>
          <cell r="E5291" t="str">
            <v>BR_CNPJ</v>
          </cell>
          <cell r="F5291" t="str">
            <v>01.177.068/0001-03</v>
          </cell>
        </row>
        <row r="5292">
          <cell r="A5292">
            <v>42657</v>
          </cell>
          <cell r="B5292" t="str">
            <v>CORPORATION</v>
          </cell>
          <cell r="C5292" t="str">
            <v>Acroplast Cabos De Aço E Acessórios Ltda</v>
          </cell>
          <cell r="D5292" t="str">
            <v>Acroplast</v>
          </cell>
          <cell r="E5292" t="str">
            <v>BR_CNPJ</v>
          </cell>
          <cell r="F5292" t="str">
            <v>08.267.161/0001-58</v>
          </cell>
        </row>
        <row r="5293">
          <cell r="A5293">
            <v>42659</v>
          </cell>
          <cell r="B5293" t="str">
            <v>CORPORATION</v>
          </cell>
          <cell r="C5293" t="str">
            <v>Rei Do Andaime Industria E Comercio Ltda</v>
          </cell>
          <cell r="D5293" t="str">
            <v>Rei Do Andaime</v>
          </cell>
          <cell r="E5293" t="str">
            <v>BR_CNPJ</v>
          </cell>
          <cell r="F5293" t="str">
            <v>08.446.018/0001-23</v>
          </cell>
        </row>
        <row r="5294">
          <cell r="A5294">
            <v>42663</v>
          </cell>
          <cell r="B5294" t="str">
            <v>CORPORATION</v>
          </cell>
          <cell r="C5294" t="str">
            <v>Cooperativa Regional De Cafeicultores Em Guaxupe Ltda Cooxupe</v>
          </cell>
          <cell r="D5294" t="str">
            <v>Cooxupe</v>
          </cell>
          <cell r="E5294" t="str">
            <v>BR_CNPJ</v>
          </cell>
          <cell r="F5294" t="str">
            <v>20.770.566/0001-00</v>
          </cell>
        </row>
        <row r="5295">
          <cell r="A5295">
            <v>42665</v>
          </cell>
          <cell r="B5295" t="str">
            <v>CORPORATION</v>
          </cell>
          <cell r="C5295" t="str">
            <v>Nova Serv Forte Comercio E Servicos De Maquinas E Equipamentos Ltda</v>
          </cell>
          <cell r="D5295" t="str">
            <v>Nova Serv Forte</v>
          </cell>
          <cell r="E5295" t="str">
            <v>BR_CNPJ</v>
          </cell>
          <cell r="F5295" t="str">
            <v>34.132.347/0001-00</v>
          </cell>
          <cell r="G5295" t="str">
            <v>SOLDAFORTE</v>
          </cell>
        </row>
        <row r="5296">
          <cell r="A5296">
            <v>42671</v>
          </cell>
          <cell r="B5296" t="str">
            <v>CORPORATION</v>
          </cell>
          <cell r="C5296" t="str">
            <v>Regiane Alves Januario 02079549170</v>
          </cell>
          <cell r="D5296" t="str">
            <v>Ferragista Andrade</v>
          </cell>
          <cell r="E5296" t="str">
            <v>BR_CNPJ</v>
          </cell>
          <cell r="F5296" t="str">
            <v>35.676.434/0001-90</v>
          </cell>
        </row>
        <row r="5297">
          <cell r="A5297">
            <v>42677</v>
          </cell>
          <cell r="B5297" t="str">
            <v>CORPORATION</v>
          </cell>
          <cell r="C5297" t="str">
            <v>Topazio Compensados E Ferragens Ltda</v>
          </cell>
          <cell r="D5297" t="str">
            <v>Topazio Compensados</v>
          </cell>
          <cell r="E5297" t="str">
            <v>BR_CNPJ</v>
          </cell>
          <cell r="F5297" t="str">
            <v>34.575.911/0001-69</v>
          </cell>
        </row>
        <row r="5298">
          <cell r="A5298">
            <v>42679</v>
          </cell>
          <cell r="B5298" t="str">
            <v>CORPORATION</v>
          </cell>
          <cell r="C5298" t="str">
            <v>Jose Ferreira Ribeiro</v>
          </cell>
          <cell r="D5298" t="str">
            <v>Casa Do Borracheiro</v>
          </cell>
          <cell r="E5298" t="str">
            <v>BR_CNPJ</v>
          </cell>
          <cell r="F5298" t="str">
            <v>00.203.204/0001-20</v>
          </cell>
        </row>
        <row r="5299">
          <cell r="A5299">
            <v>42696</v>
          </cell>
          <cell r="B5299" t="str">
            <v>CORPORATION</v>
          </cell>
          <cell r="C5299" t="str">
            <v>Anl Parafusos E Ferramentas Ltda</v>
          </cell>
          <cell r="D5299" t="str">
            <v>Anl Parafusos E Ferramentas</v>
          </cell>
          <cell r="E5299" t="str">
            <v>BR_CNPJ</v>
          </cell>
          <cell r="F5299" t="str">
            <v>60.985.587/0001-67</v>
          </cell>
          <cell r="G5299" t="str">
            <v>ANL PARAFUSOS</v>
          </cell>
        </row>
        <row r="5300">
          <cell r="A5300">
            <v>42697</v>
          </cell>
          <cell r="B5300" t="str">
            <v>CORPORATION</v>
          </cell>
          <cell r="C5300" t="str">
            <v>Grupo Bruder Ltda</v>
          </cell>
          <cell r="D5300" t="str">
            <v>Lojas Bruder</v>
          </cell>
          <cell r="E5300" t="str">
            <v>BR_CNPJ</v>
          </cell>
          <cell r="F5300" t="str">
            <v>46.092.265/0001-68</v>
          </cell>
        </row>
        <row r="5301">
          <cell r="A5301">
            <v>42701</v>
          </cell>
          <cell r="B5301" t="str">
            <v>CORPORATION</v>
          </cell>
          <cell r="C5301" t="str">
            <v>Fw Maquinas E Ferramentas Ltda</v>
          </cell>
          <cell r="D5301" t="str">
            <v>Goyas Maquinas E Ferramentas</v>
          </cell>
          <cell r="E5301" t="str">
            <v>BR_CNPJ</v>
          </cell>
          <cell r="F5301" t="str">
            <v>36.629.628/0001-06</v>
          </cell>
          <cell r="G5301" t="str">
            <v>GOYAS MAQUINAS</v>
          </cell>
        </row>
        <row r="5302">
          <cell r="A5302">
            <v>42702</v>
          </cell>
          <cell r="B5302" t="str">
            <v>CORPORATION</v>
          </cell>
          <cell r="C5302" t="str">
            <v>Shop Do Epi Ltda</v>
          </cell>
          <cell r="D5302" t="str">
            <v>Shop Do Epi</v>
          </cell>
          <cell r="E5302" t="str">
            <v>BR_CNPJ</v>
          </cell>
          <cell r="F5302" t="str">
            <v>46.516.663/0001-64</v>
          </cell>
        </row>
        <row r="5303">
          <cell r="A5303">
            <v>42716</v>
          </cell>
          <cell r="B5303" t="str">
            <v>CORPORATION</v>
          </cell>
          <cell r="C5303" t="str">
            <v>Renata Ribeiro 35269828804</v>
          </cell>
          <cell r="D5303" t="str">
            <v>Rr Maquinas</v>
          </cell>
          <cell r="E5303" t="str">
            <v>BR_CNPJ</v>
          </cell>
          <cell r="F5303" t="str">
            <v>37.173.896/0001-10</v>
          </cell>
        </row>
        <row r="5304">
          <cell r="A5304">
            <v>42718</v>
          </cell>
          <cell r="B5304" t="str">
            <v>CORPORATION</v>
          </cell>
          <cell r="C5304" t="str">
            <v>Tauras Ferramentas E Maquinas Ltda</v>
          </cell>
          <cell r="D5304" t="str">
            <v>Tauras Ferramentas E Maquinas</v>
          </cell>
          <cell r="E5304" t="str">
            <v>BR_CNPJ</v>
          </cell>
          <cell r="F5304" t="str">
            <v>34.601.277/0001-91</v>
          </cell>
          <cell r="G5304" t="str">
            <v>TAURAS</v>
          </cell>
        </row>
        <row r="5305">
          <cell r="A5305">
            <v>42721</v>
          </cell>
          <cell r="B5305" t="str">
            <v>CORPORATION</v>
          </cell>
          <cell r="C5305" t="str">
            <v>Brasiliana Equipamentos Ltda</v>
          </cell>
          <cell r="D5305" t="str">
            <v>Brasiliana Equipamentos</v>
          </cell>
          <cell r="E5305" t="str">
            <v>BR_CNPJ</v>
          </cell>
          <cell r="F5305" t="str">
            <v>17.474.286/0001-40</v>
          </cell>
        </row>
        <row r="5306">
          <cell r="A5306">
            <v>42722</v>
          </cell>
          <cell r="B5306" t="str">
            <v>CORPORATION</v>
          </cell>
          <cell r="C5306" t="str">
            <v>Cleonice Do Prado Silverio Comercio E Locacao De Ferramentas</v>
          </cell>
          <cell r="D5306" t="str">
            <v>Loc Ferramentas</v>
          </cell>
          <cell r="E5306" t="str">
            <v>BR_CNPJ</v>
          </cell>
          <cell r="F5306" t="str">
            <v>14.501.833/0001-40</v>
          </cell>
        </row>
        <row r="5307">
          <cell r="A5307">
            <v>42723</v>
          </cell>
          <cell r="B5307" t="str">
            <v>CORPORATION</v>
          </cell>
          <cell r="C5307" t="str">
            <v>Kinoshita &amp; Ueda Ltda</v>
          </cell>
          <cell r="D5307" t="str">
            <v>Kinoshita &amp; Ueda Ltda</v>
          </cell>
          <cell r="E5307" t="str">
            <v>BR_CNPJ</v>
          </cell>
          <cell r="F5307" t="str">
            <v>71.494.934/0001-75</v>
          </cell>
        </row>
        <row r="5308">
          <cell r="A5308">
            <v>42724</v>
          </cell>
          <cell r="B5308" t="str">
            <v>CORPORATION</v>
          </cell>
          <cell r="C5308" t="str">
            <v>Comercial Vipasa Eireli</v>
          </cell>
          <cell r="D5308" t="str">
            <v>Comercial Vipasa</v>
          </cell>
          <cell r="E5308" t="str">
            <v>BR_CNPJ</v>
          </cell>
          <cell r="F5308" t="str">
            <v>20.992.248/0001-93</v>
          </cell>
        </row>
        <row r="5309">
          <cell r="A5309">
            <v>42730</v>
          </cell>
          <cell r="B5309" t="str">
            <v>CORPORATION</v>
          </cell>
          <cell r="C5309" t="str">
            <v>R. G. Da Silva</v>
          </cell>
          <cell r="D5309" t="str">
            <v>Lino Moto Pecas</v>
          </cell>
          <cell r="E5309" t="str">
            <v>BR_CNPJ</v>
          </cell>
          <cell r="F5309" t="str">
            <v>10.685.882/0001-20</v>
          </cell>
          <cell r="G5309" t="str">
            <v>LINO MOTO</v>
          </cell>
        </row>
        <row r="5310">
          <cell r="A5310">
            <v>42735</v>
          </cell>
          <cell r="B5310" t="str">
            <v>CORPORATION</v>
          </cell>
          <cell r="C5310" t="str">
            <v>Jkim Comercial Ltda</v>
          </cell>
          <cell r="D5310" t="str">
            <v>Jkim Equipamentos &amp; Suprimentos Profissionais</v>
          </cell>
          <cell r="E5310" t="str">
            <v>BR_CNPJ</v>
          </cell>
          <cell r="F5310" t="str">
            <v>71.370.753/0001-37</v>
          </cell>
        </row>
        <row r="5311">
          <cell r="A5311">
            <v>42737</v>
          </cell>
          <cell r="B5311" t="str">
            <v>CORPORATION</v>
          </cell>
          <cell r="C5311" t="str">
            <v>Marinho Compensados Ltda</v>
          </cell>
          <cell r="D5311" t="str">
            <v>Marinho Compensados</v>
          </cell>
          <cell r="E5311" t="str">
            <v>BR_CNPJ</v>
          </cell>
          <cell r="F5311" t="str">
            <v>12.053.713/0001-00</v>
          </cell>
        </row>
        <row r="5312">
          <cell r="A5312">
            <v>42738</v>
          </cell>
          <cell r="B5312" t="str">
            <v>CORPORATION</v>
          </cell>
          <cell r="C5312" t="str">
            <v>M Parts - Distribuidora De Componentes Automotivos Ltda</v>
          </cell>
          <cell r="D5312" t="str">
            <v>M16 Parafusos E Ferramentas</v>
          </cell>
          <cell r="E5312" t="str">
            <v>BR_CNPJ</v>
          </cell>
          <cell r="F5312" t="str">
            <v>13.641.635/0004-62</v>
          </cell>
        </row>
        <row r="5313">
          <cell r="A5313">
            <v>42739</v>
          </cell>
          <cell r="B5313" t="str">
            <v>CORPORATION</v>
          </cell>
          <cell r="C5313" t="str">
            <v>Valmaquin Equipamentos Industriais Ltda</v>
          </cell>
          <cell r="D5313" t="str">
            <v>Valmaquin Equipamentos Industriais Ltda</v>
          </cell>
          <cell r="E5313" t="str">
            <v>BR_CNPJ</v>
          </cell>
          <cell r="F5313" t="str">
            <v>34.573.855/0001-23</v>
          </cell>
        </row>
        <row r="5314">
          <cell r="A5314">
            <v>42740</v>
          </cell>
          <cell r="B5314" t="str">
            <v>CORPORATION</v>
          </cell>
          <cell r="C5314" t="str">
            <v>Nelson Ferramentas Ferragens E Materiais Hidraulicos E Eletricos Ltda.</v>
          </cell>
          <cell r="D5314" t="str">
            <v>Nelson Ferramentas</v>
          </cell>
          <cell r="E5314" t="str">
            <v>BR_CNPJ</v>
          </cell>
          <cell r="F5314" t="str">
            <v>45.570.254/0001-83</v>
          </cell>
          <cell r="G5314" t="str">
            <v>NELSON FERRAMENTAS</v>
          </cell>
        </row>
        <row r="5315">
          <cell r="A5315">
            <v>42742</v>
          </cell>
          <cell r="B5315" t="str">
            <v>CORPORATION</v>
          </cell>
          <cell r="C5315" t="str">
            <v>Guimaraes Ferragens E Ferramentas Ltda</v>
          </cell>
          <cell r="D5315" t="str">
            <v>Guimaraes Ferragens E Ferramentas</v>
          </cell>
          <cell r="E5315" t="str">
            <v>BR_CNPJ</v>
          </cell>
          <cell r="F5315" t="str">
            <v>14.733.713/0001-79</v>
          </cell>
        </row>
        <row r="5316">
          <cell r="A5316">
            <v>42743</v>
          </cell>
          <cell r="B5316" t="str">
            <v>CORPORATION</v>
          </cell>
          <cell r="C5316" t="str">
            <v>Lbx Equipamentos De Seguranca Ltda</v>
          </cell>
          <cell r="D5316" t="str">
            <v>Lbx Equipamentos De Seguranca</v>
          </cell>
          <cell r="E5316" t="str">
            <v>BR_CNPJ</v>
          </cell>
          <cell r="F5316" t="str">
            <v>01.894.147/0001-35</v>
          </cell>
        </row>
        <row r="5317">
          <cell r="A5317">
            <v>42745</v>
          </cell>
          <cell r="B5317" t="str">
            <v>CORPORATION</v>
          </cell>
          <cell r="C5317" t="str">
            <v>Fix Center Comercio De Auto Pecas Ltda</v>
          </cell>
          <cell r="D5317" t="str">
            <v>Fix Center</v>
          </cell>
          <cell r="E5317" t="str">
            <v>BR_CNPJ</v>
          </cell>
          <cell r="F5317" t="str">
            <v>16.885.484/0001-33</v>
          </cell>
          <cell r="G5317" t="str">
            <v>CENTER FIX</v>
          </cell>
        </row>
        <row r="5318">
          <cell r="A5318">
            <v>42774</v>
          </cell>
          <cell r="B5318" t="str">
            <v>CORPORATION</v>
          </cell>
          <cell r="C5318" t="str">
            <v>Cortez Industrial E Comercial Ltda</v>
          </cell>
          <cell r="D5318" t="str">
            <v>Cortez Industrial E Comercial</v>
          </cell>
          <cell r="E5318" t="str">
            <v>BR_CNPJ</v>
          </cell>
          <cell r="F5318" t="str">
            <v>09.298.991/0001-05</v>
          </cell>
        </row>
        <row r="5319">
          <cell r="A5319">
            <v>42776</v>
          </cell>
          <cell r="B5319" t="str">
            <v>CORPORATION</v>
          </cell>
          <cell r="C5319" t="str">
            <v>Cekefer Comercio De Ferramenttas Ltda</v>
          </cell>
          <cell r="D5319" t="str">
            <v>Cekefer Ferramentas</v>
          </cell>
          <cell r="E5319" t="str">
            <v>BR_CNPJ</v>
          </cell>
          <cell r="F5319" t="str">
            <v>16.814.323/0001-59</v>
          </cell>
        </row>
        <row r="5320">
          <cell r="A5320">
            <v>42779</v>
          </cell>
          <cell r="B5320" t="str">
            <v>CORPORATION</v>
          </cell>
          <cell r="C5320" t="str">
            <v>Hyverning Neves Vaz</v>
          </cell>
          <cell r="D5320" t="str">
            <v>Auto Eletrico Vaz Sound</v>
          </cell>
          <cell r="E5320" t="str">
            <v>BR_CNPJ</v>
          </cell>
          <cell r="F5320" t="str">
            <v>07.799.493/0001-10</v>
          </cell>
        </row>
        <row r="5321">
          <cell r="A5321">
            <v>42789</v>
          </cell>
          <cell r="B5321" t="str">
            <v>CORPORATION</v>
          </cell>
          <cell r="C5321" t="str">
            <v>Sao Jose Epi Ltda</v>
          </cell>
          <cell r="D5321" t="str">
            <v>Sao Jose Epi</v>
          </cell>
          <cell r="E5321" t="str">
            <v>BR_CNPJ</v>
          </cell>
          <cell r="F5321" t="str">
            <v>41.579.701/0001-04</v>
          </cell>
        </row>
        <row r="5322">
          <cell r="A5322">
            <v>42791</v>
          </cell>
          <cell r="B5322" t="str">
            <v>CORPORATION</v>
          </cell>
          <cell r="C5322" t="str">
            <v>Kausben Comercio De Maquinas E Equipamentos Ltda</v>
          </cell>
          <cell r="D5322" t="str">
            <v>Kausben Comercio De Maquinas E Equipamentos Ltda</v>
          </cell>
          <cell r="E5322" t="str">
            <v>BR_CNPJ</v>
          </cell>
          <cell r="F5322" t="str">
            <v>36.440.543/0001-77</v>
          </cell>
          <cell r="G5322" t="str">
            <v>KAUSBEN</v>
          </cell>
        </row>
        <row r="5323">
          <cell r="A5323">
            <v>42797</v>
          </cell>
          <cell r="B5323" t="str">
            <v>CORPORATION</v>
          </cell>
          <cell r="C5323" t="str">
            <v>Hailton Campos De Melo 01185256628</v>
          </cell>
          <cell r="D5323" t="str">
            <v>Hailton Ferramentas</v>
          </cell>
          <cell r="E5323" t="str">
            <v>BR_CNPJ</v>
          </cell>
          <cell r="F5323" t="str">
            <v>20.401.833/0001-71</v>
          </cell>
        </row>
        <row r="5324">
          <cell r="A5324">
            <v>42799</v>
          </cell>
          <cell r="B5324" t="str">
            <v>CORPORATION</v>
          </cell>
          <cell r="C5324" t="str">
            <v>Rm Comercio De Maquinas E Implementos Agricolas Ltda</v>
          </cell>
          <cell r="D5324" t="str">
            <v>Rm Maquinas E Implementos Agriculas</v>
          </cell>
          <cell r="E5324" t="str">
            <v>BR_CNPJ</v>
          </cell>
          <cell r="F5324" t="str">
            <v>54.126.022/0001-21</v>
          </cell>
        </row>
        <row r="5325">
          <cell r="A5325">
            <v>42800</v>
          </cell>
          <cell r="B5325" t="str">
            <v>CORPORATION</v>
          </cell>
          <cell r="C5325" t="str">
            <v>Paulino Nascimento Filho &amp; Cia Ltda</v>
          </cell>
          <cell r="D5325" t="str">
            <v>Nascimento</v>
          </cell>
          <cell r="E5325" t="str">
            <v>BR_CNPJ</v>
          </cell>
          <cell r="F5325" t="str">
            <v>53.961.983/0001-99</v>
          </cell>
        </row>
        <row r="5326">
          <cell r="A5326">
            <v>42802</v>
          </cell>
          <cell r="B5326" t="str">
            <v>CORPORATION</v>
          </cell>
          <cell r="C5326" t="str">
            <v>Wg Autopecas Ltda</v>
          </cell>
          <cell r="D5326" t="str">
            <v>Wagton Autopecas</v>
          </cell>
          <cell r="E5326" t="str">
            <v>BR_CNPJ</v>
          </cell>
          <cell r="F5326" t="str">
            <v>04.829.684/0001-90</v>
          </cell>
        </row>
        <row r="5327">
          <cell r="A5327">
            <v>42806</v>
          </cell>
          <cell r="B5327" t="str">
            <v>CORPORATION</v>
          </cell>
          <cell r="C5327" t="str">
            <v>Turcatto &amp; Turcatto Ltda</v>
          </cell>
          <cell r="D5327" t="str">
            <v>Paraiso Com. De Ferragens E Abrasivos</v>
          </cell>
          <cell r="E5327" t="str">
            <v>BR_CNPJ</v>
          </cell>
          <cell r="F5327" t="str">
            <v>05.639.696/0001-14</v>
          </cell>
        </row>
        <row r="5328">
          <cell r="A5328">
            <v>42815</v>
          </cell>
          <cell r="B5328" t="str">
            <v>CORPORATION</v>
          </cell>
          <cell r="C5328" t="str">
            <v>Agropecuaria Mineiros Ltda</v>
          </cell>
          <cell r="D5328" t="str">
            <v>Casa Da Lavoura</v>
          </cell>
          <cell r="E5328" t="str">
            <v>BR_CNPJ</v>
          </cell>
          <cell r="F5328" t="str">
            <v>09.022.681/0002-44</v>
          </cell>
        </row>
        <row r="5329">
          <cell r="A5329">
            <v>42817</v>
          </cell>
          <cell r="B5329" t="str">
            <v>CORPORATION</v>
          </cell>
          <cell r="C5329" t="str">
            <v>Eletintas Comercio De Material De Construcao Ltda</v>
          </cell>
          <cell r="D5329" t="str">
            <v>Eletintas Material De Construcao Ltda</v>
          </cell>
          <cell r="E5329" t="str">
            <v>BR_CNPJ</v>
          </cell>
          <cell r="F5329" t="str">
            <v>03.384.018/0001-22</v>
          </cell>
        </row>
        <row r="5330">
          <cell r="A5330">
            <v>42820</v>
          </cell>
          <cell r="B5330" t="str">
            <v>CORPORATION</v>
          </cell>
          <cell r="C5330" t="str">
            <v>Afinco Comercio De Ferragens E Racoes - Eireli</v>
          </cell>
          <cell r="D5330" t="str">
            <v>Afinco Ferragista E Racoes</v>
          </cell>
          <cell r="E5330" t="str">
            <v>BR_CNPJ</v>
          </cell>
          <cell r="F5330" t="str">
            <v>19.498.527/0001-16</v>
          </cell>
          <cell r="G5330" t="str">
            <v>AFINCO FERRAGISTA</v>
          </cell>
        </row>
        <row r="5331">
          <cell r="A5331">
            <v>42823</v>
          </cell>
          <cell r="B5331" t="str">
            <v>CORPORATION</v>
          </cell>
          <cell r="C5331" t="str">
            <v>Souza Alves &amp; Cia Ltda</v>
          </cell>
          <cell r="D5331" t="str">
            <v>Multifer</v>
          </cell>
          <cell r="E5331" t="str">
            <v>BR_CNPJ</v>
          </cell>
          <cell r="F5331" t="str">
            <v>07.918.676/0002-99</v>
          </cell>
          <cell r="G5331" t="str">
            <v>SOUZA ALVES $ CIA</v>
          </cell>
        </row>
        <row r="5332">
          <cell r="A5332">
            <v>42826</v>
          </cell>
          <cell r="B5332" t="str">
            <v>CORPORATION</v>
          </cell>
          <cell r="C5332" t="str">
            <v>Univale Uniao Dos Plantadores Vale Do Canoinhas Ltda</v>
          </cell>
          <cell r="D5332" t="str">
            <v>Univale</v>
          </cell>
          <cell r="E5332" t="str">
            <v>BR_CNPJ</v>
          </cell>
          <cell r="F5332" t="str">
            <v>75.548.750/0001-00</v>
          </cell>
        </row>
        <row r="5333">
          <cell r="A5333">
            <v>42834</v>
          </cell>
          <cell r="B5333" t="str">
            <v>CORPORATION</v>
          </cell>
          <cell r="C5333" t="str">
            <v>Paulo Carrara Panighel 26861401862</v>
          </cell>
          <cell r="D5333" t="str">
            <v>Pc Panighel Center Clima</v>
          </cell>
          <cell r="E5333" t="str">
            <v>BR_CNPJ</v>
          </cell>
          <cell r="F5333" t="str">
            <v>34.446.131/0001-19</v>
          </cell>
        </row>
        <row r="5334">
          <cell r="A5334">
            <v>42836</v>
          </cell>
          <cell r="B5334" t="str">
            <v>CORPORATION</v>
          </cell>
          <cell r="C5334" t="str">
            <v>Joao Soler Janasco &amp; Filhas Ltda</v>
          </cell>
          <cell r="D5334" t="str">
            <v>Parafusos Mirassol</v>
          </cell>
          <cell r="E5334" t="str">
            <v>BR_CNPJ</v>
          </cell>
          <cell r="F5334" t="str">
            <v>03.984.131/0001-49</v>
          </cell>
        </row>
        <row r="5335">
          <cell r="A5335">
            <v>42839</v>
          </cell>
          <cell r="B5335" t="str">
            <v>CORPORATION</v>
          </cell>
          <cell r="C5335" t="str">
            <v>Cfz Ferramentas E Suprimentos Industriais Ltda</v>
          </cell>
          <cell r="D5335" t="str">
            <v>Cfz</v>
          </cell>
          <cell r="E5335" t="str">
            <v>BR_CNPJ</v>
          </cell>
          <cell r="F5335" t="str">
            <v>36.380.637/0001-06</v>
          </cell>
        </row>
        <row r="5336">
          <cell r="A5336">
            <v>42840</v>
          </cell>
          <cell r="B5336" t="str">
            <v>CORPORATION</v>
          </cell>
          <cell r="C5336" t="str">
            <v>Lawan Rodrigues Da Silva Agro</v>
          </cell>
          <cell r="D5336" t="str">
            <v>Casa Da Racao</v>
          </cell>
          <cell r="E5336" t="str">
            <v>BR_CNPJ</v>
          </cell>
          <cell r="F5336" t="str">
            <v>53.794.127/0001-96</v>
          </cell>
        </row>
        <row r="5337">
          <cell r="A5337">
            <v>42844</v>
          </cell>
          <cell r="B5337" t="str">
            <v>CORPORATION</v>
          </cell>
          <cell r="C5337" t="str">
            <v>Metal Aluminio Ltda</v>
          </cell>
          <cell r="D5337" t="str">
            <v>Aluminio &amp; Cia</v>
          </cell>
          <cell r="E5337" t="str">
            <v>BR_CNPJ</v>
          </cell>
          <cell r="F5337" t="str">
            <v>07.675.099/0001-70</v>
          </cell>
        </row>
        <row r="5338">
          <cell r="A5338">
            <v>42849</v>
          </cell>
          <cell r="B5338" t="str">
            <v>CORPORATION</v>
          </cell>
          <cell r="C5338" t="str">
            <v>Ggos Ferramentas Impermeabilizantes E Hidraulica Eireli</v>
          </cell>
          <cell r="D5338" t="str">
            <v>Ggos Ferramentas</v>
          </cell>
          <cell r="E5338" t="str">
            <v>BR_CNPJ</v>
          </cell>
          <cell r="F5338" t="str">
            <v>21.307.605/0001-08</v>
          </cell>
        </row>
        <row r="5339">
          <cell r="A5339">
            <v>42855</v>
          </cell>
          <cell r="B5339" t="str">
            <v>CORPORATION</v>
          </cell>
          <cell r="C5339" t="str">
            <v>Alexandre Nelson Goncalves Da Encarnacao Junior 13434439706</v>
          </cell>
          <cell r="D5339" t="str">
            <v>Alx</v>
          </cell>
          <cell r="E5339" t="str">
            <v>BR_CNPJ</v>
          </cell>
          <cell r="F5339" t="str">
            <v>14.660.160/0001-71</v>
          </cell>
        </row>
        <row r="5340">
          <cell r="A5340">
            <v>42863</v>
          </cell>
          <cell r="B5340" t="str">
            <v>CORPORATION</v>
          </cell>
          <cell r="C5340" t="str">
            <v>Alpha Abras Comercio De Abrasivos Ltda</v>
          </cell>
          <cell r="D5340" t="str">
            <v>Alphabras</v>
          </cell>
          <cell r="E5340" t="str">
            <v>BR_CNPJ</v>
          </cell>
          <cell r="F5340" t="str">
            <v>05.159.343/0001-17</v>
          </cell>
          <cell r="G5340" t="str">
            <v>ALPHABRAS</v>
          </cell>
        </row>
        <row r="5341">
          <cell r="A5341">
            <v>42876</v>
          </cell>
          <cell r="B5341" t="str">
            <v>CORPORATION</v>
          </cell>
          <cell r="C5341" t="str">
            <v>Marc S Parafusos Comercio Varejista E Atacadista Ltda</v>
          </cell>
          <cell r="D5341" t="str">
            <v>Marc S Parafusos</v>
          </cell>
          <cell r="E5341" t="str">
            <v>BR_CNPJ</v>
          </cell>
          <cell r="F5341" t="str">
            <v>32.390.199/0001-06</v>
          </cell>
        </row>
        <row r="5342">
          <cell r="A5342">
            <v>42879</v>
          </cell>
          <cell r="B5342" t="str">
            <v>CORPORATION</v>
          </cell>
          <cell r="C5342" t="str">
            <v>Mcst Itaborai Comercio Varejista De Ferragens Eireli</v>
          </cell>
          <cell r="D5342" t="str">
            <v>Mcst</v>
          </cell>
          <cell r="E5342" t="str">
            <v>BR_CNPJ</v>
          </cell>
          <cell r="F5342" t="str">
            <v>36.538.498/0001-98</v>
          </cell>
          <cell r="G5342" t="str">
            <v>JSR</v>
          </cell>
        </row>
        <row r="5343">
          <cell r="A5343">
            <v>42884</v>
          </cell>
          <cell r="B5343" t="str">
            <v>CORPORATION</v>
          </cell>
          <cell r="C5343" t="str">
            <v>Cr Comercio De Ferramentas Ltda</v>
          </cell>
          <cell r="D5343" t="str">
            <v>Cr Ferramentas</v>
          </cell>
          <cell r="E5343" t="str">
            <v>BR_CNPJ</v>
          </cell>
          <cell r="F5343" t="str">
            <v>41.049.774/0001-94</v>
          </cell>
        </row>
        <row r="5344">
          <cell r="A5344">
            <v>42887</v>
          </cell>
          <cell r="B5344" t="str">
            <v>CORPORATION</v>
          </cell>
          <cell r="C5344" t="str">
            <v>Iron Comércio De Abrasivos, Máquinas E Ferramentas Ltda.</v>
          </cell>
          <cell r="D5344" t="str">
            <v>Iron Comércio De Abrasivos, Máquinas E Ferramentas Ltda</v>
          </cell>
          <cell r="E5344" t="str">
            <v>BR_CNPJ</v>
          </cell>
          <cell r="F5344" t="str">
            <v>23.766.307/0001-01</v>
          </cell>
        </row>
        <row r="5345">
          <cell r="A5345">
            <v>42888</v>
          </cell>
          <cell r="B5345" t="str">
            <v>CORPORATION</v>
          </cell>
          <cell r="C5345" t="str">
            <v>Aparecida De Fatima Ferreira Machado Alves 04344330803</v>
          </cell>
          <cell r="D5345" t="str">
            <v>Delivery Fer</v>
          </cell>
          <cell r="E5345" t="str">
            <v>BR_CNPJ</v>
          </cell>
          <cell r="F5345" t="str">
            <v>30.906.061/0001-83</v>
          </cell>
        </row>
        <row r="5346">
          <cell r="A5346">
            <v>42905</v>
          </cell>
          <cell r="B5346" t="str">
            <v>CORPORATION</v>
          </cell>
          <cell r="C5346" t="str">
            <v>Wja- Varimac Equipamentos Industriais Ltda</v>
          </cell>
          <cell r="D5346" t="str">
            <v>Varimac</v>
          </cell>
          <cell r="E5346" t="str">
            <v>BR_CNPJ</v>
          </cell>
          <cell r="F5346" t="str">
            <v>31.872.356/0001-49</v>
          </cell>
        </row>
        <row r="5347">
          <cell r="A5347">
            <v>42909</v>
          </cell>
          <cell r="B5347" t="str">
            <v>CORPORATION</v>
          </cell>
          <cell r="C5347" t="str">
            <v>Alianca Comercio De Materiais Para Construcao Ltda</v>
          </cell>
          <cell r="D5347" t="str">
            <v>Aqualuz</v>
          </cell>
          <cell r="E5347" t="str">
            <v>BR_CNPJ</v>
          </cell>
          <cell r="F5347" t="str">
            <v>35.438.684/0001-92</v>
          </cell>
        </row>
        <row r="5348">
          <cell r="A5348">
            <v>42920</v>
          </cell>
          <cell r="B5348" t="str">
            <v>CORPORATION</v>
          </cell>
          <cell r="C5348" t="str">
            <v>Gru Equipamentos De Seguranca Ltda</v>
          </cell>
          <cell r="D5348" t="str">
            <v>Gru Equipamentos</v>
          </cell>
          <cell r="E5348" t="str">
            <v>BR_CNPJ</v>
          </cell>
          <cell r="F5348" t="str">
            <v>29.113.121/0001-21</v>
          </cell>
        </row>
        <row r="5349">
          <cell r="A5349">
            <v>42924</v>
          </cell>
          <cell r="B5349" t="str">
            <v>CORPORATION</v>
          </cell>
          <cell r="C5349" t="str">
            <v>Freitas E Moraes Locacao De Ferramentas Ltda</v>
          </cell>
          <cell r="D5349" t="str">
            <v>Freitas E Moraes Locacao De Ferramentas</v>
          </cell>
          <cell r="E5349" t="str">
            <v>BR_CNPJ</v>
          </cell>
          <cell r="F5349" t="str">
            <v>21.253.573/0001-05</v>
          </cell>
        </row>
        <row r="5350">
          <cell r="A5350">
            <v>42925</v>
          </cell>
          <cell r="B5350" t="str">
            <v>CORPORATION</v>
          </cell>
          <cell r="C5350" t="str">
            <v>Marcelo Martins De Andrade 22055030817</v>
          </cell>
          <cell r="D5350" t="str">
            <v>Ferramentas Mac</v>
          </cell>
          <cell r="E5350" t="str">
            <v>BR_CNPJ</v>
          </cell>
          <cell r="F5350" t="str">
            <v>30.978.918/0001-70</v>
          </cell>
        </row>
        <row r="5351">
          <cell r="A5351">
            <v>42932</v>
          </cell>
          <cell r="B5351" t="str">
            <v>CORPORATION</v>
          </cell>
          <cell r="C5351" t="str">
            <v>Bvc Comercio E Distribuicao Ltda</v>
          </cell>
          <cell r="D5351" t="str">
            <v>Bvc Comercio E Distribuicao</v>
          </cell>
          <cell r="E5351" t="str">
            <v>BR_CNPJ</v>
          </cell>
          <cell r="F5351" t="str">
            <v>37.106.634/0001-33</v>
          </cell>
        </row>
        <row r="5352">
          <cell r="A5352">
            <v>42935</v>
          </cell>
          <cell r="B5352" t="str">
            <v>CORPORATION</v>
          </cell>
          <cell r="C5352" t="str">
            <v>G J Ferreira Junior Eireli</v>
          </cell>
          <cell r="D5352" t="str">
            <v>Geffer</v>
          </cell>
          <cell r="E5352" t="str">
            <v>BR_CNPJ</v>
          </cell>
          <cell r="F5352" t="str">
            <v>23.106.252/0001-03</v>
          </cell>
        </row>
        <row r="5353">
          <cell r="A5353">
            <v>42936</v>
          </cell>
          <cell r="B5353" t="str">
            <v>CORPORATION</v>
          </cell>
          <cell r="C5353" t="str">
            <v>Coperaco Comercio De Perfis E Acos Ltda</v>
          </cell>
          <cell r="D5353" t="str">
            <v>Coperaco Comercio De Perfis E Acos Ltda</v>
          </cell>
          <cell r="E5353" t="str">
            <v>BR_CNPJ</v>
          </cell>
          <cell r="F5353" t="str">
            <v>67.206.409/0001-30</v>
          </cell>
        </row>
        <row r="5354">
          <cell r="A5354">
            <v>42937</v>
          </cell>
          <cell r="B5354" t="str">
            <v>CORPORATION</v>
          </cell>
          <cell r="C5354" t="str">
            <v>Reparo Comercio De Ferragens E Ferramentas Eireli</v>
          </cell>
          <cell r="D5354" t="str">
            <v>Ferragista Reparo 2</v>
          </cell>
          <cell r="E5354" t="str">
            <v>BR_CNPJ</v>
          </cell>
          <cell r="F5354" t="str">
            <v>32.598.326/0001-59</v>
          </cell>
        </row>
        <row r="5355">
          <cell r="A5355">
            <v>42946</v>
          </cell>
          <cell r="B5355" t="str">
            <v>CORPORATION</v>
          </cell>
          <cell r="C5355" t="str">
            <v>J.A. Ferramentas, Maquinas, Transportes, Gases Industriais E Medicinais Ltda</v>
          </cell>
          <cell r="D5355" t="str">
            <v>J.A. Ferramentas</v>
          </cell>
          <cell r="E5355" t="str">
            <v>BR_CNPJ</v>
          </cell>
          <cell r="F5355" t="str">
            <v>08.262.006/0001-49</v>
          </cell>
        </row>
        <row r="5356">
          <cell r="A5356">
            <v>42948</v>
          </cell>
          <cell r="B5356" t="str">
            <v>CORPORATION</v>
          </cell>
          <cell r="C5356" t="str">
            <v>Reis &amp; Reis Comercio E Representacao Ltda</v>
          </cell>
          <cell r="D5356" t="str">
            <v>Equipamach, Ferramentas E Equipamentos Mecanicos</v>
          </cell>
          <cell r="E5356" t="str">
            <v>BR_CNPJ</v>
          </cell>
          <cell r="F5356" t="str">
            <v>08.580.985/0001-83</v>
          </cell>
        </row>
        <row r="5357">
          <cell r="A5357">
            <v>42951</v>
          </cell>
          <cell r="B5357" t="str">
            <v>CORPORATION</v>
          </cell>
          <cell r="C5357" t="str">
            <v>Orca Distribuidora De Ferragens Ltda</v>
          </cell>
          <cell r="D5357" t="str">
            <v>Orca Distribuidora</v>
          </cell>
          <cell r="E5357" t="str">
            <v>BR_CNPJ</v>
          </cell>
          <cell r="F5357" t="str">
            <v>09.573.018/0001-57</v>
          </cell>
          <cell r="G5357" t="str">
            <v>ORCA</v>
          </cell>
        </row>
        <row r="5358">
          <cell r="A5358">
            <v>42955</v>
          </cell>
          <cell r="B5358" t="str">
            <v>CORPORATION</v>
          </cell>
          <cell r="C5358" t="str">
            <v>Ajs Comercio De Maquinas E Ferramentas Ltda</v>
          </cell>
          <cell r="D5358" t="str">
            <v>Ajs Comercio De Maquinas E Ferramentas</v>
          </cell>
          <cell r="E5358" t="str">
            <v>BR_CNPJ</v>
          </cell>
          <cell r="F5358" t="str">
            <v>27.130.072/0001-00</v>
          </cell>
        </row>
        <row r="5359">
          <cell r="A5359">
            <v>42958</v>
          </cell>
          <cell r="B5359" t="str">
            <v>CORPORATION</v>
          </cell>
          <cell r="C5359" t="str">
            <v>Agrofort Pecas E Ferramentas Ltda</v>
          </cell>
          <cell r="D5359" t="str">
            <v>Agrofort Pecas E Ferramentas Ltda</v>
          </cell>
          <cell r="E5359" t="str">
            <v>BR_CNPJ</v>
          </cell>
          <cell r="F5359" t="str">
            <v>24.761.255/0001-35</v>
          </cell>
        </row>
        <row r="5360">
          <cell r="A5360">
            <v>42959</v>
          </cell>
          <cell r="B5360" t="str">
            <v>CORPORATION</v>
          </cell>
          <cell r="C5360" t="str">
            <v>Curiuva Ferro E Aco Ltda</v>
          </cell>
          <cell r="D5360" t="str">
            <v>Curiuva Ferro E Aco Ltda</v>
          </cell>
          <cell r="E5360" t="str">
            <v>BR_CNPJ</v>
          </cell>
          <cell r="F5360" t="str">
            <v>22.977.274/0001-78</v>
          </cell>
        </row>
        <row r="5361">
          <cell r="A5361">
            <v>42961</v>
          </cell>
          <cell r="B5361" t="str">
            <v>CORPORATION</v>
          </cell>
          <cell r="C5361" t="str">
            <v>Deposito Do Silvinho Eireli</v>
          </cell>
          <cell r="D5361" t="str">
            <v>Deposito Do Silvinho Eireli</v>
          </cell>
          <cell r="E5361" t="str">
            <v>BR_CNPJ</v>
          </cell>
          <cell r="F5361" t="str">
            <v>05.218.831/0003-10</v>
          </cell>
        </row>
        <row r="5362">
          <cell r="A5362">
            <v>42963</v>
          </cell>
          <cell r="B5362" t="str">
            <v>CORPORATION</v>
          </cell>
          <cell r="C5362" t="str">
            <v>27.726.558 Flavio Ferreira Da Cruz</v>
          </cell>
          <cell r="D5362" t="str">
            <v>Gemac Flavio F</v>
          </cell>
          <cell r="E5362" t="str">
            <v>BR_CNPJ</v>
          </cell>
          <cell r="F5362" t="str">
            <v>27.726.558/0001-05</v>
          </cell>
          <cell r="G5362" t="str">
            <v>GEMAC</v>
          </cell>
        </row>
        <row r="5363">
          <cell r="A5363">
            <v>42965</v>
          </cell>
          <cell r="B5363" t="str">
            <v>CORPORATION</v>
          </cell>
          <cell r="C5363" t="str">
            <v>Bruno Araujo Ribeiro 09079933627</v>
          </cell>
          <cell r="D5363" t="str">
            <v>1001 Acessorios E Ferramentas</v>
          </cell>
          <cell r="E5363" t="str">
            <v>BR_CNPJ</v>
          </cell>
          <cell r="F5363" t="str">
            <v>40.665.350/0001-91</v>
          </cell>
        </row>
        <row r="5364">
          <cell r="A5364">
            <v>42967</v>
          </cell>
          <cell r="B5364" t="str">
            <v>CORPORATION</v>
          </cell>
          <cell r="C5364" t="str">
            <v>Evin Tintas Ltda</v>
          </cell>
          <cell r="D5364" t="str">
            <v>Evin Tintas</v>
          </cell>
          <cell r="E5364" t="str">
            <v>BR_CNPJ</v>
          </cell>
          <cell r="F5364" t="str">
            <v>15.776.343/0001-10</v>
          </cell>
        </row>
        <row r="5365">
          <cell r="A5365">
            <v>42973</v>
          </cell>
          <cell r="B5365" t="str">
            <v>CORPORATION</v>
          </cell>
          <cell r="C5365" t="str">
            <v>Cleber Ramos Gomes Me</v>
          </cell>
          <cell r="D5365" t="str">
            <v>Mult Maquinas</v>
          </cell>
          <cell r="E5365" t="str">
            <v>BR_CNPJ</v>
          </cell>
          <cell r="F5365" t="str">
            <v>08.363.042/0001-07</v>
          </cell>
        </row>
        <row r="5366">
          <cell r="A5366">
            <v>42976</v>
          </cell>
          <cell r="B5366" t="str">
            <v>CORPORATION</v>
          </cell>
          <cell r="C5366" t="str">
            <v>Ferragista Nova Cidade Ltda</v>
          </cell>
          <cell r="D5366" t="str">
            <v>Ferragista Nova Cidade</v>
          </cell>
          <cell r="E5366" t="str">
            <v>BR_CNPJ</v>
          </cell>
          <cell r="F5366" t="str">
            <v>26.267.553/0001-07</v>
          </cell>
        </row>
        <row r="5367">
          <cell r="A5367">
            <v>42977</v>
          </cell>
          <cell r="B5367" t="str">
            <v>CORPORATION</v>
          </cell>
          <cell r="C5367" t="str">
            <v>Fepac Comercial De Maquinas E Ferramentas Ltda</v>
          </cell>
          <cell r="D5367" t="str">
            <v>Fepac Comercial De Maquinas E Ferramentas Ltda</v>
          </cell>
          <cell r="E5367" t="str">
            <v>BR_CNPJ</v>
          </cell>
          <cell r="F5367" t="str">
            <v>46.531.048/0001-27</v>
          </cell>
        </row>
        <row r="5368">
          <cell r="A5368">
            <v>42981</v>
          </cell>
          <cell r="B5368" t="str">
            <v>CORPORATION</v>
          </cell>
          <cell r="C5368" t="str">
            <v>Parafuso &amp; Cia Comercial Ltda</v>
          </cell>
          <cell r="D5368" t="str">
            <v>Parafuso &amp; Cia</v>
          </cell>
          <cell r="E5368" t="str">
            <v>BR_CNPJ</v>
          </cell>
          <cell r="F5368" t="str">
            <v>22.506.498/0001-00</v>
          </cell>
        </row>
        <row r="5369">
          <cell r="A5369">
            <v>42982</v>
          </cell>
          <cell r="B5369" t="str">
            <v>CORPORATION</v>
          </cell>
          <cell r="C5369" t="str">
            <v>Showmaq Representacoes E Comercio Ltda</v>
          </cell>
          <cell r="D5369" t="str">
            <v>Showmaq</v>
          </cell>
          <cell r="E5369" t="str">
            <v>BR_CNPJ</v>
          </cell>
          <cell r="F5369" t="str">
            <v>13.589.845/0001-06</v>
          </cell>
        </row>
        <row r="5370">
          <cell r="A5370">
            <v>42985</v>
          </cell>
          <cell r="B5370" t="str">
            <v>CORPORATION</v>
          </cell>
          <cell r="C5370" t="str">
            <v>Real Rondonia Equipamentos Agricolas Eireli</v>
          </cell>
          <cell r="D5370" t="str">
            <v>Real</v>
          </cell>
          <cell r="E5370" t="str">
            <v>BR_CNPJ</v>
          </cell>
          <cell r="F5370" t="str">
            <v>15.880.511/0001-12</v>
          </cell>
        </row>
        <row r="5371">
          <cell r="A5371">
            <v>42995</v>
          </cell>
          <cell r="B5371" t="str">
            <v>CORPORATION</v>
          </cell>
          <cell r="C5371" t="str">
            <v>L.R.S - Ferragens Ltda</v>
          </cell>
          <cell r="D5371" t="str">
            <v>Central Hidroferragens E Reparos</v>
          </cell>
          <cell r="E5371" t="str">
            <v>BR_CNPJ</v>
          </cell>
          <cell r="F5371" t="str">
            <v>15.871.688/0001-52</v>
          </cell>
        </row>
        <row r="5372">
          <cell r="A5372">
            <v>43000</v>
          </cell>
          <cell r="B5372" t="str">
            <v>CORPORATION</v>
          </cell>
          <cell r="C5372" t="str">
            <v>Leroy Merlin Companhia Brasileira De Bricolagem</v>
          </cell>
          <cell r="D5372" t="str">
            <v>0026 Loja Jacarepagua</v>
          </cell>
          <cell r="E5372" t="str">
            <v>BR_CNPJ</v>
          </cell>
          <cell r="F5372" t="str">
            <v>01.438.784/0029-06</v>
          </cell>
          <cell r="G5372" t="str">
            <v>LEROY MERLIN</v>
          </cell>
        </row>
        <row r="5373">
          <cell r="A5373">
            <v>43002</v>
          </cell>
          <cell r="B5373" t="str">
            <v>CORPORATION</v>
          </cell>
          <cell r="C5373" t="str">
            <v>A L Alves</v>
          </cell>
          <cell r="D5373" t="str">
            <v>Leste Ferramentas</v>
          </cell>
          <cell r="E5373" t="str">
            <v>BR_CNPJ</v>
          </cell>
          <cell r="F5373" t="str">
            <v>22.870.991/0001-04</v>
          </cell>
        </row>
        <row r="5374">
          <cell r="A5374">
            <v>43006</v>
          </cell>
          <cell r="B5374" t="str">
            <v>CORPORATION</v>
          </cell>
          <cell r="C5374" t="str">
            <v>Leroy Merlin Companhia Brasileira De Bricolagem</v>
          </cell>
          <cell r="D5374" t="str">
            <v>0020 Loja Bh Sul</v>
          </cell>
          <cell r="E5374" t="str">
            <v>BR_CNPJ</v>
          </cell>
          <cell r="F5374" t="str">
            <v>01.438.784/0021-40</v>
          </cell>
          <cell r="G5374" t="str">
            <v>LEROY MERLIN</v>
          </cell>
        </row>
        <row r="5375">
          <cell r="A5375">
            <v>43010</v>
          </cell>
          <cell r="B5375" t="str">
            <v>CORPORATION</v>
          </cell>
          <cell r="C5375" t="str">
            <v>Leroy Merlin Companhia Brasileira De Bricolagem</v>
          </cell>
          <cell r="D5375" t="str">
            <v>0032 Loja Sao Leopoldo</v>
          </cell>
          <cell r="E5375" t="str">
            <v>BR_CNPJ</v>
          </cell>
          <cell r="F5375" t="str">
            <v>01.438.784/0036-27</v>
          </cell>
          <cell r="G5375" t="str">
            <v>LEROY MERLIN</v>
          </cell>
        </row>
        <row r="5376">
          <cell r="A5376">
            <v>43014</v>
          </cell>
          <cell r="B5376" t="str">
            <v>CORPORATION</v>
          </cell>
          <cell r="C5376" t="str">
            <v>Leroy Merlin Companhia Brasileira De Bricolagem</v>
          </cell>
          <cell r="D5376" t="str">
            <v>0029 Loja Uberlandia</v>
          </cell>
          <cell r="E5376" t="str">
            <v>BR_CNPJ</v>
          </cell>
          <cell r="F5376" t="str">
            <v>01.438.784/0033-84</v>
          </cell>
          <cell r="G5376" t="str">
            <v>LEROY MERLIN</v>
          </cell>
        </row>
        <row r="5377">
          <cell r="A5377">
            <v>43017</v>
          </cell>
          <cell r="B5377" t="str">
            <v>CORPORATION</v>
          </cell>
          <cell r="C5377" t="str">
            <v>Leroy Merlin Companhia Brasileira De Bricolagem</v>
          </cell>
          <cell r="D5377" t="str">
            <v>0022 Loja Campinas</v>
          </cell>
          <cell r="E5377" t="str">
            <v>BR_CNPJ</v>
          </cell>
          <cell r="F5377" t="str">
            <v>01.438.784/0024-93</v>
          </cell>
          <cell r="G5377" t="str">
            <v>LEROY MERLIN</v>
          </cell>
        </row>
        <row r="5378">
          <cell r="A5378">
            <v>43019</v>
          </cell>
          <cell r="B5378" t="str">
            <v>CORPORATION</v>
          </cell>
          <cell r="C5378" t="str">
            <v>I B Guerra Ltda</v>
          </cell>
          <cell r="D5378" t="str">
            <v>Casa Das Ferramentas</v>
          </cell>
          <cell r="E5378" t="str">
            <v>BR_CNPJ</v>
          </cell>
          <cell r="F5378" t="str">
            <v>10.523.285/0001-07</v>
          </cell>
          <cell r="G5378" t="str">
            <v>CASA DAS FERRAMENTAS</v>
          </cell>
        </row>
        <row r="5379">
          <cell r="A5379">
            <v>43020</v>
          </cell>
          <cell r="B5379" t="str">
            <v>CORPORATION</v>
          </cell>
          <cell r="C5379" t="str">
            <v>Leroy Merlin Companhia Brasileira De Bricolagem</v>
          </cell>
          <cell r="D5379" t="str">
            <v>0007 Loja Rio Norte</v>
          </cell>
          <cell r="E5379" t="str">
            <v>BR_CNPJ</v>
          </cell>
          <cell r="F5379" t="str">
            <v>01.438.784/0007-92</v>
          </cell>
          <cell r="G5379" t="str">
            <v>LEROY MERLIN</v>
          </cell>
        </row>
        <row r="5380">
          <cell r="A5380">
            <v>43024</v>
          </cell>
          <cell r="B5380" t="str">
            <v>CORPORATION</v>
          </cell>
          <cell r="C5380" t="str">
            <v>Leroy Merlin Companhia Brasileira De Bricolagem</v>
          </cell>
          <cell r="D5380" t="str">
            <v>0011 Loja Rio Barra</v>
          </cell>
          <cell r="E5380" t="str">
            <v>BR_CNPJ</v>
          </cell>
          <cell r="F5380" t="str">
            <v>01.438.784/0012-50</v>
          </cell>
          <cell r="G5380" t="str">
            <v>LEROY MERLIN</v>
          </cell>
        </row>
        <row r="5381">
          <cell r="A5381">
            <v>43025</v>
          </cell>
          <cell r="B5381" t="str">
            <v>CORPORATION</v>
          </cell>
          <cell r="C5381" t="str">
            <v>D B Guerra Ltda</v>
          </cell>
          <cell r="D5381" t="str">
            <v>Casa Das Ferramentas</v>
          </cell>
          <cell r="E5381" t="str">
            <v>BR_CNPJ</v>
          </cell>
          <cell r="F5381" t="str">
            <v>42.836.020/0001-47</v>
          </cell>
          <cell r="G5381" t="str">
            <v>CASA DAS FERRAMENTAS</v>
          </cell>
        </row>
        <row r="5382">
          <cell r="A5382">
            <v>43027</v>
          </cell>
          <cell r="B5382" t="str">
            <v>CORPORATION</v>
          </cell>
          <cell r="C5382" t="str">
            <v>Valeaco Comercio De Ferro E Aco Eireli</v>
          </cell>
          <cell r="D5382" t="str">
            <v>Valeaco</v>
          </cell>
          <cell r="E5382" t="str">
            <v>BR_CNPJ</v>
          </cell>
          <cell r="F5382" t="str">
            <v>24.788.723/0001-65</v>
          </cell>
          <cell r="G5382" t="str">
            <v>VALEAÇO</v>
          </cell>
        </row>
        <row r="5383">
          <cell r="A5383">
            <v>43030</v>
          </cell>
          <cell r="B5383" t="str">
            <v>CORPORATION</v>
          </cell>
          <cell r="C5383" t="str">
            <v>Rb Industria &amp; Comercio Ltda</v>
          </cell>
          <cell r="D5383" t="str">
            <v>Rb Industria &amp; Comercio</v>
          </cell>
          <cell r="E5383" t="str">
            <v>BR_CNPJ</v>
          </cell>
          <cell r="F5383" t="str">
            <v>06.317.781/0001-29</v>
          </cell>
        </row>
        <row r="5384">
          <cell r="A5384">
            <v>43034</v>
          </cell>
          <cell r="B5384" t="str">
            <v>CORPORATION</v>
          </cell>
          <cell r="C5384" t="str">
            <v>Honestaldo Antonio Marcelino 94609640600</v>
          </cell>
          <cell r="D5384" t="str">
            <v>Htec Cftv Seguranca Eletronica Me</v>
          </cell>
          <cell r="E5384" t="str">
            <v>BR_CNPJ</v>
          </cell>
          <cell r="F5384" t="str">
            <v>18.015.384/0001-81</v>
          </cell>
        </row>
        <row r="5385">
          <cell r="A5385">
            <v>43040</v>
          </cell>
          <cell r="B5385" t="str">
            <v>CORPORATION</v>
          </cell>
          <cell r="C5385" t="str">
            <v>Construmaq Ltda</v>
          </cell>
          <cell r="D5385" t="str">
            <v>Construmaq</v>
          </cell>
          <cell r="E5385" t="str">
            <v>BR_CNPJ</v>
          </cell>
          <cell r="F5385" t="str">
            <v>10.956.031/0001-74</v>
          </cell>
        </row>
        <row r="5386">
          <cell r="A5386">
            <v>43046</v>
          </cell>
          <cell r="B5386" t="str">
            <v>CORPORATION</v>
          </cell>
          <cell r="C5386" t="str">
            <v>Irmaos Kosloski Ltda</v>
          </cell>
          <cell r="D5386" t="str">
            <v>Comercial Homelite</v>
          </cell>
          <cell r="E5386" t="str">
            <v>BR_CNPJ</v>
          </cell>
          <cell r="F5386" t="str">
            <v>15.426.919/0001-19</v>
          </cell>
        </row>
        <row r="5387">
          <cell r="A5387">
            <v>43052</v>
          </cell>
          <cell r="B5387" t="str">
            <v>CORPORATION</v>
          </cell>
          <cell r="C5387" t="str">
            <v>Leroy Merlin Companhia Brasileira De Bricolagem (Cd Sp)</v>
          </cell>
          <cell r="D5387" t="str">
            <v>0099 Cd Sp</v>
          </cell>
          <cell r="E5387" t="str">
            <v>BR_CNPJ</v>
          </cell>
          <cell r="F5387" t="str">
            <v>01.438.784/0069-95</v>
          </cell>
          <cell r="G5387" t="str">
            <v>LEROY MERLIN</v>
          </cell>
        </row>
        <row r="5388">
          <cell r="A5388">
            <v>43055</v>
          </cell>
          <cell r="B5388" t="str">
            <v>CORPORATION</v>
          </cell>
          <cell r="C5388" t="str">
            <v>Leroy Merlin Companhia Brasileira De Bricolagem</v>
          </cell>
          <cell r="D5388" t="str">
            <v>Leroy Merlin (Cd Cajamar)</v>
          </cell>
          <cell r="E5388" t="str">
            <v>BR_CNPJ</v>
          </cell>
          <cell r="F5388" t="str">
            <v>01.438.784/0041-94</v>
          </cell>
          <cell r="G5388" t="str">
            <v>LEROY MERLIN</v>
          </cell>
        </row>
        <row r="5389">
          <cell r="A5389">
            <v>43071</v>
          </cell>
          <cell r="B5389" t="str">
            <v>CORPORATION</v>
          </cell>
          <cell r="C5389" t="str">
            <v>M. F. Gaia Eireli</v>
          </cell>
          <cell r="D5389" t="str">
            <v>Atalaia Ferramentas</v>
          </cell>
          <cell r="E5389" t="str">
            <v>BR_CNPJ</v>
          </cell>
          <cell r="F5389" t="str">
            <v>09.484.693/0001-00</v>
          </cell>
        </row>
        <row r="5390">
          <cell r="A5390">
            <v>43072</v>
          </cell>
          <cell r="B5390" t="str">
            <v>CORPORATION</v>
          </cell>
          <cell r="C5390" t="str">
            <v>Comercial Agricola Agritec Ltda</v>
          </cell>
          <cell r="D5390" t="str">
            <v>Agritec Ltda</v>
          </cell>
          <cell r="E5390" t="str">
            <v>BR_CNPJ</v>
          </cell>
          <cell r="F5390" t="str">
            <v>05.921.152/0001-40</v>
          </cell>
        </row>
        <row r="5391">
          <cell r="A5391">
            <v>43075</v>
          </cell>
          <cell r="B5391" t="str">
            <v>CORPORATION</v>
          </cell>
          <cell r="C5391" t="str">
            <v>M.A.De S. Mendes E Cia Ltda</v>
          </cell>
          <cell r="D5391" t="str">
            <v>Ferragista Novo Mundo</v>
          </cell>
          <cell r="E5391" t="str">
            <v>BR_CNPJ</v>
          </cell>
          <cell r="F5391" t="str">
            <v>05.402.379/0001-80</v>
          </cell>
        </row>
        <row r="5392">
          <cell r="A5392">
            <v>43076</v>
          </cell>
          <cell r="B5392" t="str">
            <v>CORPORATION</v>
          </cell>
          <cell r="C5392" t="str">
            <v>Radar Comercio Varejista De Ferragens Eireli</v>
          </cell>
          <cell r="D5392" t="str">
            <v>Ferragens Radar</v>
          </cell>
          <cell r="E5392" t="str">
            <v>BR_CNPJ</v>
          </cell>
          <cell r="F5392" t="str">
            <v>10.648.265/0001-54</v>
          </cell>
        </row>
        <row r="5393">
          <cell r="A5393">
            <v>43079</v>
          </cell>
          <cell r="B5393" t="str">
            <v>CORPORATION</v>
          </cell>
          <cell r="C5393" t="str">
            <v>Ferragens Grando Eireli</v>
          </cell>
          <cell r="D5393" t="str">
            <v>Ferragens Grando</v>
          </cell>
          <cell r="E5393" t="str">
            <v>BR_CNPJ</v>
          </cell>
          <cell r="F5393" t="str">
            <v>29.779.404/0001-07</v>
          </cell>
        </row>
        <row r="5394">
          <cell r="A5394">
            <v>43080</v>
          </cell>
          <cell r="B5394" t="str">
            <v>CORPORATION</v>
          </cell>
          <cell r="C5394" t="str">
            <v>Magazine Alpha Comercio Eletronico Ltda</v>
          </cell>
          <cell r="D5394" t="str">
            <v>Magazine Alpha</v>
          </cell>
          <cell r="E5394" t="str">
            <v>BR_CNPJ</v>
          </cell>
          <cell r="F5394" t="str">
            <v>28.812.679/0001-32</v>
          </cell>
        </row>
        <row r="5395">
          <cell r="A5395">
            <v>43081</v>
          </cell>
          <cell r="B5395" t="str">
            <v>CORPORATION</v>
          </cell>
          <cell r="C5395" t="str">
            <v>Nova Protect Equipamentos De Protecao Individual Ltda</v>
          </cell>
          <cell r="D5395" t="str">
            <v>Nova Protect Epi</v>
          </cell>
          <cell r="E5395" t="str">
            <v>BR_CNPJ</v>
          </cell>
          <cell r="F5395" t="str">
            <v>22.091.282/0001-12</v>
          </cell>
        </row>
        <row r="5396">
          <cell r="A5396">
            <v>43082</v>
          </cell>
          <cell r="B5396" t="str">
            <v>CORPORATION</v>
          </cell>
          <cell r="C5396" t="str">
            <v>Imtec Comercio, Importacao E Exportacao Eireli</v>
          </cell>
          <cell r="D5396" t="str">
            <v>Toca Da Solda</v>
          </cell>
          <cell r="E5396" t="str">
            <v>BR_CNPJ</v>
          </cell>
          <cell r="F5396" t="str">
            <v>03.510.130/0001-62</v>
          </cell>
          <cell r="G5396" t="str">
            <v>TOCA DA SOLDA</v>
          </cell>
        </row>
        <row r="5397">
          <cell r="A5397">
            <v>43086</v>
          </cell>
          <cell r="B5397" t="str">
            <v>CORPORATION</v>
          </cell>
          <cell r="C5397" t="str">
            <v>Luciane Muller Dias &amp; Cia Ltda</v>
          </cell>
          <cell r="D5397" t="str">
            <v>Proseg Comercio De E.P.I'S</v>
          </cell>
          <cell r="E5397" t="str">
            <v>BR_CNPJ</v>
          </cell>
          <cell r="F5397" t="str">
            <v>18.907.202/0001-87</v>
          </cell>
        </row>
        <row r="5398">
          <cell r="A5398">
            <v>43101</v>
          </cell>
          <cell r="B5398" t="str">
            <v>CORPORATION</v>
          </cell>
          <cell r="C5398" t="str">
            <v>Leroy Merlin Companhia Brasileira De Bricolagem</v>
          </cell>
          <cell r="D5398" t="str">
            <v>0004 Loja Contagem</v>
          </cell>
          <cell r="E5398" t="str">
            <v>BR_CNPJ</v>
          </cell>
          <cell r="F5398" t="str">
            <v>01.438.784/0005-20</v>
          </cell>
          <cell r="G5398" t="str">
            <v>LEROY MERLIN</v>
          </cell>
        </row>
        <row r="5399">
          <cell r="A5399">
            <v>43102</v>
          </cell>
          <cell r="B5399" t="str">
            <v>CORPORATION</v>
          </cell>
          <cell r="C5399" t="str">
            <v>Adelaide Suely Silva De Medeiros</v>
          </cell>
          <cell r="D5399" t="str">
            <v>Vet Camping</v>
          </cell>
          <cell r="E5399" t="str">
            <v>BR_CNPJ</v>
          </cell>
          <cell r="F5399" t="str">
            <v>15.305.589/0001-03</v>
          </cell>
        </row>
        <row r="5400">
          <cell r="A5400">
            <v>43107</v>
          </cell>
          <cell r="B5400" t="str">
            <v>CORPORATION</v>
          </cell>
          <cell r="C5400" t="str">
            <v>Total Borrachas Comercio Ltda</v>
          </cell>
          <cell r="D5400" t="str">
            <v>Total Borrachas &amp; Ferragens</v>
          </cell>
          <cell r="E5400" t="str">
            <v>BR_CNPJ</v>
          </cell>
          <cell r="F5400" t="str">
            <v>17.724.015/0001-03</v>
          </cell>
        </row>
        <row r="5401">
          <cell r="A5401">
            <v>43111</v>
          </cell>
          <cell r="B5401" t="str">
            <v>CORPORATION</v>
          </cell>
          <cell r="C5401" t="str">
            <v>Total Ferragens E Maquinas Ltda</v>
          </cell>
          <cell r="D5401" t="str">
            <v>Ferrasul</v>
          </cell>
          <cell r="E5401" t="str">
            <v>BR_CNPJ</v>
          </cell>
          <cell r="F5401" t="str">
            <v>15.805.516/0001-80</v>
          </cell>
          <cell r="G5401" t="str">
            <v>FERRASUL</v>
          </cell>
        </row>
        <row r="5402">
          <cell r="A5402">
            <v>43115</v>
          </cell>
          <cell r="B5402" t="str">
            <v>CORPORATION</v>
          </cell>
          <cell r="C5402" t="str">
            <v>F. G Aquino Costa</v>
          </cell>
          <cell r="D5402" t="str">
            <v>Agrivete</v>
          </cell>
          <cell r="E5402" t="str">
            <v>BR_CNPJ</v>
          </cell>
          <cell r="F5402" t="str">
            <v>00.665.595/0001-02</v>
          </cell>
        </row>
        <row r="5403">
          <cell r="A5403">
            <v>43118</v>
          </cell>
          <cell r="B5403" t="str">
            <v>CORPORATION</v>
          </cell>
          <cell r="C5403" t="str">
            <v>D.P. Ferramentas E Soldas Ltda</v>
          </cell>
          <cell r="D5403" t="str">
            <v>Maquine (D.P.)</v>
          </cell>
          <cell r="E5403" t="str">
            <v>BR_CNPJ</v>
          </cell>
          <cell r="F5403" t="str">
            <v>08.018.333/0001-50</v>
          </cell>
          <cell r="G5403" t="str">
            <v>MAQUINE</v>
          </cell>
        </row>
        <row r="5404">
          <cell r="A5404">
            <v>43120</v>
          </cell>
          <cell r="B5404" t="str">
            <v>CORPORATION</v>
          </cell>
          <cell r="C5404" t="str">
            <v>Mak Ferramentas E Pecas Ltda</v>
          </cell>
          <cell r="D5404" t="str">
            <v>Mak Ferramentas (Filial)</v>
          </cell>
          <cell r="E5404" t="str">
            <v>BR_CNPJ</v>
          </cell>
          <cell r="F5404" t="str">
            <v>20.553.014/0002-20</v>
          </cell>
          <cell r="G5404" t="str">
            <v>MAK FERRAMENTAS</v>
          </cell>
        </row>
        <row r="5405">
          <cell r="A5405">
            <v>43127</v>
          </cell>
          <cell r="B5405" t="str">
            <v>CORPORATION</v>
          </cell>
          <cell r="C5405" t="str">
            <v>Ccm Parafusos Ltda</v>
          </cell>
          <cell r="D5405" t="str">
            <v>Ccm Parafusos Ltda</v>
          </cell>
          <cell r="E5405" t="str">
            <v>BR_CNPJ</v>
          </cell>
          <cell r="F5405" t="str">
            <v>05.553.914/0001-01</v>
          </cell>
        </row>
        <row r="5406">
          <cell r="A5406">
            <v>43133</v>
          </cell>
          <cell r="B5406" t="str">
            <v>CORPORATION</v>
          </cell>
          <cell r="C5406" t="str">
            <v>Metal Fort Ferragens Ltda Me</v>
          </cell>
          <cell r="D5406" t="str">
            <v>Metal Fort</v>
          </cell>
          <cell r="E5406" t="str">
            <v>BR_CNPJ</v>
          </cell>
          <cell r="F5406" t="str">
            <v>97.529.643/0001-69</v>
          </cell>
        </row>
        <row r="5407">
          <cell r="A5407">
            <v>43136</v>
          </cell>
          <cell r="B5407" t="str">
            <v>CORPORATION</v>
          </cell>
          <cell r="C5407" t="str">
            <v>J. J. S. De Menezes</v>
          </cell>
          <cell r="D5407" t="str">
            <v>J. J. S. De Menezes</v>
          </cell>
          <cell r="E5407" t="str">
            <v>BR_CNPJ</v>
          </cell>
          <cell r="F5407" t="str">
            <v>18.681.614/0001-41</v>
          </cell>
        </row>
        <row r="5408">
          <cell r="A5408">
            <v>43138</v>
          </cell>
          <cell r="B5408" t="str">
            <v>CORPORATION</v>
          </cell>
          <cell r="C5408" t="str">
            <v>Soldasul Ind Com Imp Ltda</v>
          </cell>
          <cell r="D5408" t="str">
            <v>Soldasul</v>
          </cell>
          <cell r="E5408" t="str">
            <v>BR_CNPJ</v>
          </cell>
          <cell r="F5408" t="str">
            <v>87.020.756/0002-61</v>
          </cell>
        </row>
        <row r="5409">
          <cell r="A5409">
            <v>43140</v>
          </cell>
          <cell r="B5409" t="str">
            <v>CORPORATION</v>
          </cell>
          <cell r="C5409" t="str">
            <v>Valter Da Luz</v>
          </cell>
          <cell r="D5409" t="str">
            <v>Oxitim</v>
          </cell>
          <cell r="E5409" t="str">
            <v>BR_CNPJ</v>
          </cell>
          <cell r="F5409" t="str">
            <v>05.301.589/0001-81</v>
          </cell>
        </row>
        <row r="5410">
          <cell r="A5410">
            <v>43144</v>
          </cell>
          <cell r="B5410" t="str">
            <v>CORPORATION</v>
          </cell>
          <cell r="C5410" t="str">
            <v>Fermarcs -Comercio Varejista E Atacadista De Ferramentas E Acessorios Ltda</v>
          </cell>
          <cell r="D5410" t="str">
            <v>Fermarcs Varejista E Atacadista</v>
          </cell>
          <cell r="E5410" t="str">
            <v>BR_CNPJ</v>
          </cell>
          <cell r="F5410" t="str">
            <v>25.234.781/0001-00</v>
          </cell>
          <cell r="G5410" t="str">
            <v>FERMARCS</v>
          </cell>
        </row>
        <row r="5411">
          <cell r="A5411">
            <v>43148</v>
          </cell>
          <cell r="B5411" t="str">
            <v>CORPORATION</v>
          </cell>
          <cell r="C5411" t="str">
            <v>Andrade &amp; Andrade Ferragista Ltda</v>
          </cell>
          <cell r="D5411" t="str">
            <v>Andrade Multi Ferramental</v>
          </cell>
          <cell r="E5411" t="str">
            <v>BR_CNPJ</v>
          </cell>
          <cell r="F5411" t="str">
            <v>01.737.026/0001-80</v>
          </cell>
        </row>
        <row r="5412">
          <cell r="A5412">
            <v>43152</v>
          </cell>
          <cell r="B5412" t="str">
            <v>CORPORATION</v>
          </cell>
          <cell r="C5412" t="str">
            <v>Hidrowapess Manutencao E Comercio Ltda</v>
          </cell>
          <cell r="D5412" t="str">
            <v>Casa Das Maquinas</v>
          </cell>
          <cell r="E5412" t="str">
            <v>BR_CNPJ</v>
          </cell>
          <cell r="F5412" t="str">
            <v>68.402.155/0001-98</v>
          </cell>
        </row>
        <row r="5413">
          <cell r="A5413">
            <v>43154</v>
          </cell>
          <cell r="B5413" t="str">
            <v>CORPORATION</v>
          </cell>
          <cell r="C5413" t="str">
            <v>Fjk Atacadista Ltda</v>
          </cell>
          <cell r="D5413" t="str">
            <v>Central Do Epi</v>
          </cell>
          <cell r="E5413" t="str">
            <v>BR_CNPJ</v>
          </cell>
          <cell r="F5413" t="str">
            <v>42.725.413/0001-83</v>
          </cell>
          <cell r="G5413" t="str">
            <v>CENTRAL DO EPI</v>
          </cell>
        </row>
        <row r="5414">
          <cell r="A5414">
            <v>43155</v>
          </cell>
          <cell r="B5414" t="str">
            <v>CORPORATION</v>
          </cell>
          <cell r="C5414" t="str">
            <v>Casa Da Racao Comercio De Fertilizantes Ltda</v>
          </cell>
          <cell r="D5414" t="str">
            <v>Casa Da Racao</v>
          </cell>
          <cell r="E5414" t="str">
            <v>BR_CNPJ</v>
          </cell>
          <cell r="F5414" t="str">
            <v>10.227.113/0001-88</v>
          </cell>
        </row>
        <row r="5415">
          <cell r="A5415">
            <v>43160</v>
          </cell>
          <cell r="B5415" t="str">
            <v>CORPORATION</v>
          </cell>
          <cell r="C5415" t="str">
            <v>Sergio Alves Ferreira 73578371653</v>
          </cell>
          <cell r="D5415" t="str">
            <v>Seraco Servicos E Manutencao</v>
          </cell>
          <cell r="E5415" t="str">
            <v>BR_CNPJ</v>
          </cell>
          <cell r="F5415" t="str">
            <v>29.001.921/0001-50</v>
          </cell>
        </row>
        <row r="5416">
          <cell r="A5416">
            <v>43166</v>
          </cell>
          <cell r="B5416" t="str">
            <v>CORPORATION</v>
          </cell>
          <cell r="C5416" t="str">
            <v>Uss Global - Comercio De Maquinas E Equipamentos Ltda</v>
          </cell>
          <cell r="D5416" t="str">
            <v>Uss - Ultimate Sale Solutions</v>
          </cell>
          <cell r="E5416" t="str">
            <v>BR_CNPJ</v>
          </cell>
          <cell r="F5416" t="str">
            <v>19.799.199/0001-98</v>
          </cell>
        </row>
        <row r="5417">
          <cell r="A5417">
            <v>43168</v>
          </cell>
          <cell r="B5417" t="str">
            <v>CORPORATION</v>
          </cell>
          <cell r="C5417" t="str">
            <v>Dimensao Iluminacao Ltda</v>
          </cell>
          <cell r="D5417" t="str">
            <v>Dimensao Iluminacao Ltda</v>
          </cell>
          <cell r="E5417" t="str">
            <v>BR_CNPJ</v>
          </cell>
          <cell r="F5417" t="str">
            <v>02.550.112/0001-41</v>
          </cell>
        </row>
        <row r="5418">
          <cell r="A5418">
            <v>43171</v>
          </cell>
          <cell r="B5418" t="str">
            <v>CORPORATION</v>
          </cell>
          <cell r="C5418" t="str">
            <v>Valino Comercio De Ferramentas Ltda</v>
          </cell>
          <cell r="D5418" t="str">
            <v>T&amp;T 1 Comercio De Tintas</v>
          </cell>
          <cell r="E5418" t="str">
            <v>BR_CNPJ</v>
          </cell>
          <cell r="F5418" t="str">
            <v>31.419.622/0001-82</v>
          </cell>
        </row>
        <row r="5419">
          <cell r="A5419">
            <v>43174</v>
          </cell>
          <cell r="B5419" t="str">
            <v>CORPORATION</v>
          </cell>
          <cell r="C5419" t="str">
            <v>F. Fernandes De Souza &amp; Cia Ltda</v>
          </cell>
          <cell r="D5419" t="str">
            <v>Parque Eletrico</v>
          </cell>
          <cell r="E5419" t="str">
            <v>BR_CNPJ</v>
          </cell>
          <cell r="F5419" t="str">
            <v>08.345.621/0001-19</v>
          </cell>
        </row>
        <row r="5420">
          <cell r="A5420">
            <v>43178</v>
          </cell>
          <cell r="B5420" t="str">
            <v>CORPORATION</v>
          </cell>
          <cell r="C5420" t="str">
            <v>Instaladora Basso Ltda</v>
          </cell>
          <cell r="D5420" t="str">
            <v>Instaladora Basso</v>
          </cell>
          <cell r="E5420" t="str">
            <v>BR_CNPJ</v>
          </cell>
          <cell r="F5420" t="str">
            <v>81.876.518/0001-95</v>
          </cell>
        </row>
        <row r="5421">
          <cell r="A5421">
            <v>43183</v>
          </cell>
          <cell r="B5421" t="str">
            <v>CORPORATION</v>
          </cell>
          <cell r="C5421" t="str">
            <v>Hiper Entregamos Mix De Materiais Ltda</v>
          </cell>
          <cell r="D5421" t="str">
            <v>Eletrosolda/Hipermix</v>
          </cell>
          <cell r="E5421" t="str">
            <v>BR_CNPJ</v>
          </cell>
          <cell r="F5421" t="str">
            <v>07.100.104/0001-17</v>
          </cell>
        </row>
        <row r="5422">
          <cell r="A5422">
            <v>43184</v>
          </cell>
          <cell r="B5422" t="str">
            <v>CORPORATION</v>
          </cell>
          <cell r="C5422" t="str">
            <v>A. H. Da Silva Almeida</v>
          </cell>
          <cell r="D5422" t="str">
            <v>Ferragril</v>
          </cell>
          <cell r="E5422" t="str">
            <v>BR_CNPJ</v>
          </cell>
          <cell r="F5422" t="str">
            <v>05.539.627/0001-39</v>
          </cell>
        </row>
        <row r="5423">
          <cell r="A5423">
            <v>43188</v>
          </cell>
          <cell r="B5423" t="str">
            <v>CORPORATION</v>
          </cell>
          <cell r="C5423" t="str">
            <v>Arlete Dias Souza Parafusos Eireli</v>
          </cell>
          <cell r="D5423" t="str">
            <v>R. A. Parafusos</v>
          </cell>
          <cell r="E5423" t="str">
            <v>BR_CNPJ</v>
          </cell>
          <cell r="F5423" t="str">
            <v>32.711.286/0001-00</v>
          </cell>
        </row>
        <row r="5424">
          <cell r="A5424">
            <v>43189</v>
          </cell>
          <cell r="B5424" t="str">
            <v>CORPORATION</v>
          </cell>
          <cell r="C5424" t="str">
            <v>Amazon Industria E Comercio De Mangueiras E Conexoes Ltda</v>
          </cell>
          <cell r="D5424" t="str">
            <v>Amazon Industrial</v>
          </cell>
          <cell r="E5424" t="str">
            <v>BR_CNPJ</v>
          </cell>
          <cell r="F5424" t="str">
            <v>05.297.398/0001-93</v>
          </cell>
        </row>
        <row r="5425">
          <cell r="A5425">
            <v>43194</v>
          </cell>
          <cell r="B5425" t="str">
            <v>CORPORATION</v>
          </cell>
          <cell r="C5425" t="str">
            <v>Brasffil-Brasil Ferramentas E Fixadores Ltda</v>
          </cell>
          <cell r="D5425" t="str">
            <v>Brasffil</v>
          </cell>
          <cell r="E5425" t="str">
            <v>BR_CNPJ</v>
          </cell>
          <cell r="F5425" t="str">
            <v>36.899.386/0001-62</v>
          </cell>
        </row>
        <row r="5426">
          <cell r="A5426">
            <v>43201</v>
          </cell>
          <cell r="B5426" t="str">
            <v>CORPORATION</v>
          </cell>
          <cell r="C5426" t="str">
            <v>Sebastiao Comercio De Material De Construcao Ltda</v>
          </cell>
          <cell r="D5426" t="str">
            <v>Bastiao Material De Construcao</v>
          </cell>
          <cell r="E5426" t="str">
            <v>BR_CNPJ</v>
          </cell>
          <cell r="F5426" t="str">
            <v>35.654.812/0001-35</v>
          </cell>
        </row>
        <row r="5427">
          <cell r="A5427">
            <v>43204</v>
          </cell>
          <cell r="B5427" t="str">
            <v>CORPORATION</v>
          </cell>
          <cell r="C5427" t="str">
            <v>Jd Abrasivos E Ferramentas Ltda</v>
          </cell>
          <cell r="D5427" t="str">
            <v>Jd Abrasivos E Ferramentas</v>
          </cell>
          <cell r="E5427" t="str">
            <v>BR_CNPJ</v>
          </cell>
          <cell r="F5427" t="str">
            <v>24.094.082/0001-49</v>
          </cell>
        </row>
        <row r="5428">
          <cell r="A5428">
            <v>43206</v>
          </cell>
          <cell r="B5428" t="str">
            <v>CORPORATION</v>
          </cell>
          <cell r="C5428" t="str">
            <v>Bw Comercio E Representacao Unipessoal Ltda</v>
          </cell>
          <cell r="D5428" t="str">
            <v>Supplytek Fornecimento Industrial</v>
          </cell>
          <cell r="E5428" t="str">
            <v>BR_CNPJ</v>
          </cell>
          <cell r="F5428" t="str">
            <v>46.467.463/0001-69</v>
          </cell>
        </row>
        <row r="5429">
          <cell r="A5429">
            <v>43212</v>
          </cell>
          <cell r="B5429" t="str">
            <v>CORPORATION</v>
          </cell>
          <cell r="C5429" t="str">
            <v>Mariana De Jesus Araujo Alves 05829551306</v>
          </cell>
          <cell r="D5429" t="str">
            <v>Mj Alves Construcoes</v>
          </cell>
          <cell r="E5429" t="str">
            <v>BR_CNPJ</v>
          </cell>
          <cell r="F5429" t="str">
            <v>47.318.139/0001-41</v>
          </cell>
        </row>
        <row r="5430">
          <cell r="A5430">
            <v>43216</v>
          </cell>
          <cell r="B5430" t="str">
            <v>CORPORATION</v>
          </cell>
          <cell r="C5430" t="str">
            <v>It-Maq Assistencia Tecnica E Comercio Ltda</v>
          </cell>
          <cell r="D5430" t="str">
            <v>It-Maq Assistencia Tecnica E Vendas</v>
          </cell>
          <cell r="E5430" t="str">
            <v>BR_CNPJ</v>
          </cell>
          <cell r="F5430" t="str">
            <v>36.307.275/0001-10</v>
          </cell>
        </row>
        <row r="5431">
          <cell r="A5431">
            <v>43217</v>
          </cell>
          <cell r="B5431" t="str">
            <v>CORPORATION</v>
          </cell>
          <cell r="C5431" t="str">
            <v>J. R. Lima Eireli</v>
          </cell>
          <cell r="D5431" t="str">
            <v>Jrl Construcoes</v>
          </cell>
          <cell r="E5431" t="str">
            <v>BR_CNPJ</v>
          </cell>
          <cell r="F5431" t="str">
            <v>23.435.081/0001-58</v>
          </cell>
        </row>
        <row r="5432">
          <cell r="A5432">
            <v>43222</v>
          </cell>
          <cell r="B5432" t="str">
            <v>CORPORATION</v>
          </cell>
          <cell r="C5432" t="str">
            <v>Ss Design Ltda</v>
          </cell>
          <cell r="D5432" t="str">
            <v>Ss Design Ltda</v>
          </cell>
          <cell r="E5432" t="str">
            <v>BR_CNPJ</v>
          </cell>
          <cell r="F5432" t="str">
            <v>40.358.735/0001-06</v>
          </cell>
        </row>
        <row r="5433">
          <cell r="A5433">
            <v>43225</v>
          </cell>
          <cell r="B5433" t="str">
            <v>CORPORATION</v>
          </cell>
          <cell r="C5433" t="str">
            <v>Novapecascap Industria , Comercio E Importacao De Auto Pecas E Eletronicos Ltda</v>
          </cell>
          <cell r="D5433" t="str">
            <v>Peça Scap Sp</v>
          </cell>
          <cell r="E5433" t="str">
            <v>BR_CNPJ</v>
          </cell>
          <cell r="F5433" t="str">
            <v>35.645.544/0004-38</v>
          </cell>
          <cell r="G5433" t="str">
            <v>SCAP PEÇAS</v>
          </cell>
        </row>
        <row r="5434">
          <cell r="A5434">
            <v>43227</v>
          </cell>
          <cell r="B5434" t="str">
            <v>CORPORATION</v>
          </cell>
          <cell r="C5434" t="str">
            <v>Oferta Lu Comercio Varejista Ltda</v>
          </cell>
          <cell r="D5434" t="str">
            <v>Oferta Lu</v>
          </cell>
          <cell r="E5434" t="str">
            <v>BR_CNPJ</v>
          </cell>
          <cell r="F5434" t="str">
            <v>30.445.867/0001-11</v>
          </cell>
        </row>
        <row r="5435">
          <cell r="A5435">
            <v>43231</v>
          </cell>
          <cell r="B5435" t="str">
            <v>CORPORATION</v>
          </cell>
          <cell r="C5435" t="str">
            <v>Allem Venceslau Da Silva 00227296150</v>
          </cell>
          <cell r="D5435" t="str">
            <v>Casa Da Ferragem Allem Venceslau</v>
          </cell>
          <cell r="E5435" t="str">
            <v>BR_CNPJ</v>
          </cell>
          <cell r="F5435" t="str">
            <v>29.238.564/0001-49</v>
          </cell>
        </row>
        <row r="5436">
          <cell r="A5436">
            <v>43235</v>
          </cell>
          <cell r="B5436" t="str">
            <v>CORPORATION</v>
          </cell>
          <cell r="C5436" t="str">
            <v>Comercio De Ferragens Bom Preco Ltda</v>
          </cell>
          <cell r="D5436" t="str">
            <v>Ferragista E Utilidades Bom Preco</v>
          </cell>
          <cell r="E5436" t="str">
            <v>BR_CNPJ</v>
          </cell>
          <cell r="F5436" t="str">
            <v>17.943.944/0001-03</v>
          </cell>
        </row>
        <row r="5437">
          <cell r="A5437">
            <v>43237</v>
          </cell>
          <cell r="B5437" t="str">
            <v>CORPORATION</v>
          </cell>
          <cell r="C5437" t="str">
            <v>Vr Gases E Equipamentos Industriais Ltda</v>
          </cell>
          <cell r="D5437" t="str">
            <v>Vr Gases E Equipamentos Industriais</v>
          </cell>
          <cell r="E5437" t="str">
            <v>BR_CNPJ</v>
          </cell>
          <cell r="F5437" t="str">
            <v>30.431.130/0001-40</v>
          </cell>
        </row>
        <row r="5438">
          <cell r="A5438">
            <v>43238</v>
          </cell>
          <cell r="B5438" t="str">
            <v>CORPORATION</v>
          </cell>
          <cell r="C5438" t="str">
            <v>Ferro Mix Comercial - Eireli</v>
          </cell>
          <cell r="D5438" t="str">
            <v>Ferro Mix</v>
          </cell>
          <cell r="E5438" t="str">
            <v>BR_CNPJ</v>
          </cell>
          <cell r="F5438" t="str">
            <v>23.146.951/0001-79</v>
          </cell>
        </row>
        <row r="5439">
          <cell r="A5439">
            <v>43246</v>
          </cell>
          <cell r="B5439" t="str">
            <v>CORPORATION</v>
          </cell>
          <cell r="C5439" t="str">
            <v>Fernanda Almeida De Oliveira</v>
          </cell>
          <cell r="D5439" t="str">
            <v>Dandak Comercio De Ferragens</v>
          </cell>
          <cell r="E5439" t="str">
            <v>BR_CNPJ</v>
          </cell>
          <cell r="F5439" t="str">
            <v>55.086.215/0001-69</v>
          </cell>
          <cell r="G5439" t="str">
            <v>INCOMETAL</v>
          </cell>
        </row>
        <row r="5440">
          <cell r="A5440">
            <v>43247</v>
          </cell>
          <cell r="B5440" t="str">
            <v>CORPORATION</v>
          </cell>
          <cell r="C5440" t="str">
            <v>Leroy Merlin Companhia Brasileira De Bricolagem</v>
          </cell>
          <cell r="D5440" t="str">
            <v>0003 Loja Campinas D.Pedro</v>
          </cell>
          <cell r="E5440" t="str">
            <v>BR_CNPJ</v>
          </cell>
          <cell r="F5440" t="str">
            <v>01.438.784/0004-40</v>
          </cell>
          <cell r="G5440" t="str">
            <v>LEROY MERLIN</v>
          </cell>
        </row>
        <row r="5441">
          <cell r="A5441">
            <v>43249</v>
          </cell>
          <cell r="B5441" t="str">
            <v>CORPORATION</v>
          </cell>
          <cell r="C5441" t="str">
            <v>Maria Margarete Motin</v>
          </cell>
          <cell r="D5441" t="str">
            <v>Multipla Técnica</v>
          </cell>
          <cell r="E5441" t="str">
            <v>BR_CNPJ</v>
          </cell>
          <cell r="F5441" t="str">
            <v>06.184.765/0001-05</v>
          </cell>
        </row>
        <row r="5442">
          <cell r="A5442">
            <v>43251</v>
          </cell>
          <cell r="B5442" t="str">
            <v>CORPORATION</v>
          </cell>
          <cell r="C5442" t="str">
            <v>Maria Das Gracas Silva 79296700663</v>
          </cell>
          <cell r="D5442" t="str">
            <v>Comercial Mv Ferramentas</v>
          </cell>
          <cell r="E5442" t="str">
            <v>BR_CNPJ</v>
          </cell>
          <cell r="F5442" t="str">
            <v>36.268.898/0001-20</v>
          </cell>
        </row>
        <row r="5443">
          <cell r="A5443">
            <v>43254</v>
          </cell>
          <cell r="B5443" t="str">
            <v>CORPORATION</v>
          </cell>
          <cell r="C5443" t="str">
            <v>Leroy Merlin Companhia Brasileira De Bricolagem</v>
          </cell>
          <cell r="D5443" t="str">
            <v>0038 Loja Fortaleza</v>
          </cell>
          <cell r="E5443" t="str">
            <v>BR_CNPJ</v>
          </cell>
          <cell r="F5443" t="str">
            <v>01.438.784/0043-56</v>
          </cell>
          <cell r="G5443" t="str">
            <v>LEROY MERLIN</v>
          </cell>
        </row>
        <row r="5444">
          <cell r="A5444">
            <v>43255</v>
          </cell>
          <cell r="B5444" t="str">
            <v>CORPORATION</v>
          </cell>
          <cell r="C5444" t="str">
            <v>Cicampo Maquinas E Ferramentas Ltda</v>
          </cell>
          <cell r="D5444" t="str">
            <v>Cicampo Maquinas 2</v>
          </cell>
          <cell r="E5444" t="str">
            <v>BR_CNPJ</v>
          </cell>
          <cell r="F5444" t="str">
            <v>80.479.231/0004-01</v>
          </cell>
          <cell r="G5444" t="str">
            <v>CICAMPO</v>
          </cell>
        </row>
        <row r="5445">
          <cell r="A5445">
            <v>43257</v>
          </cell>
          <cell r="B5445" t="str">
            <v>CORPORATION</v>
          </cell>
          <cell r="C5445" t="str">
            <v>Batista E Silva Comercio De Ferragens E Materiais De Construcao Ltda</v>
          </cell>
          <cell r="D5445" t="str">
            <v>Ferragista Popular</v>
          </cell>
          <cell r="E5445" t="str">
            <v>BR_CNPJ</v>
          </cell>
          <cell r="F5445" t="str">
            <v>08.620.831/0001-78</v>
          </cell>
        </row>
        <row r="5446">
          <cell r="A5446">
            <v>43258</v>
          </cell>
          <cell r="B5446" t="str">
            <v>CORPORATION</v>
          </cell>
          <cell r="C5446" t="str">
            <v>Cicampo Maquinas E Ferramentas Ltda</v>
          </cell>
          <cell r="D5446" t="str">
            <v>Cicampo Maquinas 1</v>
          </cell>
          <cell r="E5446" t="str">
            <v>BR_CNPJ</v>
          </cell>
          <cell r="F5446" t="str">
            <v>80.479.231/0005-92</v>
          </cell>
          <cell r="G5446" t="str">
            <v>CICAMPO</v>
          </cell>
        </row>
        <row r="5447">
          <cell r="A5447">
            <v>43260</v>
          </cell>
          <cell r="B5447" t="str">
            <v>CORPORATION</v>
          </cell>
          <cell r="C5447" t="str">
            <v>Comapel Comercio Industria E Agricultura Ltda</v>
          </cell>
          <cell r="D5447" t="str">
            <v>Casa Do Fazendeiro</v>
          </cell>
          <cell r="E5447" t="str">
            <v>BR_CNPJ</v>
          </cell>
          <cell r="F5447" t="str">
            <v>14.064.976/0001-32</v>
          </cell>
        </row>
        <row r="5448">
          <cell r="A5448">
            <v>43266</v>
          </cell>
          <cell r="B5448" t="str">
            <v>CORPORATION</v>
          </cell>
          <cell r="C5448" t="str">
            <v>Alexsander Leite Da Silva 03270029721</v>
          </cell>
          <cell r="D5448" t="str">
            <v>Alexsander Leite Da Silva</v>
          </cell>
          <cell r="E5448" t="str">
            <v>BR_CNPJ</v>
          </cell>
          <cell r="F5448" t="str">
            <v>37.209.141/0001-29</v>
          </cell>
        </row>
        <row r="5449">
          <cell r="A5449">
            <v>43269</v>
          </cell>
          <cell r="B5449" t="str">
            <v>CORPORATION</v>
          </cell>
          <cell r="C5449" t="str">
            <v>Amaral Casa De Ferragens Ltda</v>
          </cell>
          <cell r="D5449" t="str">
            <v>Amaral Casa De Ferragens</v>
          </cell>
          <cell r="E5449" t="str">
            <v>BR_CNPJ</v>
          </cell>
          <cell r="F5449" t="str">
            <v>20.732.507/0001-47</v>
          </cell>
        </row>
        <row r="5450">
          <cell r="A5450">
            <v>43275</v>
          </cell>
          <cell r="B5450" t="str">
            <v>CORPORATION</v>
          </cell>
          <cell r="C5450" t="str">
            <v>Klebia Carreiro Ferragista Mendes</v>
          </cell>
          <cell r="D5450" t="str">
            <v>Ferragista Mendes</v>
          </cell>
          <cell r="E5450" t="str">
            <v>BR_CNPJ</v>
          </cell>
          <cell r="F5450" t="str">
            <v>35.840.804/0001-83</v>
          </cell>
          <cell r="G5450" t="str">
            <v>FERRAGISTA MENDES</v>
          </cell>
        </row>
        <row r="5451">
          <cell r="A5451">
            <v>43279</v>
          </cell>
          <cell r="B5451" t="str">
            <v>CORPORATION</v>
          </cell>
          <cell r="C5451" t="str">
            <v>Rural Negocios Ltda</v>
          </cell>
          <cell r="D5451" t="str">
            <v>Rural Negocios Ltda</v>
          </cell>
          <cell r="E5451" t="str">
            <v>BR_CNPJ</v>
          </cell>
          <cell r="F5451" t="str">
            <v>29.194.620/0001-90</v>
          </cell>
        </row>
        <row r="5452">
          <cell r="A5452">
            <v>43281</v>
          </cell>
          <cell r="B5452" t="str">
            <v>CORPORATION</v>
          </cell>
          <cell r="C5452" t="str">
            <v>Comercial Expressa Ltda</v>
          </cell>
          <cell r="D5452" t="str">
            <v>Comercial Expressa</v>
          </cell>
          <cell r="E5452" t="str">
            <v>BR_CNPJ</v>
          </cell>
          <cell r="F5452" t="str">
            <v>16.904.502/0001-87</v>
          </cell>
          <cell r="G5452" t="str">
            <v>EXPRESSA</v>
          </cell>
        </row>
        <row r="5453">
          <cell r="A5453">
            <v>43283</v>
          </cell>
          <cell r="B5453" t="str">
            <v>CORPORATION</v>
          </cell>
          <cell r="C5453" t="str">
            <v>Ds Pereira Acessorios Hidraulicos E Pneumaticos</v>
          </cell>
          <cell r="D5453" t="str">
            <v>Dnvedacoes Distribuidor Nacional</v>
          </cell>
          <cell r="E5453" t="str">
            <v>BR_CNPJ</v>
          </cell>
          <cell r="F5453" t="str">
            <v>03.047.960/0001-03</v>
          </cell>
        </row>
        <row r="5454">
          <cell r="A5454">
            <v>43290</v>
          </cell>
          <cell r="B5454" t="str">
            <v>CORPORATION</v>
          </cell>
          <cell r="C5454" t="str">
            <v>Mr Soldas Ltda</v>
          </cell>
          <cell r="D5454" t="str">
            <v>Mr Soldas</v>
          </cell>
          <cell r="E5454" t="str">
            <v>BR_CNPJ</v>
          </cell>
          <cell r="F5454" t="str">
            <v>04.514.614/0001-42</v>
          </cell>
        </row>
        <row r="5455">
          <cell r="A5455">
            <v>43291</v>
          </cell>
          <cell r="B5455" t="str">
            <v>CORPORATION</v>
          </cell>
          <cell r="C5455" t="str">
            <v>Raylane Aranha De Souza</v>
          </cell>
          <cell r="D5455" t="str">
            <v>Casa Do Garimpeiro</v>
          </cell>
          <cell r="E5455" t="str">
            <v>BR_CNPJ</v>
          </cell>
          <cell r="F5455" t="str">
            <v>41.719.318/0001-04</v>
          </cell>
        </row>
        <row r="5456">
          <cell r="A5456">
            <v>43293</v>
          </cell>
          <cell r="B5456" t="str">
            <v>CORPORATION</v>
          </cell>
          <cell r="C5456" t="str">
            <v>Coper Maquinas Eireli</v>
          </cell>
          <cell r="D5456" t="str">
            <v>Copemaq</v>
          </cell>
          <cell r="E5456" t="str">
            <v>BR_CNPJ</v>
          </cell>
          <cell r="F5456" t="str">
            <v>20.924.869/0001-30</v>
          </cell>
        </row>
        <row r="5457">
          <cell r="A5457">
            <v>43295</v>
          </cell>
          <cell r="B5457" t="str">
            <v>CORPORATION</v>
          </cell>
          <cell r="C5457" t="str">
            <v>P. H. Gabriel Soldera Eireli</v>
          </cell>
          <cell r="D5457" t="str">
            <v>P. H. Gabriel Soldera</v>
          </cell>
          <cell r="E5457" t="str">
            <v>BR_CNPJ</v>
          </cell>
          <cell r="F5457" t="str">
            <v>24.285.781/0001-76</v>
          </cell>
        </row>
        <row r="5458">
          <cell r="A5458">
            <v>43296</v>
          </cell>
          <cell r="B5458" t="str">
            <v>CORPORATION</v>
          </cell>
          <cell r="C5458" t="str">
            <v>Ednei Maudonet Filho</v>
          </cell>
          <cell r="D5458" t="str">
            <v>Paulista Radiadores</v>
          </cell>
          <cell r="E5458" t="str">
            <v>BR_CNPJ</v>
          </cell>
          <cell r="F5458" t="str">
            <v>22.858.750/0001-31</v>
          </cell>
        </row>
        <row r="5459">
          <cell r="A5459">
            <v>43300</v>
          </cell>
          <cell r="B5459" t="str">
            <v>CORPORATION</v>
          </cell>
          <cell r="C5459" t="str">
            <v>Mh Lixx Comercio E Servicos Ltda</v>
          </cell>
          <cell r="D5459" t="str">
            <v>Mh Lixx Comercio E Servicos</v>
          </cell>
          <cell r="E5459" t="str">
            <v>BR_CNPJ</v>
          </cell>
          <cell r="F5459" t="str">
            <v>37.247.119/0001-73</v>
          </cell>
        </row>
        <row r="5460">
          <cell r="A5460">
            <v>43303</v>
          </cell>
          <cell r="B5460" t="str">
            <v>CORPORATION</v>
          </cell>
          <cell r="C5460" t="str">
            <v>Fernandes &amp; Sarot Comercio De Ferramentas Ltda</v>
          </cell>
          <cell r="D5460" t="str">
            <v>Sb Ferramentas</v>
          </cell>
          <cell r="E5460" t="str">
            <v>BR_CNPJ</v>
          </cell>
          <cell r="F5460" t="str">
            <v>26.221.983/0001-80</v>
          </cell>
        </row>
        <row r="5461">
          <cell r="A5461">
            <v>43306</v>
          </cell>
          <cell r="B5461" t="str">
            <v>CORPORATION</v>
          </cell>
          <cell r="C5461" t="str">
            <v>Rodrigo Moreira De Souza Mota 16768429779</v>
          </cell>
          <cell r="D5461" t="str">
            <v>Tesg - Suporte Tecnico E Instalacoes</v>
          </cell>
          <cell r="E5461" t="str">
            <v>BR_CNPJ</v>
          </cell>
          <cell r="F5461" t="str">
            <v>36.533.152/0001-05</v>
          </cell>
        </row>
        <row r="5462">
          <cell r="A5462">
            <v>43309</v>
          </cell>
          <cell r="B5462" t="str">
            <v>CORPORATION</v>
          </cell>
          <cell r="C5462" t="str">
            <v>Construtora Gorutuba - Eireli</v>
          </cell>
          <cell r="D5462" t="str">
            <v>Construtora Gorutuba</v>
          </cell>
          <cell r="E5462" t="str">
            <v>BR_CNPJ</v>
          </cell>
          <cell r="F5462" t="str">
            <v>17.698.723/0001-09</v>
          </cell>
        </row>
        <row r="5463">
          <cell r="A5463">
            <v>43321</v>
          </cell>
          <cell r="B5463" t="str">
            <v>CORPORATION</v>
          </cell>
          <cell r="C5463" t="str">
            <v>Casa Das Serras Comercial Ltda</v>
          </cell>
          <cell r="D5463" t="str">
            <v>Casa Das Serras</v>
          </cell>
          <cell r="E5463" t="str">
            <v>BR_CNPJ</v>
          </cell>
          <cell r="F5463" t="str">
            <v>02.967.761/0009-08</v>
          </cell>
          <cell r="G5463" t="str">
            <v>CASA DAS SERRAS</v>
          </cell>
        </row>
        <row r="5464">
          <cell r="A5464">
            <v>43324</v>
          </cell>
          <cell r="B5464" t="str">
            <v>CORPORATION</v>
          </cell>
          <cell r="C5464" t="str">
            <v>Leroy Merlin Companhia Brasileira De Bricolagem</v>
          </cell>
          <cell r="D5464" t="str">
            <v>0009 Loja Curitiba</v>
          </cell>
          <cell r="E5464" t="str">
            <v>BR_CNPJ</v>
          </cell>
          <cell r="F5464" t="str">
            <v>01.438.784/0010-98</v>
          </cell>
          <cell r="G5464" t="str">
            <v>LEROY MERLIN</v>
          </cell>
        </row>
        <row r="5465">
          <cell r="A5465">
            <v>43329</v>
          </cell>
          <cell r="B5465" t="str">
            <v>CORPORATION</v>
          </cell>
          <cell r="C5465" t="str">
            <v>Bamafix Parafusos E Ferramentas Ltda</v>
          </cell>
          <cell r="D5465" t="str">
            <v>Bamafix</v>
          </cell>
          <cell r="E5465" t="str">
            <v>BR_CNPJ</v>
          </cell>
          <cell r="F5465" t="str">
            <v>21.538.069/0001-43</v>
          </cell>
        </row>
        <row r="5466">
          <cell r="A5466">
            <v>43331</v>
          </cell>
          <cell r="B5466" t="str">
            <v>CORPORATION</v>
          </cell>
          <cell r="C5466" t="str">
            <v>Leroy Merlin Companhia Brasileira De Bricolagem</v>
          </cell>
          <cell r="D5466" t="str">
            <v>0076 Loja Joinville</v>
          </cell>
          <cell r="E5466" t="str">
            <v>BR_CNPJ</v>
          </cell>
          <cell r="F5466" t="str">
            <v>01.438.784/0082-62</v>
          </cell>
          <cell r="G5466" t="str">
            <v>LEROY MERLIN</v>
          </cell>
        </row>
        <row r="5467">
          <cell r="A5467">
            <v>43332</v>
          </cell>
          <cell r="B5467" t="str">
            <v>CORPORATION</v>
          </cell>
          <cell r="C5467" t="str">
            <v>Locatecnica - Assistencia Tecnica De Equipamentos Industriais Ltda</v>
          </cell>
          <cell r="D5467" t="str">
            <v>Locatec</v>
          </cell>
          <cell r="E5467" t="str">
            <v>BR_CNPJ</v>
          </cell>
          <cell r="F5467" t="str">
            <v>07.913.637/0001-18</v>
          </cell>
        </row>
        <row r="5468">
          <cell r="A5468">
            <v>43336</v>
          </cell>
          <cell r="B5468" t="str">
            <v>CORPORATION</v>
          </cell>
          <cell r="C5468" t="str">
            <v>Importe Soldas Comercio Servicos E Representacao Ltda</v>
          </cell>
          <cell r="D5468" t="str">
            <v>Importe Soldas</v>
          </cell>
          <cell r="E5468" t="str">
            <v>BR_CNPJ</v>
          </cell>
          <cell r="F5468" t="str">
            <v>12.248.568/0001-05</v>
          </cell>
        </row>
        <row r="5469">
          <cell r="A5469">
            <v>43342</v>
          </cell>
          <cell r="B5469" t="str">
            <v>CORPORATION</v>
          </cell>
          <cell r="C5469" t="str">
            <v>Emis Comercial Ltda</v>
          </cell>
          <cell r="D5469" t="str">
            <v>Casa Do Lavrador - Loja 03</v>
          </cell>
          <cell r="E5469" t="str">
            <v>BR_CNPJ</v>
          </cell>
          <cell r="F5469" t="str">
            <v>96.668.058/0001-87</v>
          </cell>
        </row>
        <row r="5470">
          <cell r="A5470">
            <v>43349</v>
          </cell>
          <cell r="B5470" t="str">
            <v>CORPORATION</v>
          </cell>
          <cell r="C5470" t="str">
            <v>Wn Comercio De Ferramentas Ltda</v>
          </cell>
          <cell r="D5470" t="str">
            <v>Comercial Wn Ferragens</v>
          </cell>
          <cell r="E5470" t="str">
            <v>BR_CNPJ</v>
          </cell>
          <cell r="F5470" t="str">
            <v>36.862.611/0001-96</v>
          </cell>
        </row>
        <row r="5471">
          <cell r="A5471">
            <v>43350</v>
          </cell>
          <cell r="B5471" t="str">
            <v>CORPORATION</v>
          </cell>
          <cell r="C5471" t="str">
            <v>Supre Comercio E Servicos De Produtos Industriais Eireli</v>
          </cell>
          <cell r="D5471" t="str">
            <v>Supre</v>
          </cell>
          <cell r="E5471" t="str">
            <v>BR_CNPJ</v>
          </cell>
          <cell r="F5471" t="str">
            <v>13.048.639/0001-99</v>
          </cell>
        </row>
        <row r="5472">
          <cell r="A5472">
            <v>43352</v>
          </cell>
          <cell r="B5472" t="str">
            <v>CORPORATION</v>
          </cell>
          <cell r="C5472" t="str">
            <v>L S Rocha Esquadrias E Vidros Ltda</v>
          </cell>
          <cell r="D5472" t="str">
            <v>Serralharia E Vidracaria L S</v>
          </cell>
          <cell r="E5472" t="str">
            <v>BR_CNPJ</v>
          </cell>
          <cell r="F5472" t="str">
            <v>34.887.133/0001-43</v>
          </cell>
        </row>
        <row r="5473">
          <cell r="A5473">
            <v>43355</v>
          </cell>
          <cell r="B5473" t="str">
            <v>CORPORATION</v>
          </cell>
          <cell r="C5473" t="str">
            <v>Biz Engenharia De Seguranca, Industria, Comercio E Manutencao De Equipamentos Eletronicos Eireli</v>
          </cell>
          <cell r="D5473" t="str">
            <v>Biz Engenharia</v>
          </cell>
          <cell r="E5473" t="str">
            <v>BR_CNPJ</v>
          </cell>
          <cell r="F5473" t="str">
            <v>23.199.737/0001-80</v>
          </cell>
        </row>
        <row r="5474">
          <cell r="A5474">
            <v>43357</v>
          </cell>
          <cell r="B5474" t="str">
            <v>CORPORATION</v>
          </cell>
          <cell r="C5474" t="str">
            <v>Special Tools Comercio De Ferramentas Ltda</v>
          </cell>
          <cell r="D5474" t="str">
            <v>Special Tools Comercio De Ferramentas Ltda</v>
          </cell>
          <cell r="E5474" t="str">
            <v>BR_CNPJ</v>
          </cell>
          <cell r="F5474" t="str">
            <v>43.624.721/0001-85</v>
          </cell>
        </row>
        <row r="5475">
          <cell r="A5475">
            <v>43365</v>
          </cell>
          <cell r="B5475" t="str">
            <v>CORPORATION</v>
          </cell>
          <cell r="C5475" t="str">
            <v>D. B. De Souza &amp; Cia Ltda</v>
          </cell>
          <cell r="D5475" t="str">
            <v>Eletroborges</v>
          </cell>
          <cell r="E5475" t="str">
            <v>BR_CNPJ</v>
          </cell>
          <cell r="F5475" t="str">
            <v>10.626.295/0001-60</v>
          </cell>
        </row>
        <row r="5476">
          <cell r="A5476">
            <v>43368</v>
          </cell>
          <cell r="B5476" t="str">
            <v>CORPORATION</v>
          </cell>
          <cell r="C5476" t="str">
            <v>Rhoferaco Comercio De Ferro E Aco Ltda</v>
          </cell>
          <cell r="D5476" t="str">
            <v>Rhoferaco</v>
          </cell>
          <cell r="E5476" t="str">
            <v>BR_CNPJ</v>
          </cell>
          <cell r="F5476" t="str">
            <v>31.239.283/0001-52</v>
          </cell>
        </row>
        <row r="5477">
          <cell r="A5477">
            <v>43371</v>
          </cell>
          <cell r="B5477" t="str">
            <v>CORPORATION</v>
          </cell>
          <cell r="C5477" t="str">
            <v>Comercial Valmag Ltda</v>
          </cell>
          <cell r="D5477" t="str">
            <v>Comercial Valmag</v>
          </cell>
          <cell r="E5477" t="str">
            <v>BR_CNPJ</v>
          </cell>
          <cell r="F5477" t="str">
            <v>02.512.576/0001-63</v>
          </cell>
        </row>
        <row r="5478">
          <cell r="A5478">
            <v>43372</v>
          </cell>
          <cell r="B5478" t="str">
            <v>CORPORATION</v>
          </cell>
          <cell r="C5478" t="str">
            <v>Cooperativa Dos Plantadores De Cana Do Estado Sao Paulo</v>
          </cell>
          <cell r="D5478" t="str">
            <v>Coplacana (Quirinópolis)</v>
          </cell>
          <cell r="E5478" t="str">
            <v>BR_CNPJ</v>
          </cell>
          <cell r="F5478" t="str">
            <v>54.366.547/0032-30</v>
          </cell>
          <cell r="G5478" t="str">
            <v>COPLACANA</v>
          </cell>
        </row>
        <row r="5479">
          <cell r="A5479">
            <v>43374</v>
          </cell>
          <cell r="B5479" t="str">
            <v>CORPORATION</v>
          </cell>
          <cell r="C5479" t="str">
            <v>Cr Solucoes Industriais Ltda</v>
          </cell>
          <cell r="D5479" t="str">
            <v>Cr Solucoes Industriais</v>
          </cell>
          <cell r="E5479" t="str">
            <v>BR_CNPJ</v>
          </cell>
          <cell r="F5479" t="str">
            <v>47.276.058/0001-26</v>
          </cell>
        </row>
        <row r="5480">
          <cell r="A5480">
            <v>43375</v>
          </cell>
          <cell r="B5480" t="str">
            <v>CORPORATION</v>
          </cell>
          <cell r="C5480" t="str">
            <v>Bomdipel Materiais De Construcao Ltda</v>
          </cell>
          <cell r="D5480" t="str">
            <v>Bomdipel Materiais De Construcao</v>
          </cell>
          <cell r="E5480" t="str">
            <v>BR_CNPJ</v>
          </cell>
          <cell r="F5480" t="str">
            <v>13.921.752/0001-37</v>
          </cell>
        </row>
        <row r="5481">
          <cell r="A5481">
            <v>43376</v>
          </cell>
          <cell r="B5481" t="str">
            <v>CORPORATION</v>
          </cell>
          <cell r="C5481" t="str">
            <v>Realwidea Comercio E Representacoes Ltda</v>
          </cell>
          <cell r="D5481" t="str">
            <v>Realwidea Comercio E Representacoes Ltda</v>
          </cell>
          <cell r="E5481" t="str">
            <v>BR_CNPJ</v>
          </cell>
          <cell r="F5481" t="str">
            <v>39.637.509/0001-85</v>
          </cell>
        </row>
        <row r="5482">
          <cell r="A5482">
            <v>43379</v>
          </cell>
          <cell r="B5482" t="str">
            <v>CORPORATION</v>
          </cell>
          <cell r="C5482" t="str">
            <v>Cooperativa Dos Plantadores De Cana Do Estado Sao Paulo</v>
          </cell>
          <cell r="D5482" t="str">
            <v>Coplacana (Jataí)</v>
          </cell>
          <cell r="E5482" t="str">
            <v>BR_CNPJ</v>
          </cell>
          <cell r="F5482" t="str">
            <v>54.366.547/0026-92</v>
          </cell>
          <cell r="G5482" t="str">
            <v>COPLACANA</v>
          </cell>
        </row>
        <row r="5483">
          <cell r="A5483">
            <v>43380</v>
          </cell>
          <cell r="B5483" t="str">
            <v>CORPORATION</v>
          </cell>
          <cell r="C5483" t="str">
            <v>Prado E Louzada Ltda</v>
          </cell>
          <cell r="D5483" t="str">
            <v>Ouro Bombas</v>
          </cell>
          <cell r="E5483" t="str">
            <v>BR_CNPJ</v>
          </cell>
          <cell r="F5483" t="str">
            <v>24.280.518/0001-94</v>
          </cell>
        </row>
        <row r="5484">
          <cell r="A5484">
            <v>43383</v>
          </cell>
          <cell r="B5484" t="str">
            <v>CORPORATION</v>
          </cell>
          <cell r="C5484" t="str">
            <v>Maria Pereira Alves 81854080504</v>
          </cell>
          <cell r="D5484" t="str">
            <v>Maria Pereira Alves</v>
          </cell>
          <cell r="E5484" t="str">
            <v>BR_CNPJ</v>
          </cell>
          <cell r="F5484" t="str">
            <v>24.582.757/0001-07</v>
          </cell>
        </row>
        <row r="5485">
          <cell r="A5485">
            <v>43389</v>
          </cell>
          <cell r="B5485" t="str">
            <v>CORPORATION</v>
          </cell>
          <cell r="C5485" t="str">
            <v>Rafael Eugenio Melare</v>
          </cell>
          <cell r="D5485" t="str">
            <v>Up</v>
          </cell>
          <cell r="E5485" t="str">
            <v>BR_CNPJ</v>
          </cell>
          <cell r="F5485" t="str">
            <v>05.522.218/0001-20</v>
          </cell>
        </row>
        <row r="5486">
          <cell r="A5486">
            <v>43396</v>
          </cell>
          <cell r="B5486" t="str">
            <v>CORPORATION</v>
          </cell>
          <cell r="C5486" t="str">
            <v>Ferragri Ferragens E Ferramentas Ltda</v>
          </cell>
          <cell r="D5486" t="str">
            <v>Ferragri</v>
          </cell>
          <cell r="E5486" t="str">
            <v>BR_CNPJ</v>
          </cell>
          <cell r="F5486" t="str">
            <v>27.596.523/0001-07</v>
          </cell>
        </row>
        <row r="5487">
          <cell r="A5487">
            <v>43399</v>
          </cell>
          <cell r="B5487" t="str">
            <v>CORPORATION</v>
          </cell>
          <cell r="C5487" t="str">
            <v>Tarfil Irrigacao, Maquinas E Ferramentas Ltda</v>
          </cell>
          <cell r="D5487" t="str">
            <v>Tarfil</v>
          </cell>
          <cell r="E5487" t="str">
            <v>BR_CNPJ</v>
          </cell>
          <cell r="F5487" t="str">
            <v>78.056.710/0004-73</v>
          </cell>
          <cell r="G5487" t="str">
            <v>TARFIL</v>
          </cell>
        </row>
        <row r="5488">
          <cell r="A5488">
            <v>43403</v>
          </cell>
          <cell r="B5488" t="str">
            <v>CORPORATION</v>
          </cell>
          <cell r="C5488" t="str">
            <v>Manzo Comercio De Ferramentas E Acessorios Industrias Ltda</v>
          </cell>
          <cell r="D5488" t="str">
            <v>Manzo Comercio De Ferramentas</v>
          </cell>
          <cell r="E5488" t="str">
            <v>BR_CNPJ</v>
          </cell>
          <cell r="F5488" t="str">
            <v>02.669.031/0001-65</v>
          </cell>
        </row>
        <row r="5489">
          <cell r="A5489">
            <v>43406</v>
          </cell>
          <cell r="B5489" t="str">
            <v>CORPORATION</v>
          </cell>
          <cell r="C5489" t="str">
            <v>Casa Das Ferramentas Taboao Ltda</v>
          </cell>
          <cell r="D5489" t="str">
            <v>Casa Das Ferramentas Taboao</v>
          </cell>
          <cell r="E5489" t="str">
            <v>BR_CNPJ</v>
          </cell>
          <cell r="F5489" t="str">
            <v>65.926.552/0001-70</v>
          </cell>
        </row>
        <row r="5490">
          <cell r="A5490">
            <v>43410</v>
          </cell>
          <cell r="B5490" t="str">
            <v>CORPORATION</v>
          </cell>
          <cell r="C5490" t="str">
            <v>W A Comercio E Distribuicao Ltda</v>
          </cell>
          <cell r="D5490" t="str">
            <v>W A Comercio E Distribuicao</v>
          </cell>
          <cell r="E5490" t="str">
            <v>BR_CNPJ</v>
          </cell>
          <cell r="F5490" t="str">
            <v>44.022.355/0001-57</v>
          </cell>
        </row>
        <row r="5491">
          <cell r="A5491">
            <v>43411</v>
          </cell>
          <cell r="B5491" t="str">
            <v>CORPORATION</v>
          </cell>
          <cell r="C5491" t="str">
            <v>Pp Comercio De Ferramentas Ltda</v>
          </cell>
          <cell r="D5491" t="str">
            <v>Pp Ferramentas</v>
          </cell>
          <cell r="E5491" t="str">
            <v>BR_CNPJ</v>
          </cell>
          <cell r="F5491" t="str">
            <v>37.033.418/0001-05</v>
          </cell>
        </row>
        <row r="5492">
          <cell r="A5492">
            <v>43412</v>
          </cell>
          <cell r="B5492" t="str">
            <v>CORPORATION</v>
          </cell>
          <cell r="C5492" t="str">
            <v>Opel Ferramentas E Epis Eireli</v>
          </cell>
          <cell r="D5492" t="str">
            <v>Opel Ferramentas E Epis</v>
          </cell>
          <cell r="E5492" t="str">
            <v>BR_CNPJ</v>
          </cell>
          <cell r="F5492" t="str">
            <v>09.261.250/0001-50</v>
          </cell>
        </row>
        <row r="5493">
          <cell r="A5493">
            <v>43418</v>
          </cell>
          <cell r="B5493" t="str">
            <v>CORPORATION</v>
          </cell>
          <cell r="C5493" t="str">
            <v>Pradomar Comercio De Epis E Ferramentas Ltda</v>
          </cell>
          <cell r="D5493" t="str">
            <v>Pradomar</v>
          </cell>
          <cell r="E5493" t="str">
            <v>BR_CNPJ</v>
          </cell>
          <cell r="F5493" t="str">
            <v>15.586.900/0001-30</v>
          </cell>
        </row>
        <row r="5494">
          <cell r="A5494">
            <v>43423</v>
          </cell>
          <cell r="B5494" t="str">
            <v>CORPORATION</v>
          </cell>
          <cell r="C5494" t="str">
            <v>Kim Ferro E Aco Ltda</v>
          </cell>
          <cell r="D5494" t="str">
            <v>Kim Ferro E Aco Ltda</v>
          </cell>
          <cell r="E5494" t="str">
            <v>BR_CNPJ</v>
          </cell>
          <cell r="F5494" t="str">
            <v>26.471.518/0001-05</v>
          </cell>
        </row>
        <row r="5495">
          <cell r="A5495">
            <v>43425</v>
          </cell>
          <cell r="B5495" t="str">
            <v>CORPORATION</v>
          </cell>
          <cell r="C5495" t="str">
            <v>Acessoldas Comercial Ltda</v>
          </cell>
          <cell r="D5495" t="str">
            <v>Acessoldas Comercial Ltda</v>
          </cell>
          <cell r="E5495" t="str">
            <v>BR_CNPJ</v>
          </cell>
          <cell r="F5495" t="str">
            <v>42.966.226/0001-91</v>
          </cell>
        </row>
        <row r="5496">
          <cell r="A5496">
            <v>43426</v>
          </cell>
          <cell r="B5496" t="str">
            <v>CORPORATION</v>
          </cell>
          <cell r="C5496" t="str">
            <v>Cryonorte Gases Industriais E Medicinais Eireli</v>
          </cell>
          <cell r="D5496" t="str">
            <v>Cryonorte</v>
          </cell>
          <cell r="E5496" t="str">
            <v>BR_CNPJ</v>
          </cell>
          <cell r="F5496" t="str">
            <v>39.612.641/0001-32</v>
          </cell>
        </row>
        <row r="5497">
          <cell r="A5497">
            <v>43438</v>
          </cell>
          <cell r="B5497" t="str">
            <v>CORPORATION</v>
          </cell>
          <cell r="C5497" t="str">
            <v>Chaves &amp; Santana Ltda</v>
          </cell>
          <cell r="D5497" t="str">
            <v>Fercon</v>
          </cell>
          <cell r="E5497" t="str">
            <v>BR_CNPJ</v>
          </cell>
          <cell r="F5497" t="str">
            <v>04.992.381/0001-93</v>
          </cell>
        </row>
        <row r="5498">
          <cell r="A5498">
            <v>43439</v>
          </cell>
          <cell r="B5498" t="str">
            <v>CORPORATION</v>
          </cell>
          <cell r="C5498" t="str">
            <v>A.B.C Maquinas E Ferramentas Ltda</v>
          </cell>
          <cell r="D5498" t="str">
            <v>A.B.C Maquinas</v>
          </cell>
          <cell r="E5498" t="str">
            <v>BR_CNPJ</v>
          </cell>
          <cell r="F5498" t="str">
            <v>71.048.474/0001-51</v>
          </cell>
        </row>
        <row r="5499">
          <cell r="A5499">
            <v>43440</v>
          </cell>
          <cell r="B5499" t="str">
            <v>CORPORATION</v>
          </cell>
          <cell r="C5499" t="str">
            <v>Bgn Ferragens Ltda</v>
          </cell>
          <cell r="D5499" t="str">
            <v>Bgn Ferragens</v>
          </cell>
          <cell r="E5499" t="str">
            <v>BR_CNPJ</v>
          </cell>
          <cell r="F5499" t="str">
            <v>20.337.412/0001-29</v>
          </cell>
        </row>
        <row r="5500">
          <cell r="A5500">
            <v>43442</v>
          </cell>
          <cell r="B5500" t="str">
            <v>CORPORATION</v>
          </cell>
          <cell r="C5500" t="str">
            <v>Martellus Comercio E Aluguel De Maquinas E Ferragens Eireli</v>
          </cell>
          <cell r="D5500" t="str">
            <v>Martellus Maquinas E Ferragens</v>
          </cell>
          <cell r="E5500" t="str">
            <v>BR_CNPJ</v>
          </cell>
          <cell r="F5500" t="str">
            <v>24.416.663/0001-50</v>
          </cell>
        </row>
        <row r="5501">
          <cell r="A5501">
            <v>43446</v>
          </cell>
          <cell r="B5501" t="str">
            <v>CORPORATION</v>
          </cell>
          <cell r="C5501" t="str">
            <v>Odair Jose Schotten</v>
          </cell>
          <cell r="D5501" t="str">
            <v>Agro Schotten Manutencao E Comercio De Maquinas</v>
          </cell>
          <cell r="E5501" t="str">
            <v>BR_CNPJ</v>
          </cell>
          <cell r="F5501" t="str">
            <v>30.371.123/0001-08</v>
          </cell>
        </row>
        <row r="5502">
          <cell r="A5502">
            <v>43450</v>
          </cell>
          <cell r="B5502" t="str">
            <v>CORPORATION</v>
          </cell>
          <cell r="C5502" t="str">
            <v>Rodrigo Antonio Inacio 21795510889</v>
          </cell>
          <cell r="D5502" t="str">
            <v>S R Materiais Para Construcao</v>
          </cell>
          <cell r="E5502" t="str">
            <v>BR_CNPJ</v>
          </cell>
          <cell r="F5502" t="str">
            <v>33.915.594/0001-10</v>
          </cell>
        </row>
        <row r="5503">
          <cell r="A5503">
            <v>43453</v>
          </cell>
          <cell r="B5503" t="str">
            <v>CORPORATION</v>
          </cell>
          <cell r="C5503" t="str">
            <v>D Castro Manutencao Ltda</v>
          </cell>
          <cell r="D5503" t="str">
            <v>D Castro Manutencao</v>
          </cell>
          <cell r="E5503" t="str">
            <v>BR_CNPJ</v>
          </cell>
          <cell r="F5503" t="str">
            <v>35.382.785/0001-99</v>
          </cell>
          <cell r="G5503" t="str">
            <v>D CASTRO</v>
          </cell>
        </row>
        <row r="5504">
          <cell r="A5504">
            <v>43459</v>
          </cell>
          <cell r="B5504" t="str">
            <v>CORPORATION</v>
          </cell>
          <cell r="C5504" t="str">
            <v>Gasman Comercio De Gases Industriais Ltda</v>
          </cell>
          <cell r="D5504" t="str">
            <v>Gasman Comercio De Gases Industriais Ltda</v>
          </cell>
          <cell r="E5504" t="str">
            <v>BR_CNPJ</v>
          </cell>
          <cell r="F5504" t="str">
            <v>03.214.714/0001-90</v>
          </cell>
        </row>
        <row r="5505">
          <cell r="A5505">
            <v>43460</v>
          </cell>
          <cell r="B5505" t="str">
            <v>CORPORATION</v>
          </cell>
          <cell r="C5505" t="str">
            <v>J Neto Silva Campos Filho Ltda</v>
          </cell>
          <cell r="D5505" t="str">
            <v>Metalurgica J N</v>
          </cell>
          <cell r="E5505" t="str">
            <v>BR_CNPJ</v>
          </cell>
          <cell r="F5505" t="str">
            <v>07.340.456/0001-40</v>
          </cell>
        </row>
        <row r="5506">
          <cell r="A5506">
            <v>43461</v>
          </cell>
          <cell r="B5506" t="str">
            <v>CORPORATION</v>
          </cell>
          <cell r="C5506" t="str">
            <v>Acofer Comercio De Ferragens Ltda</v>
          </cell>
          <cell r="D5506" t="str">
            <v>Acofer Comercio De Ferragens Ltda</v>
          </cell>
          <cell r="E5506" t="str">
            <v>BR_CNPJ</v>
          </cell>
          <cell r="F5506" t="str">
            <v>38.135.133/0001-48</v>
          </cell>
        </row>
        <row r="5507">
          <cell r="A5507">
            <v>43463</v>
          </cell>
          <cell r="B5507" t="str">
            <v>CORPORATION</v>
          </cell>
          <cell r="C5507" t="str">
            <v>Flavia Fernanda Cassiano</v>
          </cell>
          <cell r="D5507" t="str">
            <v>S O S Motores</v>
          </cell>
          <cell r="E5507" t="str">
            <v>BR_CNPJ</v>
          </cell>
          <cell r="F5507" t="str">
            <v>04.467.921/0001-10</v>
          </cell>
        </row>
        <row r="5508">
          <cell r="A5508">
            <v>43472</v>
          </cell>
          <cell r="B5508" t="str">
            <v>CORPORATION</v>
          </cell>
          <cell r="C5508" t="str">
            <v>Politone Insumos Para Polimento Industrial E Ferramentas Ltda</v>
          </cell>
          <cell r="D5508" t="str">
            <v>Politone</v>
          </cell>
          <cell r="E5508" t="str">
            <v>BR_CNPJ</v>
          </cell>
          <cell r="F5508" t="str">
            <v>21.081.109/0001-70</v>
          </cell>
        </row>
        <row r="5509">
          <cell r="A5509">
            <v>43477</v>
          </cell>
          <cell r="B5509" t="str">
            <v>CORPORATION</v>
          </cell>
          <cell r="C5509" t="str">
            <v>Nc Ferramentas E Equipamentos De Seguranca Eireli</v>
          </cell>
          <cell r="D5509" t="str">
            <v>Nc Ferramentas E Equipamentos De Seguranca</v>
          </cell>
          <cell r="E5509" t="str">
            <v>BR_CNPJ</v>
          </cell>
          <cell r="F5509" t="str">
            <v>23.633.755/0001-29</v>
          </cell>
        </row>
        <row r="5510">
          <cell r="A5510">
            <v>43478</v>
          </cell>
          <cell r="B5510" t="str">
            <v>CORPORATION</v>
          </cell>
          <cell r="C5510" t="str">
            <v>Potencial Ferro E Aco Ltda</v>
          </cell>
          <cell r="D5510" t="str">
            <v>Potencial Ferro E Aco Ltda</v>
          </cell>
          <cell r="E5510" t="str">
            <v>BR_CNPJ</v>
          </cell>
          <cell r="F5510" t="str">
            <v>27.302.969/0001-73</v>
          </cell>
        </row>
        <row r="5511">
          <cell r="A5511">
            <v>43486</v>
          </cell>
          <cell r="B5511" t="str">
            <v>CORPORATION</v>
          </cell>
          <cell r="C5511" t="str">
            <v>Mbc Comercio De Pecas Para Tratores E Implementos Agricolas - Eireli</v>
          </cell>
          <cell r="D5511" t="str">
            <v>Mbc Comercio De Pecas E Participacoes</v>
          </cell>
          <cell r="E5511" t="str">
            <v>BR_CNPJ</v>
          </cell>
          <cell r="F5511" t="str">
            <v>31.598.882/0001-62</v>
          </cell>
        </row>
        <row r="5512">
          <cell r="A5512">
            <v>43490</v>
          </cell>
          <cell r="B5512" t="str">
            <v>CORPORATION</v>
          </cell>
          <cell r="C5512" t="str">
            <v>Vieira E Martins Comercio De Tintas E Ferragens Ltda</v>
          </cell>
          <cell r="D5512" t="str">
            <v>Espaco Cor E Luz</v>
          </cell>
          <cell r="E5512" t="str">
            <v>BR_CNPJ</v>
          </cell>
          <cell r="F5512" t="str">
            <v>26.335.227/0001-81</v>
          </cell>
        </row>
        <row r="5513">
          <cell r="A5513">
            <v>43492</v>
          </cell>
          <cell r="B5513" t="str">
            <v>CORPORATION</v>
          </cell>
          <cell r="C5513" t="str">
            <v>G. Salton Comercio De Alimentacao Animal Ltda</v>
          </cell>
          <cell r="D5513" t="str">
            <v>G. Salton Comercio De Alimentacao Animal Ltda</v>
          </cell>
          <cell r="E5513" t="str">
            <v>BR_CNPJ</v>
          </cell>
          <cell r="F5513" t="str">
            <v>33.056.686/0001-91</v>
          </cell>
        </row>
        <row r="5514">
          <cell r="A5514">
            <v>43494</v>
          </cell>
          <cell r="B5514" t="str">
            <v>CORPORATION</v>
          </cell>
          <cell r="C5514" t="str">
            <v>Jaucilio Lopes Domingues &amp; Cia Ltda</v>
          </cell>
          <cell r="D5514" t="str">
            <v>Comercial J L Parafusos E Ferragens</v>
          </cell>
          <cell r="E5514" t="str">
            <v>BR_CNPJ</v>
          </cell>
          <cell r="F5514" t="str">
            <v>00.850.267/0001-78</v>
          </cell>
        </row>
        <row r="5515">
          <cell r="A5515">
            <v>43497</v>
          </cell>
          <cell r="B5515" t="str">
            <v>CORPORATION</v>
          </cell>
          <cell r="C5515" t="str">
            <v>Jj Soldas Ferramentas E Equipamentos Industriais Ltda</v>
          </cell>
          <cell r="D5515" t="str">
            <v>Jj Soldas Ferramentas E Equipamentos Industriais Ltda</v>
          </cell>
          <cell r="E5515" t="str">
            <v>BR_CNPJ</v>
          </cell>
          <cell r="F5515" t="str">
            <v>13.332.103/0001-09</v>
          </cell>
        </row>
        <row r="5516">
          <cell r="A5516">
            <v>43502</v>
          </cell>
          <cell r="B5516" t="str">
            <v>CORPORATION</v>
          </cell>
          <cell r="C5516" t="str">
            <v>Armazem Offshore De Macae Comercial E Importadora De Equipamentos Para Petroleo Ltda</v>
          </cell>
          <cell r="D5516" t="str">
            <v>Armazem Offshore De Macae Comercial E Importadora De Equipamentos Para Petroleo Ltda</v>
          </cell>
          <cell r="E5516" t="str">
            <v>BR_CNPJ</v>
          </cell>
          <cell r="F5516" t="str">
            <v>31.383.201/0002-20</v>
          </cell>
          <cell r="G5516" t="str">
            <v>OFFSHORE</v>
          </cell>
        </row>
        <row r="5517">
          <cell r="A5517">
            <v>43505</v>
          </cell>
          <cell r="B5517" t="str">
            <v>CORPORATION</v>
          </cell>
          <cell r="C5517" t="str">
            <v>Proseals Filtros E Vedacoes Ltda</v>
          </cell>
          <cell r="D5517" t="str">
            <v>Proseals Filtros E Vedacoes Ltda</v>
          </cell>
          <cell r="E5517" t="str">
            <v>BR_CNPJ</v>
          </cell>
          <cell r="F5517" t="str">
            <v>18.651.236/0001-53</v>
          </cell>
        </row>
        <row r="5518">
          <cell r="A5518">
            <v>43507</v>
          </cell>
          <cell r="B5518" t="str">
            <v>CORPORATION</v>
          </cell>
          <cell r="C5518" t="str">
            <v>Comercial De Ferragens Cassal Ltda</v>
          </cell>
          <cell r="D5518" t="str">
            <v>Comercial De Ferragens Cassal Ltda</v>
          </cell>
          <cell r="E5518" t="str">
            <v>BR_CNPJ</v>
          </cell>
          <cell r="F5518" t="str">
            <v>43.709.221/0001-46</v>
          </cell>
        </row>
        <row r="5519">
          <cell r="A5519">
            <v>43508</v>
          </cell>
          <cell r="B5519" t="str">
            <v>CORPORATION</v>
          </cell>
          <cell r="C5519" t="str">
            <v>Leroy Merlin Companhia Brasileira De Bricolagem</v>
          </cell>
          <cell r="D5519" t="str">
            <v>0039 Loja São José</v>
          </cell>
          <cell r="E5519" t="str">
            <v>BR_CNPJ</v>
          </cell>
          <cell r="F5519" t="str">
            <v>01.438.784/0044-37</v>
          </cell>
          <cell r="G5519" t="str">
            <v>LEROY MERLIN</v>
          </cell>
        </row>
        <row r="5520">
          <cell r="A5520">
            <v>43512</v>
          </cell>
          <cell r="B5520" t="str">
            <v>CORPORATION</v>
          </cell>
          <cell r="C5520" t="str">
            <v>Nironi Alves De Oliveira &amp; Cia Ltda</v>
          </cell>
          <cell r="D5520" t="str">
            <v>Oliveira Materiais De Construcao</v>
          </cell>
          <cell r="E5520" t="str">
            <v>BR_CNPJ</v>
          </cell>
          <cell r="F5520" t="str">
            <v>26.420.256/0001-41</v>
          </cell>
        </row>
        <row r="5521">
          <cell r="A5521">
            <v>43515</v>
          </cell>
          <cell r="B5521" t="str">
            <v>CORPORATION</v>
          </cell>
          <cell r="C5521" t="str">
            <v>Soldatec Pecas E Servicos Ltda</v>
          </cell>
          <cell r="D5521" t="str">
            <v>Soldatec (Tecnivale)</v>
          </cell>
          <cell r="E5521" t="str">
            <v>BR_CNPJ</v>
          </cell>
          <cell r="F5521" t="str">
            <v>12.675.929/0001-08</v>
          </cell>
          <cell r="G5521" t="str">
            <v>TECNIVALE</v>
          </cell>
        </row>
        <row r="5522">
          <cell r="A5522">
            <v>43518</v>
          </cell>
          <cell r="B5522" t="str">
            <v>CORPORATION</v>
          </cell>
          <cell r="C5522" t="str">
            <v>Unimac Universo Das Maquinas Ltda</v>
          </cell>
          <cell r="D5522" t="str">
            <v>Unimac</v>
          </cell>
          <cell r="E5522" t="str">
            <v>BR_CNPJ</v>
          </cell>
          <cell r="F5522" t="str">
            <v>31.446.358/0001-76</v>
          </cell>
        </row>
        <row r="5523">
          <cell r="A5523">
            <v>43519</v>
          </cell>
          <cell r="B5523" t="str">
            <v>CORPORATION</v>
          </cell>
          <cell r="C5523" t="str">
            <v>A Liga Da Solda - Comercio De Solda E Epis Eireli</v>
          </cell>
          <cell r="D5523" t="str">
            <v>A Liga Da Solda</v>
          </cell>
          <cell r="E5523" t="str">
            <v>BR_CNPJ</v>
          </cell>
          <cell r="F5523" t="str">
            <v>13.506.512/0001-76</v>
          </cell>
        </row>
        <row r="5524">
          <cell r="A5524">
            <v>43528</v>
          </cell>
          <cell r="B5524" t="str">
            <v>CORPORATION</v>
          </cell>
          <cell r="C5524" t="str">
            <v>Material De Construcao Ferreira &amp; Silva Eireli</v>
          </cell>
          <cell r="D5524" t="str">
            <v>Real Ferragens</v>
          </cell>
          <cell r="E5524" t="str">
            <v>BR_CNPJ</v>
          </cell>
          <cell r="F5524" t="str">
            <v>22.054.130/0001-40</v>
          </cell>
        </row>
        <row r="5525">
          <cell r="A5525">
            <v>43529</v>
          </cell>
          <cell r="B5525" t="str">
            <v>CORPORATION</v>
          </cell>
          <cell r="C5525" t="str">
            <v>Vgp Comercio De Materiais Para Construcao Ltda</v>
          </cell>
          <cell r="D5525" t="str">
            <v>Vgp</v>
          </cell>
          <cell r="E5525" t="str">
            <v>BR_CNPJ</v>
          </cell>
          <cell r="F5525" t="str">
            <v>00.852.750/0001-91</v>
          </cell>
        </row>
        <row r="5526">
          <cell r="A5526">
            <v>43531</v>
          </cell>
          <cell r="B5526" t="str">
            <v>CORPORATION</v>
          </cell>
          <cell r="C5526" t="str">
            <v>Casa Yano Ferragens Ltda</v>
          </cell>
          <cell r="D5526" t="str">
            <v>Casa Yano</v>
          </cell>
          <cell r="E5526" t="str">
            <v>BR_CNPJ</v>
          </cell>
          <cell r="F5526" t="str">
            <v>53.448.171/0001-44</v>
          </cell>
        </row>
        <row r="5527">
          <cell r="A5527">
            <v>43535</v>
          </cell>
          <cell r="B5527" t="str">
            <v>CORPORATION</v>
          </cell>
          <cell r="C5527" t="str">
            <v>F A M Maquinas E Ferramentas Ltda</v>
          </cell>
          <cell r="D5527" t="str">
            <v>Casa Da Semente</v>
          </cell>
          <cell r="E5527" t="str">
            <v>BR_CNPJ</v>
          </cell>
          <cell r="F5527" t="str">
            <v>23.149.906/0001-78</v>
          </cell>
        </row>
        <row r="5528">
          <cell r="A5528">
            <v>43536</v>
          </cell>
          <cell r="B5528" t="str">
            <v>CORPORATION</v>
          </cell>
          <cell r="C5528" t="str">
            <v>Mf Agricola Ltda</v>
          </cell>
          <cell r="D5528" t="str">
            <v>M F Agricola</v>
          </cell>
          <cell r="E5528" t="str">
            <v>BR_CNPJ</v>
          </cell>
          <cell r="F5528" t="str">
            <v>35.239.715/0001-86</v>
          </cell>
        </row>
        <row r="5529">
          <cell r="A5529">
            <v>43538</v>
          </cell>
          <cell r="B5529" t="str">
            <v>CORPORATION</v>
          </cell>
          <cell r="C5529" t="str">
            <v>Jessica Catolico Contrajoni 40240499840</v>
          </cell>
          <cell r="D5529" t="str">
            <v>Cts Ferramentas</v>
          </cell>
          <cell r="E5529" t="str">
            <v>BR_CNPJ</v>
          </cell>
          <cell r="F5529" t="str">
            <v>35.561.421/0001-76</v>
          </cell>
        </row>
        <row r="5530">
          <cell r="A5530">
            <v>43541</v>
          </cell>
          <cell r="B5530" t="str">
            <v>CORPORATION</v>
          </cell>
          <cell r="C5530" t="str">
            <v>Leroy Merlin Companhia Brasileira De Bricolagem</v>
          </cell>
          <cell r="D5530" t="str">
            <v>0002 Loja Ribeirão Preto</v>
          </cell>
          <cell r="E5530" t="str">
            <v>BR_CNPJ</v>
          </cell>
          <cell r="F5530" t="str">
            <v>01.438.784/0003-69</v>
          </cell>
          <cell r="G5530" t="str">
            <v>LEROY MERLIN</v>
          </cell>
        </row>
        <row r="5531">
          <cell r="A5531">
            <v>43544</v>
          </cell>
          <cell r="B5531" t="str">
            <v>CORPORATION</v>
          </cell>
          <cell r="C5531" t="str">
            <v>Expresso - Comercio De Materiais Eletricos E Ferragens Ltda</v>
          </cell>
          <cell r="D5531" t="str">
            <v>Expresso - Eletricas &amp; Ferragens</v>
          </cell>
          <cell r="E5531" t="str">
            <v>BR_CNPJ</v>
          </cell>
          <cell r="F5531" t="str">
            <v>13.492.832/0001-14</v>
          </cell>
        </row>
        <row r="5532">
          <cell r="A5532">
            <v>43545</v>
          </cell>
          <cell r="B5532" t="str">
            <v>CORPORATION</v>
          </cell>
          <cell r="C5532" t="str">
            <v>Dayana Delamare Fernandes 36936255817</v>
          </cell>
          <cell r="D5532" t="str">
            <v>Delamare Ferramentas</v>
          </cell>
          <cell r="E5532" t="str">
            <v>BR_CNPJ</v>
          </cell>
          <cell r="F5532" t="str">
            <v>23.526.584/0001-39</v>
          </cell>
        </row>
        <row r="5533">
          <cell r="A5533">
            <v>43546</v>
          </cell>
          <cell r="B5533" t="str">
            <v>CORPORATION</v>
          </cell>
          <cell r="C5533" t="str">
            <v>Leroy Merlin Companhia Brasileira De Bricolagem</v>
          </cell>
          <cell r="D5533" t="str">
            <v>0049 Loja Parnamirim (Natal)</v>
          </cell>
          <cell r="E5533" t="str">
            <v>BR_CNPJ</v>
          </cell>
          <cell r="F5533" t="str">
            <v>01.438.784/0054-09</v>
          </cell>
          <cell r="G5533" t="str">
            <v>LEROY MERLIN</v>
          </cell>
        </row>
        <row r="5534">
          <cell r="A5534">
            <v>43547</v>
          </cell>
          <cell r="B5534" t="str">
            <v>CORPORATION</v>
          </cell>
          <cell r="C5534" t="str">
            <v>Inacio Da Silveira E Guedes Ltda</v>
          </cell>
          <cell r="D5534" t="str">
            <v>Casa Do Serralheiro - Go</v>
          </cell>
          <cell r="E5534" t="str">
            <v>BR_CNPJ</v>
          </cell>
          <cell r="F5534" t="str">
            <v>08.741.047/0001-18</v>
          </cell>
        </row>
        <row r="5535">
          <cell r="A5535">
            <v>43549</v>
          </cell>
          <cell r="B5535" t="str">
            <v>CORPORATION</v>
          </cell>
          <cell r="C5535" t="str">
            <v>Leroy Merlin Companhia Brasileira De Bricolagem</v>
          </cell>
          <cell r="D5535" t="str">
            <v>0034 Loja São José Do Rio Preto</v>
          </cell>
          <cell r="E5535" t="str">
            <v>BR_CNPJ</v>
          </cell>
          <cell r="F5535" t="str">
            <v>01.438.784/0038-99</v>
          </cell>
          <cell r="G5535" t="str">
            <v>LEROY MERLIN</v>
          </cell>
        </row>
        <row r="5536">
          <cell r="A5536">
            <v>43551</v>
          </cell>
          <cell r="B5536" t="str">
            <v>CORPORATION</v>
          </cell>
          <cell r="C5536" t="str">
            <v>Genilson Gonzaga Santos 95356592515</v>
          </cell>
          <cell r="D5536" t="str">
            <v>Genilson Gonzaga Santos</v>
          </cell>
          <cell r="E5536" t="str">
            <v>BR_CNPJ</v>
          </cell>
          <cell r="F5536" t="str">
            <v>17.653.459/0001-97</v>
          </cell>
          <cell r="G5536" t="str">
            <v>GEMAC</v>
          </cell>
        </row>
        <row r="5537">
          <cell r="A5537">
            <v>43554</v>
          </cell>
          <cell r="B5537" t="str">
            <v>CORPORATION</v>
          </cell>
          <cell r="C5537" t="str">
            <v>Rig Suprimentos Offshore Eireli</v>
          </cell>
          <cell r="D5537" t="str">
            <v>Rig Suprimentos</v>
          </cell>
          <cell r="E5537" t="str">
            <v>BR_CNPJ</v>
          </cell>
          <cell r="F5537" t="str">
            <v>21.108.868/0001-80</v>
          </cell>
        </row>
        <row r="5538">
          <cell r="A5538">
            <v>43556</v>
          </cell>
          <cell r="B5538" t="str">
            <v>CORPORATION</v>
          </cell>
          <cell r="C5538" t="str">
            <v>Caio Felipe Ribeiro 30995162875</v>
          </cell>
          <cell r="D5538" t="str">
            <v>Cr Maquinas E Ferramentas</v>
          </cell>
          <cell r="E5538" t="str">
            <v>BR_CNPJ</v>
          </cell>
          <cell r="F5538" t="str">
            <v>37.472.225/0001-50</v>
          </cell>
        </row>
        <row r="5539">
          <cell r="A5539">
            <v>43558</v>
          </cell>
          <cell r="B5539" t="str">
            <v>CORPORATION</v>
          </cell>
          <cell r="C5539" t="str">
            <v>Simeonne Material De Construcao Eireli</v>
          </cell>
          <cell r="D5539" t="str">
            <v>Parafusos Bahia</v>
          </cell>
          <cell r="E5539" t="str">
            <v>BR_CNPJ</v>
          </cell>
          <cell r="F5539" t="str">
            <v>05.798.584/0001-06</v>
          </cell>
        </row>
        <row r="5540">
          <cell r="A5540">
            <v>43565</v>
          </cell>
          <cell r="B5540" t="str">
            <v>CORPORATION</v>
          </cell>
          <cell r="C5540" t="str">
            <v>Comercial Eletrica Wf 01 Eireli</v>
          </cell>
          <cell r="D5540" t="str">
            <v>Comercial Eletrica Wf 01</v>
          </cell>
          <cell r="E5540" t="str">
            <v>BR_CNPJ</v>
          </cell>
          <cell r="F5540" t="str">
            <v>37.377.800/0001-36</v>
          </cell>
          <cell r="G5540" t="str">
            <v>COMERCIAL ELETRICA W.F.</v>
          </cell>
        </row>
        <row r="5541">
          <cell r="A5541">
            <v>43570</v>
          </cell>
          <cell r="B5541" t="str">
            <v>CORPORATION</v>
          </cell>
          <cell r="C5541" t="str">
            <v>C-Jau Comercio De Ferramentas E Parafusos Ltda</v>
          </cell>
          <cell r="D5541" t="str">
            <v>C-Jau2 Comercio De Ferramentas E Parafusos Ltda</v>
          </cell>
          <cell r="E5541" t="str">
            <v>BR_CNPJ</v>
          </cell>
          <cell r="F5541" t="str">
            <v>48.120.752/0002-01</v>
          </cell>
          <cell r="G5541" t="str">
            <v>C-JAU</v>
          </cell>
        </row>
        <row r="5542">
          <cell r="A5542">
            <v>43577</v>
          </cell>
          <cell r="B5542" t="str">
            <v>CORPORATION</v>
          </cell>
          <cell r="C5542" t="str">
            <v>Mayara Evellyn Neves Silva Tavares Ltda</v>
          </cell>
          <cell r="D5542" t="str">
            <v>Master Ferragista</v>
          </cell>
          <cell r="E5542" t="str">
            <v>BR_CNPJ</v>
          </cell>
          <cell r="F5542" t="str">
            <v>54.773.856/0001-29</v>
          </cell>
          <cell r="G5542" t="str">
            <v>MF DISTRIBUIDORA</v>
          </cell>
        </row>
        <row r="5543">
          <cell r="A5543">
            <v>43579</v>
          </cell>
          <cell r="B5543" t="str">
            <v>CORPORATION</v>
          </cell>
          <cell r="C5543" t="str">
            <v>Helio Francisco De Neiva - Grandefix</v>
          </cell>
          <cell r="D5543" t="str">
            <v>Grandefix</v>
          </cell>
          <cell r="E5543" t="str">
            <v>BR_CNPJ</v>
          </cell>
          <cell r="F5543" t="str">
            <v>34.074.512/0001-14</v>
          </cell>
        </row>
        <row r="5544">
          <cell r="A5544">
            <v>43582</v>
          </cell>
          <cell r="B5544" t="str">
            <v>CORPORATION</v>
          </cell>
          <cell r="C5544" t="str">
            <v>Nelson Bispo Dos Santos Junior</v>
          </cell>
          <cell r="D5544" t="str">
            <v>Nelson Ferramentas</v>
          </cell>
          <cell r="E5544" t="str">
            <v>BR_CNPJ</v>
          </cell>
          <cell r="F5544" t="str">
            <v>11.431.412/0001-00</v>
          </cell>
          <cell r="G5544" t="str">
            <v>NELSON FERRAMENTAS</v>
          </cell>
        </row>
        <row r="5545">
          <cell r="A5545">
            <v>43584</v>
          </cell>
          <cell r="B5545" t="str">
            <v>CORPORATION</v>
          </cell>
          <cell r="C5545" t="str">
            <v>Rmv Pecas E Ferramentas Ltda</v>
          </cell>
          <cell r="D5545" t="str">
            <v>Rmv Pecas E Ferramentas</v>
          </cell>
          <cell r="E5545" t="str">
            <v>BR_CNPJ</v>
          </cell>
          <cell r="F5545" t="str">
            <v>42.334.005/0001-09</v>
          </cell>
        </row>
        <row r="5546">
          <cell r="A5546">
            <v>43586</v>
          </cell>
          <cell r="B5546" t="str">
            <v>CORPORATION</v>
          </cell>
          <cell r="C5546" t="str">
            <v>Tecno Pro Parafusos E Ferramentas Eireli</v>
          </cell>
          <cell r="D5546" t="str">
            <v>Tecno Pro</v>
          </cell>
          <cell r="E5546" t="str">
            <v>BR_CNPJ</v>
          </cell>
          <cell r="F5546" t="str">
            <v>30.999.394/0001-02</v>
          </cell>
          <cell r="G5546" t="str">
            <v>TECNO PRO</v>
          </cell>
        </row>
        <row r="5547">
          <cell r="A5547">
            <v>43589</v>
          </cell>
          <cell r="B5547" t="str">
            <v>CORPORATION</v>
          </cell>
          <cell r="C5547" t="str">
            <v>Multicores Comercio De Tintas Ltda</v>
          </cell>
          <cell r="D5547" t="str">
            <v>Multicores</v>
          </cell>
          <cell r="E5547" t="str">
            <v>BR_CNPJ</v>
          </cell>
          <cell r="F5547" t="str">
            <v>08.687.932/0001-66</v>
          </cell>
        </row>
        <row r="5548">
          <cell r="A5548">
            <v>43590</v>
          </cell>
          <cell r="B5548" t="str">
            <v>CORPORATION</v>
          </cell>
          <cell r="C5548" t="str">
            <v>Belle &amp; Toledo Comercio E Representacoes Ltda</v>
          </cell>
          <cell r="D5548" t="str">
            <v>Bt</v>
          </cell>
          <cell r="E5548" t="str">
            <v>BR_CNPJ</v>
          </cell>
          <cell r="F5548" t="str">
            <v>29.018.451/0001-38</v>
          </cell>
        </row>
        <row r="5549">
          <cell r="A5549">
            <v>43600</v>
          </cell>
          <cell r="B5549" t="str">
            <v>CORPORATION</v>
          </cell>
          <cell r="C5549" t="str">
            <v>Equisul Equipamentos E Suprimentos Industriais Ltda</v>
          </cell>
          <cell r="D5549" t="str">
            <v>Equisul Equipamentos</v>
          </cell>
          <cell r="E5549" t="str">
            <v>BR_CNPJ</v>
          </cell>
          <cell r="F5549" t="str">
            <v>54.550.401/0001-44</v>
          </cell>
        </row>
        <row r="5550">
          <cell r="A5550">
            <v>43603</v>
          </cell>
          <cell r="B5550" t="str">
            <v>CORPORATION</v>
          </cell>
          <cell r="C5550" t="str">
            <v>X. Dos R. Pereira</v>
          </cell>
          <cell r="D5550" t="str">
            <v>X. Dos R.</v>
          </cell>
          <cell r="E5550" t="str">
            <v>BR_CNPJ</v>
          </cell>
          <cell r="F5550" t="str">
            <v>20.969.755/0001-06</v>
          </cell>
        </row>
        <row r="5551">
          <cell r="A5551">
            <v>43612</v>
          </cell>
          <cell r="B5551" t="str">
            <v>CORPORATION</v>
          </cell>
          <cell r="C5551" t="str">
            <v>Edl Ro Comercio De Pecas Agricolas Ltda</v>
          </cell>
          <cell r="D5551" t="str">
            <v>Agroparts-Ro Pecas Agricolas</v>
          </cell>
          <cell r="E5551" t="str">
            <v>BR_CNPJ</v>
          </cell>
          <cell r="F5551" t="str">
            <v>31.055.798/0001-00</v>
          </cell>
        </row>
        <row r="5552">
          <cell r="A5552">
            <v>43615</v>
          </cell>
          <cell r="B5552" t="str">
            <v>CORPORATION</v>
          </cell>
          <cell r="C5552" t="str">
            <v>Sosten Sistemas De Irrigacao E Engenharia Ltda</v>
          </cell>
          <cell r="D5552" t="str">
            <v>Sosten Sistemas De Irrigacao E Engenharia Ltda</v>
          </cell>
          <cell r="E5552" t="str">
            <v>BR_CNPJ</v>
          </cell>
          <cell r="F5552" t="str">
            <v>36.491.821/0001-15</v>
          </cell>
        </row>
        <row r="5553">
          <cell r="A5553">
            <v>43617</v>
          </cell>
          <cell r="B5553" t="str">
            <v>CORPORATION</v>
          </cell>
          <cell r="C5553" t="str">
            <v>C.K. Comercio De Ferragens Ltda</v>
          </cell>
          <cell r="D5553" t="str">
            <v>C.K. Comercio De Ferragens Ltda</v>
          </cell>
          <cell r="E5553" t="str">
            <v>BR_CNPJ</v>
          </cell>
          <cell r="F5553" t="str">
            <v>42.152.392/0001-54</v>
          </cell>
        </row>
        <row r="5554">
          <cell r="A5554">
            <v>43619</v>
          </cell>
          <cell r="B5554" t="str">
            <v>CORPORATION</v>
          </cell>
          <cell r="C5554" t="str">
            <v>Antonio Andre Santana 33673360841</v>
          </cell>
          <cell r="D5554" t="str">
            <v>Sanss Ferramentas</v>
          </cell>
          <cell r="E5554" t="str">
            <v>BR_CNPJ</v>
          </cell>
          <cell r="F5554" t="str">
            <v>37.574.892/0001-44</v>
          </cell>
        </row>
        <row r="5555">
          <cell r="A5555">
            <v>43621</v>
          </cell>
          <cell r="B5555" t="str">
            <v>CORPORATION</v>
          </cell>
          <cell r="C5555" t="str">
            <v>Proaco Distribuidora De Ferragens Ltda</v>
          </cell>
          <cell r="D5555" t="str">
            <v>Pro-Aco</v>
          </cell>
          <cell r="E5555" t="str">
            <v>BR_CNPJ</v>
          </cell>
          <cell r="F5555" t="str">
            <v>28.387.635/0001-02</v>
          </cell>
        </row>
        <row r="5556">
          <cell r="A5556">
            <v>43623</v>
          </cell>
          <cell r="B5556" t="str">
            <v>CORPORATION</v>
          </cell>
          <cell r="C5556" t="str">
            <v>Leroy Merlin Companhia Brasileira De Bricolagem</v>
          </cell>
          <cell r="D5556" t="str">
            <v>0024 Loja Lar Center</v>
          </cell>
          <cell r="E5556" t="str">
            <v>BR_CNPJ</v>
          </cell>
          <cell r="F5556" t="str">
            <v>01.438.784/0026-55</v>
          </cell>
          <cell r="G5556" t="str">
            <v>LEROY MERLIN</v>
          </cell>
        </row>
        <row r="5557">
          <cell r="A5557">
            <v>43626</v>
          </cell>
          <cell r="B5557" t="str">
            <v>CORPORATION</v>
          </cell>
          <cell r="C5557" t="str">
            <v>Leroy Merlin Companhia Brasileira De Bricolagem</v>
          </cell>
          <cell r="D5557" t="str">
            <v>0042 Loja Jaguaré</v>
          </cell>
          <cell r="E5557" t="str">
            <v>BR_CNPJ</v>
          </cell>
          <cell r="F5557" t="str">
            <v>01.438.784/0047-80</v>
          </cell>
          <cell r="G5557" t="str">
            <v>LEROY MERLIN</v>
          </cell>
        </row>
        <row r="5558">
          <cell r="A5558">
            <v>43630</v>
          </cell>
          <cell r="B5558" t="str">
            <v>CORPORATION</v>
          </cell>
          <cell r="C5558" t="str">
            <v>Titanium Comércio De Ferragens E Ferramentas Ltda</v>
          </cell>
          <cell r="D5558" t="str">
            <v>Tuuls</v>
          </cell>
          <cell r="E5558" t="str">
            <v>BR_CNPJ</v>
          </cell>
          <cell r="F5558" t="str">
            <v>32.173.849/0001-53</v>
          </cell>
        </row>
        <row r="5559">
          <cell r="A5559">
            <v>43632</v>
          </cell>
          <cell r="B5559" t="str">
            <v>CORPORATION</v>
          </cell>
          <cell r="C5559" t="str">
            <v>Leroy Merlin Companhia Brasileira De Bricolagem</v>
          </cell>
          <cell r="D5559" t="str">
            <v>0012 Loja Morumbi</v>
          </cell>
          <cell r="E5559" t="str">
            <v>BR_CNPJ</v>
          </cell>
          <cell r="F5559" t="str">
            <v>01.438.784/0013-30</v>
          </cell>
          <cell r="G5559" t="str">
            <v>LEROY MERLIN</v>
          </cell>
        </row>
        <row r="5560">
          <cell r="A5560">
            <v>43641</v>
          </cell>
          <cell r="B5560" t="str">
            <v>CORPORATION</v>
          </cell>
          <cell r="C5560" t="str">
            <v>Sr Oficina Comercio Atacadista De Ferragens Ltda</v>
          </cell>
          <cell r="D5560" t="str">
            <v>Sr Oficina E Ferragens</v>
          </cell>
          <cell r="E5560" t="str">
            <v>BR_CNPJ</v>
          </cell>
          <cell r="F5560" t="str">
            <v>22.322.153/0001-98</v>
          </cell>
        </row>
        <row r="5561">
          <cell r="A5561">
            <v>43643</v>
          </cell>
          <cell r="B5561" t="str">
            <v>CORPORATION</v>
          </cell>
          <cell r="C5561" t="str">
            <v>M. M Comercio Varejista De Ferragens</v>
          </cell>
          <cell r="D5561" t="str">
            <v>Shopping Das Ferragens</v>
          </cell>
          <cell r="E5561" t="str">
            <v>BR_CNPJ</v>
          </cell>
          <cell r="F5561" t="str">
            <v>09.627.929/0001-10</v>
          </cell>
          <cell r="G5561" t="str">
            <v>M.M.</v>
          </cell>
        </row>
        <row r="5562">
          <cell r="A5562">
            <v>43645</v>
          </cell>
          <cell r="B5562" t="str">
            <v>CORPORATION</v>
          </cell>
          <cell r="C5562" t="str">
            <v>Rafael Lima Ferragens</v>
          </cell>
          <cell r="D5562" t="str">
            <v>Rafael Lima Ferragens</v>
          </cell>
          <cell r="E5562" t="str">
            <v>BR_CNPJ</v>
          </cell>
          <cell r="F5562" t="str">
            <v>17.463.904/0001-56</v>
          </cell>
        </row>
        <row r="5563">
          <cell r="A5563">
            <v>43648</v>
          </cell>
          <cell r="B5563" t="str">
            <v>CORPORATION</v>
          </cell>
          <cell r="C5563" t="str">
            <v>Central Solda Comercio De Acessorios Industriais - Ltda</v>
          </cell>
          <cell r="D5563" t="str">
            <v>Central Solda Comercio De Acessorios Industriais</v>
          </cell>
          <cell r="E5563" t="str">
            <v>BR_CNPJ</v>
          </cell>
          <cell r="F5563" t="str">
            <v>26.582.472/0001-93</v>
          </cell>
        </row>
        <row r="5564">
          <cell r="A5564">
            <v>43654</v>
          </cell>
          <cell r="B5564" t="str">
            <v>CORPORATION</v>
          </cell>
          <cell r="C5564" t="str">
            <v>Leroy Merlin Companhia Brasileira De Bricolagem</v>
          </cell>
          <cell r="D5564" t="str">
            <v>0005 Loja Raposo Tavares</v>
          </cell>
          <cell r="E5564" t="str">
            <v>BR_CNPJ</v>
          </cell>
          <cell r="F5564" t="str">
            <v>01.438.784/0006-01</v>
          </cell>
          <cell r="G5564" t="str">
            <v>LEROY MERLIN</v>
          </cell>
        </row>
        <row r="5565">
          <cell r="A5565">
            <v>43658</v>
          </cell>
          <cell r="B5565" t="str">
            <v>CORPORATION</v>
          </cell>
          <cell r="C5565" t="str">
            <v>Leroy Merlin Companhia Brasileira De Bricolagem</v>
          </cell>
          <cell r="D5565" t="str">
            <v>0001 Loja Interlagos</v>
          </cell>
          <cell r="E5565" t="str">
            <v>BR_CNPJ</v>
          </cell>
          <cell r="F5565" t="str">
            <v>01.438.784/0002-88</v>
          </cell>
          <cell r="G5565" t="str">
            <v>LEROY MERLIN</v>
          </cell>
        </row>
        <row r="5566">
          <cell r="A5566">
            <v>43662</v>
          </cell>
          <cell r="B5566" t="str">
            <v>CORPORATION</v>
          </cell>
          <cell r="C5566" t="str">
            <v>Denilson Gomes Da Silva Comercio</v>
          </cell>
          <cell r="D5566" t="str">
            <v>Gomes Parafusos</v>
          </cell>
          <cell r="E5566" t="str">
            <v>BR_CNPJ</v>
          </cell>
          <cell r="F5566" t="str">
            <v>31.422.194/0001-47</v>
          </cell>
        </row>
        <row r="5567">
          <cell r="A5567">
            <v>43667</v>
          </cell>
          <cell r="B5567" t="str">
            <v>CORPORATION</v>
          </cell>
          <cell r="C5567" t="str">
            <v>Leroy Merlin Companhia Brasileira De Bricolagem</v>
          </cell>
          <cell r="D5567" t="str">
            <v>0046 Loja Tambore</v>
          </cell>
          <cell r="E5567" t="str">
            <v>BR_CNPJ</v>
          </cell>
          <cell r="F5567" t="str">
            <v>01.438.784/0051-66</v>
          </cell>
          <cell r="G5567" t="str">
            <v>LEROY MERLIN</v>
          </cell>
        </row>
        <row r="5568">
          <cell r="A5568">
            <v>43670</v>
          </cell>
          <cell r="B5568" t="str">
            <v>CORPORATION</v>
          </cell>
          <cell r="C5568" t="str">
            <v>Costa Comercio E Representacoes Ltda</v>
          </cell>
          <cell r="D5568" t="str">
            <v>Costa Comercio E Representacoes Ltda</v>
          </cell>
          <cell r="E5568" t="str">
            <v>BR_CNPJ</v>
          </cell>
          <cell r="F5568" t="str">
            <v>41.182.627/0001-98</v>
          </cell>
        </row>
        <row r="5569">
          <cell r="A5569">
            <v>43671</v>
          </cell>
          <cell r="B5569" t="str">
            <v>CORPORATION</v>
          </cell>
          <cell r="C5569" t="str">
            <v>Telepar Parafusos E Ferramentas Ltda</v>
          </cell>
          <cell r="D5569" t="str">
            <v>Telepar</v>
          </cell>
          <cell r="E5569" t="str">
            <v>BR_CNPJ</v>
          </cell>
          <cell r="F5569" t="str">
            <v>04.753.420/0001-08</v>
          </cell>
          <cell r="G5569" t="str">
            <v>TELEPAR</v>
          </cell>
        </row>
        <row r="5570">
          <cell r="A5570">
            <v>43672</v>
          </cell>
          <cell r="B5570" t="str">
            <v>CORPORATION</v>
          </cell>
          <cell r="C5570" t="str">
            <v>Guiomar Coimbra Dos Santos Costa</v>
          </cell>
          <cell r="D5570" t="str">
            <v>Ferragens Costa</v>
          </cell>
          <cell r="E5570" t="str">
            <v>BR_CNPJ</v>
          </cell>
          <cell r="F5570" t="str">
            <v>07.260.468/0001-64</v>
          </cell>
        </row>
        <row r="5571">
          <cell r="A5571">
            <v>43677</v>
          </cell>
          <cell r="B5571" t="str">
            <v>CORPORATION</v>
          </cell>
          <cell r="C5571" t="str">
            <v>Leroy Merlin Companhia Brasileira De Bricolagem</v>
          </cell>
          <cell r="D5571" t="str">
            <v>0016 Loja Ricardo Jafet</v>
          </cell>
          <cell r="E5571" t="str">
            <v>BR_CNPJ</v>
          </cell>
          <cell r="F5571" t="str">
            <v>01.438.784/0017-64</v>
          </cell>
          <cell r="G5571" t="str">
            <v>LEROY MERLIN</v>
          </cell>
        </row>
        <row r="5572">
          <cell r="A5572">
            <v>43681</v>
          </cell>
          <cell r="B5572" t="str">
            <v>CORPORATION</v>
          </cell>
          <cell r="C5572" t="str">
            <v>Leroy Merlin Companhia Brasileira De Bricolagem</v>
          </cell>
          <cell r="D5572" t="str">
            <v>0045 Loja São Bernardo</v>
          </cell>
          <cell r="E5572" t="str">
            <v>BR_CNPJ</v>
          </cell>
          <cell r="F5572" t="str">
            <v>01.438.784/0050-85</v>
          </cell>
          <cell r="G5572" t="str">
            <v>LEROY MERLIN</v>
          </cell>
        </row>
        <row r="5573">
          <cell r="A5573">
            <v>43682</v>
          </cell>
          <cell r="B5573" t="str">
            <v>CORPORATION</v>
          </cell>
          <cell r="C5573" t="str">
            <v>Denisclei Teixeira De Moura</v>
          </cell>
          <cell r="D5573" t="str">
            <v>Knight Ferramentas (Tora Tora)</v>
          </cell>
          <cell r="E5573" t="str">
            <v>BR_CNPJ</v>
          </cell>
          <cell r="F5573" t="str">
            <v>47.659.455/0001-87</v>
          </cell>
          <cell r="G5573" t="str">
            <v>TORA TORA</v>
          </cell>
        </row>
        <row r="5574">
          <cell r="A5574">
            <v>43684</v>
          </cell>
          <cell r="B5574" t="str">
            <v>CORPORATION</v>
          </cell>
          <cell r="C5574" t="str">
            <v>Leroy Merlin Companhia Brasileira De Bricolagem</v>
          </cell>
          <cell r="D5574" t="str">
            <v>0041 Loja Analia Franco</v>
          </cell>
          <cell r="E5574" t="str">
            <v>BR_CNPJ</v>
          </cell>
          <cell r="F5574" t="str">
            <v>01.438.784/0046-07</v>
          </cell>
          <cell r="G5574" t="str">
            <v>LEROY MERLIN</v>
          </cell>
        </row>
        <row r="5575">
          <cell r="A5575">
            <v>43687</v>
          </cell>
          <cell r="B5575" t="str">
            <v>CORPORATION</v>
          </cell>
          <cell r="C5575" t="str">
            <v>Leroy Merlin Companhia Brasileira De Bricolagem</v>
          </cell>
          <cell r="D5575" t="str">
            <v>0058 Loja Tiete 2</v>
          </cell>
          <cell r="E5575" t="str">
            <v>BR_CNPJ</v>
          </cell>
          <cell r="F5575" t="str">
            <v>01.438.784/0063-08</v>
          </cell>
          <cell r="G5575" t="str">
            <v>LEROY MERLIN</v>
          </cell>
        </row>
        <row r="5576">
          <cell r="A5576">
            <v>43691</v>
          </cell>
          <cell r="B5576" t="str">
            <v>CORPORATION</v>
          </cell>
          <cell r="C5576" t="str">
            <v>A.M.A Ferragens &amp; Esquadrias Ltda</v>
          </cell>
          <cell r="D5576" t="str">
            <v>Camilo Ferragens &amp; Esquadrias</v>
          </cell>
          <cell r="E5576" t="str">
            <v>BR_CNPJ</v>
          </cell>
          <cell r="F5576" t="str">
            <v>42.010.915/0001-28</v>
          </cell>
        </row>
        <row r="5577">
          <cell r="A5577">
            <v>43692</v>
          </cell>
          <cell r="B5577" t="str">
            <v>CORPORATION</v>
          </cell>
          <cell r="C5577" t="str">
            <v>Leroy Merlin Companhia Brasileira De Bricolagem</v>
          </cell>
          <cell r="D5577" t="str">
            <v>0055 Loja Taubate</v>
          </cell>
          <cell r="E5577" t="str">
            <v>BR_CNPJ</v>
          </cell>
          <cell r="F5577" t="str">
            <v>01.438.784/0060-57</v>
          </cell>
          <cell r="G5577" t="str">
            <v>LEROY MERLIN</v>
          </cell>
        </row>
        <row r="5578">
          <cell r="A5578">
            <v>43695</v>
          </cell>
          <cell r="B5578" t="str">
            <v>CORPORATION</v>
          </cell>
          <cell r="C5578" t="str">
            <v>Leroy Merlin Companhia Brasileira De Bricolagem</v>
          </cell>
          <cell r="D5578" t="str">
            <v>0027 Loja Sorocaba</v>
          </cell>
          <cell r="E5578" t="str">
            <v>BR_CNPJ</v>
          </cell>
          <cell r="F5578" t="str">
            <v>01.438.784/0031-12</v>
          </cell>
          <cell r="G5578" t="str">
            <v>LEROY MERLIN</v>
          </cell>
        </row>
        <row r="5579">
          <cell r="A5579">
            <v>43696</v>
          </cell>
          <cell r="B5579" t="str">
            <v>CORPORATION</v>
          </cell>
          <cell r="C5579" t="str">
            <v>Cifel Ferramentaria Civil E Industrial Ltda</v>
          </cell>
          <cell r="D5579" t="str">
            <v>Cifel</v>
          </cell>
          <cell r="E5579" t="str">
            <v>BR_CNPJ</v>
          </cell>
          <cell r="F5579" t="str">
            <v>07.028.221/0001-17</v>
          </cell>
        </row>
        <row r="5580">
          <cell r="A5580">
            <v>43698</v>
          </cell>
          <cell r="B5580" t="str">
            <v>CORPORATION</v>
          </cell>
          <cell r="C5580" t="str">
            <v>Leroy Merlin Companhia Brasileira De Bricolagem</v>
          </cell>
          <cell r="D5580" t="str">
            <v>0015 Loja São Jose Dos Campos</v>
          </cell>
          <cell r="E5580" t="str">
            <v>BR_CNPJ</v>
          </cell>
          <cell r="F5580" t="str">
            <v>01.438.784/0016-83</v>
          </cell>
          <cell r="G5580" t="str">
            <v>LEROY MERLIN</v>
          </cell>
        </row>
        <row r="5581">
          <cell r="A5581">
            <v>43704</v>
          </cell>
          <cell r="B5581" t="str">
            <v>CORPORATION</v>
          </cell>
          <cell r="C5581" t="str">
            <v>Leroy Merlin Companhia Brasileira De Bricolagem</v>
          </cell>
          <cell r="D5581" t="str">
            <v>0023 Loja Taguatinga</v>
          </cell>
          <cell r="E5581" t="str">
            <v>BR_CNPJ</v>
          </cell>
          <cell r="F5581" t="str">
            <v>01.438.784/0025-74</v>
          </cell>
          <cell r="G5581" t="str">
            <v>LEROY MERLIN</v>
          </cell>
        </row>
        <row r="5582">
          <cell r="A5582">
            <v>43710</v>
          </cell>
          <cell r="B5582" t="str">
            <v>CORPORATION</v>
          </cell>
          <cell r="C5582" t="str">
            <v>Morais Eletromakinas Ferramentas Eletricas Ltda</v>
          </cell>
          <cell r="D5582" t="str">
            <v>Morais Eletromakinas</v>
          </cell>
          <cell r="E5582" t="str">
            <v>BR_CNPJ</v>
          </cell>
          <cell r="F5582" t="str">
            <v>17.454.813/0001-54</v>
          </cell>
        </row>
        <row r="5583">
          <cell r="A5583">
            <v>43715</v>
          </cell>
          <cell r="B5583" t="str">
            <v>CORPORATION</v>
          </cell>
          <cell r="C5583" t="str">
            <v>Leroy Merlin Companhia Brasileira De Bricolagem</v>
          </cell>
          <cell r="D5583" t="str">
            <v>0044 Loja Campo Grande</v>
          </cell>
          <cell r="E5583" t="str">
            <v>BR_CNPJ</v>
          </cell>
          <cell r="F5583" t="str">
            <v>01.438.784/0049-41</v>
          </cell>
          <cell r="G5583" t="str">
            <v>LEROY MERLIN</v>
          </cell>
        </row>
        <row r="5584">
          <cell r="A5584">
            <v>43726</v>
          </cell>
          <cell r="B5584" t="str">
            <v>CORPORATION</v>
          </cell>
          <cell r="C5584" t="str">
            <v>Materiais De Construcao Radulski Ltda</v>
          </cell>
          <cell r="D5584" t="str">
            <v>Comercial Radulski</v>
          </cell>
          <cell r="E5584" t="str">
            <v>BR_CNPJ</v>
          </cell>
          <cell r="F5584" t="str">
            <v>78.470.366/0001-11</v>
          </cell>
        </row>
        <row r="5585">
          <cell r="A5585">
            <v>43727</v>
          </cell>
          <cell r="B5585" t="str">
            <v>CORPORATION</v>
          </cell>
          <cell r="C5585" t="str">
            <v>Leroy Merlin Companhia Brasileira De Bricolagem</v>
          </cell>
          <cell r="D5585" t="str">
            <v>0019 Loja Porto Alegre</v>
          </cell>
          <cell r="E5585" t="str">
            <v>BR_CNPJ</v>
          </cell>
          <cell r="F5585" t="str">
            <v>01.438.784/0020-60</v>
          </cell>
          <cell r="G5585" t="str">
            <v>LEROY MERLIN</v>
          </cell>
        </row>
        <row r="5586">
          <cell r="A5586">
            <v>43730</v>
          </cell>
          <cell r="B5586" t="str">
            <v>CORPORATION</v>
          </cell>
          <cell r="C5586" t="str">
            <v>Leroy Merlin Companhia Brasileira De Bricolagem</v>
          </cell>
          <cell r="D5586" t="str">
            <v>0035 Loja Curitiba Atuba</v>
          </cell>
          <cell r="E5586" t="str">
            <v>BR_CNPJ</v>
          </cell>
          <cell r="F5586" t="str">
            <v>01.438.784/0039-70</v>
          </cell>
          <cell r="G5586" t="str">
            <v>LEROY MERLIN</v>
          </cell>
        </row>
        <row r="5587">
          <cell r="A5587">
            <v>43734</v>
          </cell>
          <cell r="B5587" t="str">
            <v>CORPORATION</v>
          </cell>
          <cell r="C5587" t="str">
            <v>Maicon Geovani Pereira</v>
          </cell>
          <cell r="D5587" t="str">
            <v>Agrow Maike</v>
          </cell>
          <cell r="E5587" t="str">
            <v>BR_CNPJ</v>
          </cell>
          <cell r="F5587" t="str">
            <v>24.113.863/0001-33</v>
          </cell>
        </row>
        <row r="5588">
          <cell r="A5588">
            <v>43735</v>
          </cell>
          <cell r="B5588" t="str">
            <v>CORPORATION</v>
          </cell>
          <cell r="C5588" t="str">
            <v>Shop Do Construtor Ferragista Ltda</v>
          </cell>
          <cell r="D5588" t="str">
            <v>Shop Do Construtor Ferragista</v>
          </cell>
          <cell r="E5588" t="str">
            <v>BR_CNPJ</v>
          </cell>
          <cell r="F5588" t="str">
            <v>05.068.345/0001-09</v>
          </cell>
        </row>
        <row r="5589">
          <cell r="A5589">
            <v>43736</v>
          </cell>
          <cell r="B5589" t="str">
            <v>CORPORATION</v>
          </cell>
          <cell r="C5589" t="str">
            <v>Arcana Industria E Comercio Ltda</v>
          </cell>
          <cell r="D5589" t="str">
            <v>Arcana Industria De Maquinas</v>
          </cell>
          <cell r="E5589" t="str">
            <v>BR_CNPJ</v>
          </cell>
          <cell r="F5589" t="str">
            <v>29.142.368/0001-76</v>
          </cell>
        </row>
        <row r="5590">
          <cell r="A5590">
            <v>43739</v>
          </cell>
          <cell r="B5590" t="str">
            <v>CORPORATION</v>
          </cell>
          <cell r="C5590" t="str">
            <v>Leroy Merlin Companhia Brasileira De Bricolagem</v>
          </cell>
          <cell r="D5590" t="str">
            <v>0013 Loja Brasilia Sul</v>
          </cell>
          <cell r="E5590" t="str">
            <v>BR_CNPJ</v>
          </cell>
          <cell r="F5590" t="str">
            <v>01.438.784/0014-11</v>
          </cell>
          <cell r="G5590" t="str">
            <v>LEROY MERLIN</v>
          </cell>
        </row>
        <row r="5591">
          <cell r="A5591">
            <v>43743</v>
          </cell>
          <cell r="B5591" t="str">
            <v>CORPORATION</v>
          </cell>
          <cell r="C5591" t="str">
            <v>Sampa Ferramentas E Maquinas Ltda</v>
          </cell>
          <cell r="D5591" t="str">
            <v>Sampa Ferramentas</v>
          </cell>
          <cell r="E5591" t="str">
            <v>BR_CNPJ</v>
          </cell>
          <cell r="F5591" t="str">
            <v>96.184.650/0001-03</v>
          </cell>
          <cell r="G5591" t="str">
            <v>SAMPA</v>
          </cell>
        </row>
        <row r="5592">
          <cell r="A5592">
            <v>43745</v>
          </cell>
          <cell r="B5592" t="str">
            <v>CORPORATION</v>
          </cell>
          <cell r="C5592" t="str">
            <v>Equipcorte Equipamentos Rp Eireli</v>
          </cell>
          <cell r="D5592" t="str">
            <v>Equipcorte</v>
          </cell>
          <cell r="E5592" t="str">
            <v>BR_CNPJ</v>
          </cell>
          <cell r="F5592" t="str">
            <v>32.068.027/0001-02</v>
          </cell>
        </row>
        <row r="5593">
          <cell r="A5593">
            <v>43747</v>
          </cell>
          <cell r="B5593" t="str">
            <v>CORPORATION</v>
          </cell>
          <cell r="C5593" t="str">
            <v>Rodrigues E Pires Comercial E Locadora Ltda</v>
          </cell>
          <cell r="D5593" t="str">
            <v>Loccel</v>
          </cell>
          <cell r="E5593" t="str">
            <v>BR_CNPJ</v>
          </cell>
          <cell r="F5593" t="str">
            <v>04.327.895/0001-24</v>
          </cell>
        </row>
        <row r="5594">
          <cell r="A5594">
            <v>43750</v>
          </cell>
          <cell r="B5594" t="str">
            <v>CORPORATION</v>
          </cell>
          <cell r="C5594" t="str">
            <v>Leroy Merlin Companhia Brasileira De Bricolagem</v>
          </cell>
          <cell r="D5594" t="str">
            <v>0028 Loja Brasilia Norte</v>
          </cell>
          <cell r="E5594" t="str">
            <v>BR_CNPJ</v>
          </cell>
          <cell r="F5594" t="str">
            <v>01.438.784/0032-01</v>
          </cell>
          <cell r="G5594" t="str">
            <v>LEROY MERLIN</v>
          </cell>
        </row>
        <row r="5595">
          <cell r="A5595">
            <v>43760</v>
          </cell>
          <cell r="B5595" t="str">
            <v>CORPORATION</v>
          </cell>
          <cell r="C5595" t="str">
            <v>Leroy Merlin Companhia Brasileira De Bricolagem</v>
          </cell>
          <cell r="D5595" t="str">
            <v>0033 Loja Londrina</v>
          </cell>
          <cell r="E5595" t="str">
            <v>BR_CNPJ</v>
          </cell>
          <cell r="F5595" t="str">
            <v>01.438.784/0037-08</v>
          </cell>
          <cell r="G5595" t="str">
            <v>LEROY MERLIN</v>
          </cell>
        </row>
        <row r="5596">
          <cell r="A5596">
            <v>43763</v>
          </cell>
          <cell r="B5596" t="str">
            <v>CORPORATION</v>
          </cell>
          <cell r="C5596" t="str">
            <v>Leroy Merlin Companhia Brasileira De Bricolagem</v>
          </cell>
          <cell r="D5596" t="str">
            <v>0018 Loja Goiania</v>
          </cell>
          <cell r="E5596" t="str">
            <v>BR_CNPJ</v>
          </cell>
          <cell r="F5596" t="str">
            <v>01.438.784/0019-26</v>
          </cell>
          <cell r="G5596" t="str">
            <v>LEROY MERLIN</v>
          </cell>
        </row>
        <row r="5597">
          <cell r="A5597">
            <v>43767</v>
          </cell>
          <cell r="B5597" t="str">
            <v>CORPORATION</v>
          </cell>
          <cell r="C5597" t="str">
            <v>Finotti Comercio De Ferramentas Ltda</v>
          </cell>
          <cell r="D5597" t="str">
            <v>Finotti Epi Ferramentas</v>
          </cell>
          <cell r="E5597" t="str">
            <v>BR_CNPJ</v>
          </cell>
          <cell r="F5597" t="str">
            <v>28.337.143/0001-02</v>
          </cell>
          <cell r="G5597" t="str">
            <v>FINOTTI</v>
          </cell>
        </row>
        <row r="5598">
          <cell r="A5598">
            <v>43777</v>
          </cell>
          <cell r="B5598" t="str">
            <v>CORPORATION</v>
          </cell>
          <cell r="C5598" t="str">
            <v>Leroy Merlin Companhia Brasileira De Bricolagem</v>
          </cell>
          <cell r="D5598" t="str">
            <v>0010 Loja Sao Caetano Do Sul</v>
          </cell>
          <cell r="E5598" t="str">
            <v>BR_CNPJ</v>
          </cell>
          <cell r="F5598" t="str">
            <v>01.438.784/0011-79</v>
          </cell>
          <cell r="G5598" t="str">
            <v>LEROY MERLIN</v>
          </cell>
        </row>
        <row r="5599">
          <cell r="A5599">
            <v>43780</v>
          </cell>
          <cell r="B5599" t="str">
            <v>CORPORATION</v>
          </cell>
          <cell r="C5599" t="str">
            <v>Leroy Merlin Companhia Brasileira De Bricolagem</v>
          </cell>
          <cell r="D5599" t="str">
            <v>0036 Loja Bh Norte</v>
          </cell>
          <cell r="E5599" t="str">
            <v>BR_CNPJ</v>
          </cell>
          <cell r="F5599" t="str">
            <v>01.438.784/0040-03</v>
          </cell>
          <cell r="G5599" t="str">
            <v>LEROY MERLIN</v>
          </cell>
        </row>
        <row r="5600">
          <cell r="A5600">
            <v>43789</v>
          </cell>
          <cell r="B5600" t="str">
            <v>CORPORATION</v>
          </cell>
          <cell r="C5600" t="str">
            <v>Sp Flex Mangueiras E Ferramentas Eireli</v>
          </cell>
          <cell r="D5600" t="str">
            <v>Spflex Mangueiras E Ferramentas</v>
          </cell>
          <cell r="E5600" t="str">
            <v>BR_CNPJ</v>
          </cell>
          <cell r="F5600" t="str">
            <v>29.054.802/0001-66</v>
          </cell>
        </row>
        <row r="5601">
          <cell r="A5601">
            <v>43793</v>
          </cell>
          <cell r="B5601" t="str">
            <v>CORPORATION</v>
          </cell>
          <cell r="C5601" t="str">
            <v>Bmb Material De Construcao S.A.</v>
          </cell>
          <cell r="D5601" t="str">
            <v>Obramax Guadalupe</v>
          </cell>
          <cell r="E5601" t="str">
            <v>BR_CNPJ</v>
          </cell>
          <cell r="F5601" t="str">
            <v>23.476.033/0017-75</v>
          </cell>
          <cell r="G5601" t="str">
            <v>OBRAMAX</v>
          </cell>
        </row>
        <row r="5602">
          <cell r="A5602">
            <v>43800</v>
          </cell>
          <cell r="B5602" t="str">
            <v>CORPORATION</v>
          </cell>
          <cell r="C5602" t="str">
            <v>R D Distribuidora E Ferragista Ltda</v>
          </cell>
          <cell r="D5602" t="str">
            <v>R D Distribuidora</v>
          </cell>
          <cell r="E5602" t="str">
            <v>BR_CNPJ</v>
          </cell>
          <cell r="F5602" t="str">
            <v>31.377.178/0001-80</v>
          </cell>
        </row>
        <row r="5603">
          <cell r="A5603">
            <v>43801</v>
          </cell>
          <cell r="B5603" t="str">
            <v>CORPORATION</v>
          </cell>
          <cell r="C5603" t="str">
            <v>R. C. Comercio De Parafusos E Pecas Eireli</v>
          </cell>
          <cell r="D5603" t="str">
            <v>Mundo Dos Parafusos</v>
          </cell>
          <cell r="E5603" t="str">
            <v>BR_CNPJ</v>
          </cell>
          <cell r="F5603" t="str">
            <v>24.889.187/0001-94</v>
          </cell>
        </row>
        <row r="5604">
          <cell r="A5604">
            <v>43805</v>
          </cell>
          <cell r="B5604" t="str">
            <v>CORPORATION</v>
          </cell>
          <cell r="C5604" t="str">
            <v>Braga &amp; Pretel Ltda</v>
          </cell>
          <cell r="D5604" t="str">
            <v>Alicatao Comercio De Ferramentas</v>
          </cell>
          <cell r="E5604" t="str">
            <v>BR_CNPJ</v>
          </cell>
          <cell r="F5604" t="str">
            <v>29.849.352/0001-06</v>
          </cell>
        </row>
        <row r="5605">
          <cell r="A5605">
            <v>43808</v>
          </cell>
          <cell r="B5605" t="str">
            <v>CORPORATION</v>
          </cell>
          <cell r="C5605" t="str">
            <v>Oximais Comercial Ltda</v>
          </cell>
          <cell r="D5605" t="str">
            <v>Oximais Comercial Ltda</v>
          </cell>
          <cell r="E5605" t="str">
            <v>BR_CNPJ</v>
          </cell>
          <cell r="F5605" t="str">
            <v>10.863.034/0001-63</v>
          </cell>
        </row>
        <row r="5606">
          <cell r="A5606">
            <v>43815</v>
          </cell>
          <cell r="B5606" t="str">
            <v>CORPORATION</v>
          </cell>
          <cell r="C5606" t="str">
            <v>Leroy Merlin Companhia Brasileira De Bricolagem</v>
          </cell>
          <cell r="D5606" t="str">
            <v>0050 Loja Maceio</v>
          </cell>
          <cell r="E5606" t="str">
            <v>BR_CNPJ</v>
          </cell>
          <cell r="F5606" t="str">
            <v>01.438.784/0055-90</v>
          </cell>
          <cell r="G5606" t="str">
            <v>LEROY MERLIN</v>
          </cell>
        </row>
        <row r="5607">
          <cell r="A5607">
            <v>43824</v>
          </cell>
          <cell r="B5607" t="str">
            <v>CORPORATION</v>
          </cell>
          <cell r="C5607" t="str">
            <v>Leroy Merlin Companhia Brasileira De Bricolagem</v>
          </cell>
          <cell r="D5607" t="str">
            <v>0057 Loja Vitoria</v>
          </cell>
          <cell r="E5607" t="str">
            <v>BR_CNPJ</v>
          </cell>
          <cell r="F5607" t="str">
            <v>01.438.784/0062-19</v>
          </cell>
          <cell r="G5607" t="str">
            <v>LEROY MERLIN</v>
          </cell>
        </row>
        <row r="5608">
          <cell r="A5608">
            <v>43827</v>
          </cell>
          <cell r="B5608" t="str">
            <v>CORPORATION</v>
          </cell>
          <cell r="C5608" t="str">
            <v>Gr Rolamentos E Acessorios Ltda</v>
          </cell>
          <cell r="D5608" t="str">
            <v>Gr Rolamentos E Acessorios</v>
          </cell>
          <cell r="E5608" t="str">
            <v>BR_CNPJ</v>
          </cell>
          <cell r="F5608" t="str">
            <v>35.905.114/0001-65</v>
          </cell>
        </row>
        <row r="5609">
          <cell r="A5609">
            <v>43828</v>
          </cell>
          <cell r="B5609" t="str">
            <v>CORPORATION</v>
          </cell>
          <cell r="C5609" t="str">
            <v>Leroy Merlin Companhia Brasileira De Bricolagem</v>
          </cell>
          <cell r="D5609" t="str">
            <v>0017 Loja Bangu</v>
          </cell>
          <cell r="E5609" t="str">
            <v>BR_CNPJ</v>
          </cell>
          <cell r="F5609" t="str">
            <v>01.438.784/0018-45</v>
          </cell>
          <cell r="G5609" t="str">
            <v>LEROY MERLIN</v>
          </cell>
        </row>
        <row r="5610">
          <cell r="A5610">
            <v>43832</v>
          </cell>
          <cell r="B5610" t="str">
            <v>CORPORATION</v>
          </cell>
          <cell r="C5610" t="str">
            <v>Leroy Merlin Companhia Brasileira De Bricolagem</v>
          </cell>
          <cell r="D5610" t="str">
            <v>0021 Loja Niteroi</v>
          </cell>
          <cell r="E5610" t="str">
            <v>BR_CNPJ</v>
          </cell>
          <cell r="F5610" t="str">
            <v>01.438.784/0023-02</v>
          </cell>
          <cell r="G5610" t="str">
            <v>LEROY MERLIN</v>
          </cell>
        </row>
        <row r="5611">
          <cell r="A5611">
            <v>43835</v>
          </cell>
          <cell r="B5611" t="str">
            <v>CORPORATION</v>
          </cell>
          <cell r="C5611" t="str">
            <v>Hastens Ferramentas Eireli</v>
          </cell>
          <cell r="D5611" t="str">
            <v>Sapphire Tools Import E Export</v>
          </cell>
          <cell r="E5611" t="str">
            <v>BR_CNPJ</v>
          </cell>
          <cell r="F5611" t="str">
            <v>24.668.481/0001-76</v>
          </cell>
          <cell r="G5611" t="str">
            <v>SA TOOLS</v>
          </cell>
        </row>
        <row r="5612">
          <cell r="A5612">
            <v>43838</v>
          </cell>
          <cell r="B5612" t="str">
            <v>CORPORATION</v>
          </cell>
          <cell r="C5612" t="str">
            <v>Diego Silva Campos</v>
          </cell>
          <cell r="D5612" t="str">
            <v>Parafusauto Comercio De Parafusos</v>
          </cell>
          <cell r="E5612" t="str">
            <v>BR_CNPJ</v>
          </cell>
          <cell r="F5612" t="str">
            <v>08.789.842/0001-86</v>
          </cell>
        </row>
        <row r="5613">
          <cell r="A5613">
            <v>43845</v>
          </cell>
          <cell r="B5613" t="str">
            <v>CORPORATION</v>
          </cell>
          <cell r="C5613" t="str">
            <v>Dilemos Pecas Ltda</v>
          </cell>
          <cell r="D5613" t="str">
            <v>Dismil</v>
          </cell>
          <cell r="E5613" t="str">
            <v>BR_CNPJ</v>
          </cell>
          <cell r="F5613" t="str">
            <v>05.461.983/0001-87</v>
          </cell>
        </row>
        <row r="5614">
          <cell r="A5614">
            <v>43852</v>
          </cell>
          <cell r="B5614" t="str">
            <v>CORPORATION</v>
          </cell>
          <cell r="C5614" t="str">
            <v>Ed Carlos De Barros</v>
          </cell>
          <cell r="D5614" t="str">
            <v>Casa Dos Parafusos Ed Vil</v>
          </cell>
          <cell r="E5614" t="str">
            <v>BR_CNPJ</v>
          </cell>
          <cell r="F5614" t="str">
            <v>09.117.017/0001-06</v>
          </cell>
        </row>
        <row r="5615">
          <cell r="A5615">
            <v>43855</v>
          </cell>
          <cell r="B5615" t="str">
            <v>CORPORATION</v>
          </cell>
          <cell r="C5615" t="str">
            <v>Buriti Parafusos Ltda</v>
          </cell>
          <cell r="D5615" t="str">
            <v>Buriti Parafusos</v>
          </cell>
          <cell r="E5615" t="str">
            <v>BR_CNPJ</v>
          </cell>
          <cell r="F5615" t="str">
            <v>04.614.430/0001-54</v>
          </cell>
        </row>
        <row r="5616">
          <cell r="A5616">
            <v>43860</v>
          </cell>
          <cell r="B5616" t="str">
            <v>CORPORATION</v>
          </cell>
          <cell r="C5616" t="str">
            <v>Recautec Produtos Pneumaticos Ltda</v>
          </cell>
          <cell r="D5616" t="str">
            <v>Recautec Produtos Pneumaticos Ltda</v>
          </cell>
          <cell r="E5616" t="str">
            <v>BR_CNPJ</v>
          </cell>
          <cell r="F5616" t="str">
            <v>15.814.588/0002-75</v>
          </cell>
          <cell r="G5616" t="str">
            <v>RECAUTEC</v>
          </cell>
        </row>
        <row r="5617">
          <cell r="A5617">
            <v>43866</v>
          </cell>
          <cell r="B5617" t="str">
            <v>CORPORATION</v>
          </cell>
          <cell r="C5617" t="str">
            <v>Macae Auto Pecas Ltda</v>
          </cell>
          <cell r="D5617" t="str">
            <v>Macae Auto Pecas</v>
          </cell>
          <cell r="E5617" t="str">
            <v>BR_CNPJ</v>
          </cell>
          <cell r="F5617" t="str">
            <v>29.690.179/0001-38</v>
          </cell>
        </row>
        <row r="5618">
          <cell r="A5618">
            <v>43867</v>
          </cell>
          <cell r="B5618" t="str">
            <v>CORPORATION</v>
          </cell>
          <cell r="C5618" t="str">
            <v>Riomaq Maquinas E Ferramentas Ltda</v>
          </cell>
          <cell r="D5618" t="str">
            <v>Riomaq</v>
          </cell>
          <cell r="E5618" t="str">
            <v>BR_CNPJ</v>
          </cell>
          <cell r="F5618" t="str">
            <v>29.459.843/0001-32</v>
          </cell>
        </row>
        <row r="5619">
          <cell r="A5619">
            <v>43869</v>
          </cell>
          <cell r="B5619" t="str">
            <v>CORPORATION</v>
          </cell>
          <cell r="C5619" t="str">
            <v>Eletro Ferragens Guaratuba Ltda</v>
          </cell>
          <cell r="D5619" t="str">
            <v>Eletrolar</v>
          </cell>
          <cell r="E5619" t="str">
            <v>BR_CNPJ</v>
          </cell>
          <cell r="F5619" t="str">
            <v>97.324.206/0001-09</v>
          </cell>
          <cell r="G5619" t="str">
            <v>ELETROLAR</v>
          </cell>
        </row>
        <row r="5620">
          <cell r="A5620">
            <v>43878</v>
          </cell>
          <cell r="B5620" t="str">
            <v>CORPORATION</v>
          </cell>
          <cell r="C5620" t="str">
            <v>Gagliardi &amp; Lopez Ltda</v>
          </cell>
          <cell r="D5620" t="str">
            <v>Gagliardi &amp; Lopez</v>
          </cell>
          <cell r="E5620" t="str">
            <v>BR_CNPJ</v>
          </cell>
          <cell r="F5620" t="str">
            <v>57.199.390/0001-98</v>
          </cell>
        </row>
        <row r="5621">
          <cell r="A5621">
            <v>43881</v>
          </cell>
          <cell r="B5621" t="str">
            <v>CORPORATION</v>
          </cell>
          <cell r="C5621" t="str">
            <v>Marcos Antonio Ruffo</v>
          </cell>
          <cell r="D5621" t="str">
            <v>Oxigenio Aricanduva</v>
          </cell>
          <cell r="E5621" t="str">
            <v>BR_CNPJ</v>
          </cell>
          <cell r="F5621" t="str">
            <v>11.142.933/0001-30</v>
          </cell>
        </row>
        <row r="5622">
          <cell r="A5622">
            <v>43885</v>
          </cell>
          <cell r="B5622" t="str">
            <v>CORPORATION</v>
          </cell>
          <cell r="C5622" t="str">
            <v>Jf Comercio De Parafusos Ferramentas E Maquinas Ltda</v>
          </cell>
          <cell r="D5622" t="str">
            <v>Jf Ferramentas</v>
          </cell>
          <cell r="E5622" t="str">
            <v>BR_CNPJ</v>
          </cell>
          <cell r="F5622" t="str">
            <v>42.215.694/0001-24</v>
          </cell>
        </row>
        <row r="5623">
          <cell r="A5623">
            <v>43887</v>
          </cell>
          <cell r="B5623" t="str">
            <v>CORPORATION</v>
          </cell>
          <cell r="C5623" t="str">
            <v>Minas Ecomm Eireli</v>
          </cell>
          <cell r="D5623" t="str">
            <v>Minas Ecomm Eireli</v>
          </cell>
          <cell r="E5623" t="str">
            <v>BR_CNPJ</v>
          </cell>
          <cell r="F5623" t="str">
            <v>29.408.928/0001-91</v>
          </cell>
          <cell r="G5623" t="str">
            <v>MINAS ECOM</v>
          </cell>
        </row>
        <row r="5624">
          <cell r="A5624">
            <v>43890</v>
          </cell>
          <cell r="B5624" t="str">
            <v>CORPORATION</v>
          </cell>
          <cell r="C5624" t="str">
            <v>Nataltec Maquinas E Ferramentas Eireli</v>
          </cell>
          <cell r="D5624" t="str">
            <v>Nataltec Maquinas E Ferramentas Eireli</v>
          </cell>
          <cell r="E5624" t="str">
            <v>BR_CNPJ</v>
          </cell>
          <cell r="F5624" t="str">
            <v>03.040.772/0003-07</v>
          </cell>
        </row>
        <row r="5625">
          <cell r="A5625">
            <v>43892</v>
          </cell>
          <cell r="B5625" t="str">
            <v>CORPORATION</v>
          </cell>
          <cell r="C5625" t="str">
            <v>Inova Metais Ltda</v>
          </cell>
          <cell r="D5625" t="str">
            <v>Inova Metais</v>
          </cell>
          <cell r="E5625" t="str">
            <v>BR_CNPJ</v>
          </cell>
          <cell r="F5625" t="str">
            <v>48.516.696/0001-30</v>
          </cell>
          <cell r="G5625" t="str">
            <v>INOVA METAI</v>
          </cell>
        </row>
        <row r="5626">
          <cell r="A5626">
            <v>43901</v>
          </cell>
          <cell r="B5626" t="str">
            <v>CORPORATION</v>
          </cell>
          <cell r="C5626" t="str">
            <v>Jeann Bulerianm</v>
          </cell>
          <cell r="D5626" t="str">
            <v>Construnova Material De Construcao</v>
          </cell>
          <cell r="E5626" t="str">
            <v>BR_CNPJ</v>
          </cell>
          <cell r="F5626" t="str">
            <v>24.791.851/0001-68</v>
          </cell>
        </row>
        <row r="5627">
          <cell r="A5627">
            <v>43916</v>
          </cell>
          <cell r="B5627" t="str">
            <v>CORPORATION</v>
          </cell>
          <cell r="C5627" t="str">
            <v>Jps Materiais De Construcao E Decoracoes Ltda</v>
          </cell>
          <cell r="D5627" t="str">
            <v>Joviki Multicoisas Mg</v>
          </cell>
          <cell r="E5627" t="str">
            <v>BR_CNPJ</v>
          </cell>
          <cell r="F5627" t="str">
            <v>12.063.217/0003-91</v>
          </cell>
          <cell r="G5627" t="str">
            <v>JOVIKI</v>
          </cell>
        </row>
        <row r="5628">
          <cell r="A5628">
            <v>43918</v>
          </cell>
          <cell r="B5628" t="str">
            <v>CORPORATION</v>
          </cell>
          <cell r="C5628" t="str">
            <v>Abd Comercio De Ferragens E Ferramentas Ltda</v>
          </cell>
          <cell r="D5628" t="str">
            <v>Abd Comercio De Ferragens E Ferramentas</v>
          </cell>
          <cell r="E5628" t="str">
            <v>BR_CNPJ</v>
          </cell>
          <cell r="F5628" t="str">
            <v>18.410.773/0001-01</v>
          </cell>
        </row>
        <row r="5629">
          <cell r="A5629">
            <v>43919</v>
          </cell>
          <cell r="B5629" t="str">
            <v>CORPORATION</v>
          </cell>
          <cell r="C5629" t="str">
            <v>Connectparts Comercio De Pecas E Acessorios Automotores S/A</v>
          </cell>
          <cell r="D5629" t="str">
            <v>Dakotaparts</v>
          </cell>
          <cell r="E5629" t="str">
            <v>BR_CNPJ</v>
          </cell>
          <cell r="F5629" t="str">
            <v>08.677.036/0001-16</v>
          </cell>
        </row>
        <row r="5630">
          <cell r="A5630">
            <v>43922</v>
          </cell>
          <cell r="B5630" t="str">
            <v>CORPORATION</v>
          </cell>
          <cell r="C5630" t="str">
            <v>Ferpagro Comercio De Insumos Agricolas E Ferragens Ltda</v>
          </cell>
          <cell r="D5630" t="str">
            <v>Ferpagro</v>
          </cell>
          <cell r="E5630" t="str">
            <v>BR_CNPJ</v>
          </cell>
          <cell r="F5630" t="str">
            <v>37.448.399/0001-88</v>
          </cell>
        </row>
        <row r="5631">
          <cell r="A5631">
            <v>43925</v>
          </cell>
          <cell r="B5631" t="str">
            <v>CORPORATION</v>
          </cell>
          <cell r="C5631" t="str">
            <v>F J L Pinto Maquinas E Equipamentos Ltda</v>
          </cell>
          <cell r="D5631" t="str">
            <v>Chico Parafuso</v>
          </cell>
          <cell r="E5631" t="str">
            <v>BR_CNPJ</v>
          </cell>
          <cell r="F5631" t="str">
            <v>44.985.975/0001-91</v>
          </cell>
        </row>
        <row r="5632">
          <cell r="A5632">
            <v>43928</v>
          </cell>
          <cell r="B5632" t="str">
            <v>CORPORATION</v>
          </cell>
          <cell r="C5632" t="str">
            <v>D J Hamester E Cia Ltda</v>
          </cell>
          <cell r="D5632" t="str">
            <v>D J Hamester</v>
          </cell>
          <cell r="E5632" t="str">
            <v>BR_CNPJ</v>
          </cell>
          <cell r="F5632" t="str">
            <v>90.495.912/0001-74</v>
          </cell>
        </row>
        <row r="5633">
          <cell r="A5633">
            <v>43937</v>
          </cell>
          <cell r="B5633" t="str">
            <v>CORPORATION</v>
          </cell>
          <cell r="C5633" t="str">
            <v>Comercial Caetano Ltda</v>
          </cell>
          <cell r="D5633" t="str">
            <v>Comercial Caetano</v>
          </cell>
          <cell r="E5633" t="str">
            <v>BR_CNPJ</v>
          </cell>
          <cell r="F5633" t="str">
            <v>07.608.258/0001-14</v>
          </cell>
        </row>
        <row r="5634">
          <cell r="A5634">
            <v>43949</v>
          </cell>
          <cell r="B5634" t="str">
            <v>CORPORATION</v>
          </cell>
          <cell r="C5634" t="str">
            <v>Pafer Materiais Para Construcao Ltda</v>
          </cell>
          <cell r="D5634" t="str">
            <v>Pafer</v>
          </cell>
          <cell r="E5634" t="str">
            <v>BR_CNPJ</v>
          </cell>
          <cell r="F5634" t="str">
            <v>10.228.330/0001-92</v>
          </cell>
        </row>
        <row r="5635">
          <cell r="A5635">
            <v>43960</v>
          </cell>
          <cell r="B5635" t="str">
            <v>CORPORATION</v>
          </cell>
          <cell r="C5635" t="str">
            <v>A &amp; R Alves Ribeiro Representacoes Comerciais Ltda</v>
          </cell>
          <cell r="D5635" t="str">
            <v>Sermonfer</v>
          </cell>
          <cell r="E5635" t="str">
            <v>BR_CNPJ</v>
          </cell>
          <cell r="F5635" t="str">
            <v>26.529.919/0001-60</v>
          </cell>
        </row>
        <row r="5636">
          <cell r="A5636">
            <v>43969</v>
          </cell>
          <cell r="B5636" t="str">
            <v>CORPORATION</v>
          </cell>
          <cell r="C5636" t="str">
            <v>Indusmetal - Industria E Comercio De Metais Ltda</v>
          </cell>
          <cell r="D5636" t="str">
            <v>Indusmetal</v>
          </cell>
          <cell r="E5636" t="str">
            <v>BR_CNPJ</v>
          </cell>
          <cell r="F5636" t="str">
            <v>03.008.338/0001-88</v>
          </cell>
        </row>
        <row r="5637">
          <cell r="A5637">
            <v>43973</v>
          </cell>
          <cell r="B5637" t="str">
            <v>CORPORATION</v>
          </cell>
          <cell r="C5637" t="str">
            <v>Mundopar Comercio De Ferramentas E Fixacao Ltda.</v>
          </cell>
          <cell r="D5637" t="str">
            <v>Mundopar Ferramentas E Fixacao</v>
          </cell>
          <cell r="E5637" t="str">
            <v>BR_CNPJ</v>
          </cell>
          <cell r="F5637" t="str">
            <v>55.480.786/0001-83</v>
          </cell>
        </row>
        <row r="5638">
          <cell r="A5638">
            <v>43974</v>
          </cell>
          <cell r="B5638" t="str">
            <v>CORPORATION</v>
          </cell>
          <cell r="C5638" t="str">
            <v>Stk Comercio De Maquinas E Equipamentos Eireli</v>
          </cell>
          <cell r="D5638" t="str">
            <v>Stk Comercio De Maquinas E Equipamentos Eireli</v>
          </cell>
          <cell r="E5638" t="str">
            <v>BR_CNPJ</v>
          </cell>
          <cell r="F5638" t="str">
            <v>22.654.684/0001-88</v>
          </cell>
        </row>
        <row r="5639">
          <cell r="A5639">
            <v>43977</v>
          </cell>
          <cell r="B5639" t="str">
            <v>CORPORATION</v>
          </cell>
          <cell r="C5639" t="str">
            <v>Perfilaco Ltda</v>
          </cell>
          <cell r="D5639" t="str">
            <v>Perfilaco</v>
          </cell>
          <cell r="E5639" t="str">
            <v>BR_CNPJ</v>
          </cell>
          <cell r="F5639" t="str">
            <v>53.010.622/0001-67</v>
          </cell>
          <cell r="G5639" t="str">
            <v>PERFILAÇO MG</v>
          </cell>
        </row>
        <row r="5640">
          <cell r="A5640">
            <v>43982</v>
          </cell>
          <cell r="B5640" t="str">
            <v>CORPORATION</v>
          </cell>
          <cell r="C5640" t="str">
            <v>Miel Silva Ramos Junior 00838238599</v>
          </cell>
          <cell r="D5640" t="str">
            <v>Studio Pro</v>
          </cell>
          <cell r="E5640" t="str">
            <v>BR_CNPJ</v>
          </cell>
          <cell r="F5640" t="str">
            <v>30.851.371/0001-48</v>
          </cell>
        </row>
        <row r="5641">
          <cell r="A5641">
            <v>43983</v>
          </cell>
          <cell r="B5641" t="str">
            <v>CORPORATION</v>
          </cell>
          <cell r="C5641" t="str">
            <v>55.206.503 Ronaldo Divino Guimaraes Anibal</v>
          </cell>
          <cell r="D5641" t="str">
            <v>55.206.503 Ronaldo Divino Guimaraes Anibal</v>
          </cell>
          <cell r="E5641" t="str">
            <v>BR_CNPJ</v>
          </cell>
          <cell r="F5641" t="str">
            <v>55.206.503/0001-00</v>
          </cell>
          <cell r="G5641" t="str">
            <v>SOLDAFER</v>
          </cell>
        </row>
        <row r="5642">
          <cell r="A5642">
            <v>43984</v>
          </cell>
          <cell r="B5642" t="str">
            <v>CORPORATION</v>
          </cell>
          <cell r="C5642" t="str">
            <v>Casa Das Mangueiras Parafusos E Rolamentos Ltda</v>
          </cell>
          <cell r="D5642" t="str">
            <v>Casa Das Mangueiras Parafusos E Rolamentos</v>
          </cell>
          <cell r="E5642" t="str">
            <v>BR_CNPJ</v>
          </cell>
          <cell r="F5642" t="str">
            <v>11.931.439/0001-54</v>
          </cell>
        </row>
        <row r="5643">
          <cell r="A5643">
            <v>43985</v>
          </cell>
          <cell r="B5643" t="str">
            <v>CORPORATION</v>
          </cell>
          <cell r="C5643" t="str">
            <v>L.F.Bittencourt - Soldas</v>
          </cell>
          <cell r="D5643" t="str">
            <v>Alternativa Soldas</v>
          </cell>
          <cell r="E5643" t="str">
            <v>BR_CNPJ</v>
          </cell>
          <cell r="F5643" t="str">
            <v>19.908.518/0001-56</v>
          </cell>
        </row>
        <row r="5644">
          <cell r="A5644">
            <v>43986</v>
          </cell>
          <cell r="B5644" t="str">
            <v>CORPORATION</v>
          </cell>
          <cell r="C5644" t="str">
            <v>Monfardini Madeiras E Ferragens Ltda</v>
          </cell>
          <cell r="D5644" t="str">
            <v>Monfardini Madeiras E Ferragens Ltda</v>
          </cell>
          <cell r="E5644" t="str">
            <v>BR_CNPJ</v>
          </cell>
          <cell r="F5644" t="str">
            <v>53.173.184/0001-58</v>
          </cell>
          <cell r="G5644" t="str">
            <v>MONFARDINI</v>
          </cell>
        </row>
        <row r="5645">
          <cell r="A5645">
            <v>43988</v>
          </cell>
          <cell r="B5645" t="str">
            <v>CORPORATION</v>
          </cell>
          <cell r="C5645" t="str">
            <v>Rennan Gavlak E Cia Ltda</v>
          </cell>
          <cell r="D5645" t="str">
            <v>R3 Solucoes</v>
          </cell>
          <cell r="E5645" t="str">
            <v>BR_CNPJ</v>
          </cell>
          <cell r="F5645" t="str">
            <v>12.369.448/0001-66</v>
          </cell>
          <cell r="G5645" t="str">
            <v>R3 SOLUCOES</v>
          </cell>
        </row>
        <row r="5646">
          <cell r="A5646">
            <v>43994</v>
          </cell>
          <cell r="B5646" t="str">
            <v>CORPORATION</v>
          </cell>
          <cell r="C5646" t="str">
            <v>J.D. Zinetti Comercio De Eletrodomesticos E Eletronicos Eireli</v>
          </cell>
          <cell r="D5646" t="str">
            <v>O Pescador</v>
          </cell>
          <cell r="E5646" t="str">
            <v>BR_CNPJ</v>
          </cell>
          <cell r="F5646" t="str">
            <v>13.699.850/0002-52</v>
          </cell>
          <cell r="G5646" t="str">
            <v>PESCADOR</v>
          </cell>
        </row>
        <row r="5647">
          <cell r="A5647">
            <v>43998</v>
          </cell>
          <cell r="B5647" t="str">
            <v>CORPORATION</v>
          </cell>
          <cell r="C5647" t="str">
            <v>Max Equipamentos De Protecao Ao Trabalho Ltda</v>
          </cell>
          <cell r="D5647" t="str">
            <v>Max Epi</v>
          </cell>
          <cell r="E5647" t="str">
            <v>BR_CNPJ</v>
          </cell>
          <cell r="F5647" t="str">
            <v>23.872.902/0001-13</v>
          </cell>
        </row>
        <row r="5648">
          <cell r="A5648">
            <v>43999</v>
          </cell>
          <cell r="B5648" t="str">
            <v>CORPORATION</v>
          </cell>
          <cell r="C5648" t="str">
            <v>Amazonia Comercio E Servico De Compressores E Equipamentos Ltda</v>
          </cell>
          <cell r="D5648" t="str">
            <v>Amazonia Compressores (Amazon)</v>
          </cell>
          <cell r="E5648" t="str">
            <v>BR_CNPJ</v>
          </cell>
          <cell r="F5648" t="str">
            <v>48.098.919/0001-96</v>
          </cell>
          <cell r="G5648" t="str">
            <v>AMAZON COMPRESSORES</v>
          </cell>
        </row>
        <row r="5649">
          <cell r="A5649">
            <v>44006</v>
          </cell>
          <cell r="B5649" t="str">
            <v>CORPORATION</v>
          </cell>
          <cell r="C5649" t="str">
            <v>Locafaz Locacao De Equipamentos Ltda</v>
          </cell>
          <cell r="D5649" t="str">
            <v>Locafaz Palmeiras</v>
          </cell>
          <cell r="E5649" t="str">
            <v>BR_CNPJ</v>
          </cell>
          <cell r="F5649" t="str">
            <v>66.271.859/0001-43</v>
          </cell>
        </row>
        <row r="5650">
          <cell r="A5650">
            <v>44007</v>
          </cell>
          <cell r="B5650" t="str">
            <v>CORPORATION</v>
          </cell>
          <cell r="C5650" t="str">
            <v>Planac Maquinas E Ferramentas Ltda</v>
          </cell>
          <cell r="D5650" t="str">
            <v>Planac</v>
          </cell>
          <cell r="E5650" t="str">
            <v>BR_CNPJ</v>
          </cell>
          <cell r="F5650" t="str">
            <v>27.671.276/0001-58</v>
          </cell>
        </row>
        <row r="5651">
          <cell r="A5651">
            <v>44008</v>
          </cell>
          <cell r="B5651" t="str">
            <v>CORPORATION</v>
          </cell>
          <cell r="C5651" t="str">
            <v>Comercio De Mangueiras E Ferramentas Rio Preto Ltda</v>
          </cell>
          <cell r="D5651" t="str">
            <v>Gcl Rio Preto Equipamentos (Luvas Rio Preto)</v>
          </cell>
          <cell r="E5651" t="str">
            <v>BR_CNPJ</v>
          </cell>
          <cell r="F5651" t="str">
            <v>32.005.487/0001-91</v>
          </cell>
          <cell r="G5651" t="str">
            <v>LUVAS RIO PRETO</v>
          </cell>
        </row>
        <row r="5652">
          <cell r="A5652">
            <v>44015</v>
          </cell>
          <cell r="B5652" t="str">
            <v>CORPORATION</v>
          </cell>
          <cell r="C5652" t="str">
            <v>Widetech Automacao Ltda</v>
          </cell>
          <cell r="D5652" t="str">
            <v>Omega Volt - Instalacoes Eletricas E Manutencao</v>
          </cell>
          <cell r="E5652" t="str">
            <v>BR_CNPJ</v>
          </cell>
          <cell r="F5652" t="str">
            <v>30.102.251/0001-48</v>
          </cell>
        </row>
        <row r="5653">
          <cell r="A5653">
            <v>44016</v>
          </cell>
          <cell r="B5653" t="str">
            <v>CORPORATION</v>
          </cell>
          <cell r="C5653" t="str">
            <v>Edilson Silva Dos Santos</v>
          </cell>
          <cell r="D5653" t="str">
            <v>E.S.S. Ferramentas</v>
          </cell>
          <cell r="E5653" t="str">
            <v>BR_CNPJ</v>
          </cell>
          <cell r="F5653" t="str">
            <v>29.133.365/0001-76</v>
          </cell>
        </row>
        <row r="5654">
          <cell r="A5654">
            <v>44022</v>
          </cell>
          <cell r="B5654" t="str">
            <v>CORPORATION</v>
          </cell>
          <cell r="C5654" t="str">
            <v>Alexandra Pereira De Oliveira Comercial Lopes</v>
          </cell>
          <cell r="D5654" t="str">
            <v>Comercial Lopes</v>
          </cell>
          <cell r="E5654" t="str">
            <v>BR_CNPJ</v>
          </cell>
          <cell r="F5654" t="str">
            <v>20.204.770/0001-63</v>
          </cell>
        </row>
        <row r="5655">
          <cell r="A5655">
            <v>44032</v>
          </cell>
          <cell r="B5655" t="str">
            <v>CORPORATION</v>
          </cell>
          <cell r="C5655" t="str">
            <v>J F Sampaio Neto Eireli</v>
          </cell>
          <cell r="D5655" t="str">
            <v>Sampaio</v>
          </cell>
          <cell r="E5655" t="str">
            <v>BR_CNPJ</v>
          </cell>
          <cell r="F5655" t="str">
            <v>04.078.691/0001-05</v>
          </cell>
          <cell r="G5655" t="str">
            <v>JV SAMPAIO</v>
          </cell>
        </row>
        <row r="5656">
          <cell r="A5656">
            <v>44048</v>
          </cell>
          <cell r="B5656" t="str">
            <v>CORPORATION</v>
          </cell>
          <cell r="C5656" t="str">
            <v>Rei Das Maquinas Manutencao E Equipamentos Ltda</v>
          </cell>
          <cell r="D5656" t="str">
            <v>Rei Das Maquinas</v>
          </cell>
          <cell r="E5656" t="str">
            <v>BR_CNPJ</v>
          </cell>
          <cell r="F5656" t="str">
            <v>14.090.600/0001-00</v>
          </cell>
          <cell r="G5656" t="str">
            <v>REI DAS MAQUINAS</v>
          </cell>
        </row>
        <row r="5657">
          <cell r="A5657">
            <v>44054</v>
          </cell>
          <cell r="B5657" t="str">
            <v>CORPORATION</v>
          </cell>
          <cell r="C5657" t="str">
            <v>Puma Comercio De Soldas E Equipamentos Ltda</v>
          </cell>
          <cell r="D5657" t="str">
            <v>Puma Comercio De Soldas E Equipamentos Ltda</v>
          </cell>
          <cell r="E5657" t="str">
            <v>BR_CNPJ</v>
          </cell>
          <cell r="F5657" t="str">
            <v>34.429.398/0001-06</v>
          </cell>
        </row>
        <row r="5658">
          <cell r="A5658">
            <v>44059</v>
          </cell>
          <cell r="B5658" t="str">
            <v>CORPORATION</v>
          </cell>
          <cell r="C5658" t="str">
            <v>Compac - Maquinas E Equipamentos Ltda.</v>
          </cell>
          <cell r="D5658" t="str">
            <v>Compac</v>
          </cell>
          <cell r="E5658" t="str">
            <v>BR_CNPJ</v>
          </cell>
          <cell r="F5658" t="str">
            <v>66.607.219/0001-61</v>
          </cell>
        </row>
        <row r="5659">
          <cell r="A5659">
            <v>44060</v>
          </cell>
          <cell r="B5659" t="str">
            <v>CORPORATION</v>
          </cell>
          <cell r="C5659" t="str">
            <v>Imperio Soldas Especiais Comercio E Servicos Ltda</v>
          </cell>
          <cell r="D5659" t="str">
            <v>Imperio Soldas Especiais Comercio E Servicos Ltda</v>
          </cell>
          <cell r="E5659" t="str">
            <v>BR_CNPJ</v>
          </cell>
          <cell r="F5659" t="str">
            <v>25.334.636/0001-09</v>
          </cell>
        </row>
        <row r="5660">
          <cell r="A5660">
            <v>44062</v>
          </cell>
          <cell r="B5660" t="str">
            <v>CORPORATION</v>
          </cell>
          <cell r="C5660" t="str">
            <v>Gerson Uhlbrich</v>
          </cell>
          <cell r="D5660" t="str">
            <v>Gerson Uhlbrich</v>
          </cell>
          <cell r="E5660" t="str">
            <v>BR_CNPJ</v>
          </cell>
          <cell r="F5660" t="str">
            <v>16.970.136/0001-64</v>
          </cell>
        </row>
        <row r="5661">
          <cell r="A5661">
            <v>44065</v>
          </cell>
          <cell r="B5661" t="str">
            <v>CORPORATION</v>
          </cell>
          <cell r="C5661" t="str">
            <v>Universal Stok Comercio Ltda</v>
          </cell>
          <cell r="D5661" t="str">
            <v>Stok Universal</v>
          </cell>
          <cell r="E5661" t="str">
            <v>BR_CNPJ</v>
          </cell>
          <cell r="F5661" t="str">
            <v>10.695.084/0001-89</v>
          </cell>
        </row>
        <row r="5662">
          <cell r="A5662">
            <v>44066</v>
          </cell>
          <cell r="B5662" t="str">
            <v>CORPORATION</v>
          </cell>
          <cell r="C5662" t="str">
            <v>Zsc Vale Do Paraiba Ltda</v>
          </cell>
          <cell r="D5662" t="str">
            <v>Disapar Vale Do Paraiba</v>
          </cell>
          <cell r="E5662" t="str">
            <v>BR_CNPJ</v>
          </cell>
          <cell r="F5662" t="str">
            <v>47.250.496/0001-15</v>
          </cell>
        </row>
        <row r="5663">
          <cell r="A5663">
            <v>44070</v>
          </cell>
          <cell r="B5663" t="str">
            <v>CORPORATION</v>
          </cell>
          <cell r="C5663" t="str">
            <v>Bazzo Soldas Itda</v>
          </cell>
          <cell r="D5663" t="str">
            <v>Bazzo Maquinas</v>
          </cell>
          <cell r="E5663" t="str">
            <v>BR_CNPJ</v>
          </cell>
          <cell r="F5663" t="str">
            <v>37.797.647/0001-04</v>
          </cell>
          <cell r="G5663" t="str">
            <v>BAZZO &amp; AMARAL</v>
          </cell>
        </row>
        <row r="5664">
          <cell r="A5664">
            <v>44076</v>
          </cell>
          <cell r="B5664" t="str">
            <v>CORPORATION</v>
          </cell>
          <cell r="C5664" t="str">
            <v>A.P.O. Aguiar Ferramentas</v>
          </cell>
          <cell r="D5664" t="str">
            <v>A.P.O. - Leo Maquinas</v>
          </cell>
          <cell r="E5664" t="str">
            <v>BR_CNPJ</v>
          </cell>
          <cell r="F5664" t="str">
            <v>12.626.744/0001-03</v>
          </cell>
          <cell r="G5664" t="str">
            <v>LEO MAQUINAS</v>
          </cell>
        </row>
        <row r="5665">
          <cell r="A5665">
            <v>44085</v>
          </cell>
          <cell r="B5665" t="str">
            <v>CORPORATION</v>
          </cell>
          <cell r="C5665" t="str">
            <v>Felipe Martins De Carvalho 40225390892</v>
          </cell>
          <cell r="D5665" t="str">
            <v>Ii Reis Vii</v>
          </cell>
          <cell r="E5665" t="str">
            <v>BR_CNPJ</v>
          </cell>
          <cell r="F5665" t="str">
            <v>24.038.253/0001-12</v>
          </cell>
        </row>
        <row r="5666">
          <cell r="A5666">
            <v>44091</v>
          </cell>
          <cell r="B5666" t="str">
            <v>CORPORATION</v>
          </cell>
          <cell r="C5666" t="str">
            <v>Koch Empreiteira De Mao De Obra Ltda</v>
          </cell>
          <cell r="D5666" t="str">
            <v>Koch Empreiteira De Mao De Obra Ltda</v>
          </cell>
          <cell r="E5666" t="str">
            <v>BR_CNPJ</v>
          </cell>
          <cell r="F5666" t="str">
            <v>14.517.599/0001-40</v>
          </cell>
        </row>
        <row r="5667">
          <cell r="A5667">
            <v>44093</v>
          </cell>
          <cell r="B5667" t="str">
            <v>CORPORATION</v>
          </cell>
          <cell r="C5667" t="str">
            <v>Aldifer Distribuidora De Ferro E Aco Ltda</v>
          </cell>
          <cell r="D5667" t="str">
            <v>Aldifer Distribuidora De Ferro E Aco Ltda</v>
          </cell>
          <cell r="E5667" t="str">
            <v>BR_CNPJ</v>
          </cell>
          <cell r="F5667" t="str">
            <v>05.493.996/0001-38</v>
          </cell>
        </row>
        <row r="5668">
          <cell r="A5668">
            <v>44101</v>
          </cell>
          <cell r="B5668" t="str">
            <v>CORPORATION</v>
          </cell>
          <cell r="C5668" t="str">
            <v>36.300.746 Lucas Pereira Da Silva</v>
          </cell>
          <cell r="D5668" t="str">
            <v>Faraday</v>
          </cell>
          <cell r="E5668" t="str">
            <v>BR_CNPJ</v>
          </cell>
          <cell r="F5668" t="str">
            <v>36.300.746/0001-68</v>
          </cell>
        </row>
        <row r="5669">
          <cell r="A5669">
            <v>44105</v>
          </cell>
          <cell r="B5669" t="str">
            <v>CORPORATION</v>
          </cell>
          <cell r="C5669" t="str">
            <v>Santa Clara Cobertura De Aluminio Ltda</v>
          </cell>
          <cell r="D5669" t="str">
            <v>Santa Clara Cobertura De Aluminio Ltda</v>
          </cell>
          <cell r="E5669" t="str">
            <v>BR_CNPJ</v>
          </cell>
          <cell r="F5669" t="str">
            <v>22.456.067/0001-78</v>
          </cell>
        </row>
        <row r="5670">
          <cell r="A5670">
            <v>44109</v>
          </cell>
          <cell r="B5670" t="str">
            <v>CORPORATION</v>
          </cell>
          <cell r="C5670" t="str">
            <v>Atmosfera Gases Especiais E Epi'S Ltda</v>
          </cell>
          <cell r="D5670" t="str">
            <v>Atmosfera Gases Especiais (Multsoldas)</v>
          </cell>
          <cell r="E5670" t="str">
            <v>BR_CNPJ</v>
          </cell>
          <cell r="F5670" t="str">
            <v>13.134.213/0001-58</v>
          </cell>
          <cell r="G5670" t="str">
            <v>MULTSOLDAS GASES</v>
          </cell>
        </row>
        <row r="5671">
          <cell r="A5671">
            <v>44115</v>
          </cell>
          <cell r="B5671" t="str">
            <v>CORPORATION</v>
          </cell>
          <cell r="C5671" t="str">
            <v>M.P. De Carvalho Eireli</v>
          </cell>
          <cell r="D5671" t="str">
            <v>Shopping Das Ferramentas Comercial</v>
          </cell>
          <cell r="E5671" t="str">
            <v>BR_CNPJ</v>
          </cell>
          <cell r="F5671" t="str">
            <v>09.568.137/0001-11</v>
          </cell>
        </row>
        <row r="5672">
          <cell r="A5672">
            <v>44121</v>
          </cell>
          <cell r="B5672" t="str">
            <v>CORPORATION</v>
          </cell>
          <cell r="C5672" t="str">
            <v>Central Domum Comercio De Maquinas E Equipamentos Ltda</v>
          </cell>
          <cell r="D5672" t="str">
            <v>Domum Soldas</v>
          </cell>
          <cell r="E5672" t="str">
            <v>BR_CNPJ</v>
          </cell>
          <cell r="F5672" t="str">
            <v>31.023.171/0001-60</v>
          </cell>
          <cell r="G5672" t="str">
            <v>CENTRAL SOLDAS</v>
          </cell>
        </row>
        <row r="5673">
          <cell r="A5673">
            <v>44126</v>
          </cell>
          <cell r="B5673" t="str">
            <v>CORPORATION</v>
          </cell>
          <cell r="C5673" t="str">
            <v>Moreira E Moreira, Com.Varej. E Atac. De Ferragens E Ferramentas Manuais Ltda</v>
          </cell>
          <cell r="D5673" t="str">
            <v>Shopping Dos Parafusos</v>
          </cell>
          <cell r="E5673" t="str">
            <v>BR_CNPJ</v>
          </cell>
          <cell r="F5673" t="str">
            <v>12.383.393/0001-49</v>
          </cell>
          <cell r="G5673" t="str">
            <v>SHOPPING DOS PARAFUSOS</v>
          </cell>
        </row>
        <row r="5674">
          <cell r="A5674">
            <v>44130</v>
          </cell>
          <cell r="B5674" t="str">
            <v>CORPORATION</v>
          </cell>
          <cell r="C5674" t="str">
            <v>Valter Gomes Comercio De Ferragens</v>
          </cell>
          <cell r="D5674" t="str">
            <v>W.G. Comercio De Ferragens</v>
          </cell>
          <cell r="E5674" t="str">
            <v>BR_CNPJ</v>
          </cell>
          <cell r="F5674" t="str">
            <v>30.544.929/0001-42</v>
          </cell>
          <cell r="G5674" t="str">
            <v>FEMATEL</v>
          </cell>
        </row>
        <row r="5675">
          <cell r="A5675">
            <v>44133</v>
          </cell>
          <cell r="B5675" t="str">
            <v>CORPORATION</v>
          </cell>
          <cell r="C5675" t="str">
            <v>Construtech Solucoes Ltda</v>
          </cell>
          <cell r="D5675" t="str">
            <v>Construtech</v>
          </cell>
          <cell r="E5675" t="str">
            <v>BR_CNPJ</v>
          </cell>
          <cell r="F5675" t="str">
            <v>29.423.784/0001-42</v>
          </cell>
        </row>
        <row r="5676">
          <cell r="A5676">
            <v>44136</v>
          </cell>
          <cell r="B5676" t="str">
            <v>CORPORATION</v>
          </cell>
          <cell r="C5676" t="str">
            <v>Antava Auto Pecas Ferramentas E Acessorios - Eireli</v>
          </cell>
          <cell r="D5676" t="str">
            <v>Antava Auto Pecas</v>
          </cell>
          <cell r="E5676" t="str">
            <v>BR_CNPJ</v>
          </cell>
          <cell r="F5676" t="str">
            <v>18.580.865/0001-30</v>
          </cell>
        </row>
        <row r="5677">
          <cell r="A5677">
            <v>44142</v>
          </cell>
          <cell r="B5677" t="str">
            <v>CORPORATION</v>
          </cell>
          <cell r="C5677" t="str">
            <v>Cosel Comercio De Soldas E Equipamentos Ltda</v>
          </cell>
          <cell r="D5677" t="str">
            <v>Cosel</v>
          </cell>
          <cell r="E5677" t="str">
            <v>BR_CNPJ</v>
          </cell>
          <cell r="F5677" t="str">
            <v>47.702.683/0001-92</v>
          </cell>
        </row>
        <row r="5678">
          <cell r="A5678">
            <v>44145</v>
          </cell>
          <cell r="B5678" t="str">
            <v>CORPORATION</v>
          </cell>
          <cell r="C5678" t="str">
            <v>Daniel Ney Neves Rios</v>
          </cell>
          <cell r="D5678" t="str">
            <v>Casa Dos Rolamentos &amp; Cia</v>
          </cell>
          <cell r="E5678" t="str">
            <v>BR_CNPJ</v>
          </cell>
          <cell r="F5678" t="str">
            <v>04.965.663/0001-00</v>
          </cell>
        </row>
        <row r="5679">
          <cell r="A5679">
            <v>44149</v>
          </cell>
          <cell r="B5679" t="str">
            <v>CORPORATION</v>
          </cell>
          <cell r="C5679" t="str">
            <v>R Chagas Ltda</v>
          </cell>
          <cell r="D5679" t="str">
            <v>R Chagas</v>
          </cell>
          <cell r="E5679" t="str">
            <v>BR_CNPJ</v>
          </cell>
          <cell r="F5679" t="str">
            <v>07.202.427/0004-64</v>
          </cell>
        </row>
        <row r="5680">
          <cell r="A5680">
            <v>44153</v>
          </cell>
          <cell r="B5680" t="str">
            <v>CORPORATION</v>
          </cell>
          <cell r="C5680" t="str">
            <v>Barueri Atacadista De Material De Construcao Ltda</v>
          </cell>
          <cell r="D5680" t="str">
            <v>Casa Do Lojista Barueri</v>
          </cell>
          <cell r="E5680" t="str">
            <v>BR_CNPJ</v>
          </cell>
          <cell r="F5680" t="str">
            <v>24.413.865/0001-48</v>
          </cell>
          <cell r="G5680" t="str">
            <v>CASA DO LOJISTA</v>
          </cell>
        </row>
        <row r="5681">
          <cell r="A5681">
            <v>44158</v>
          </cell>
          <cell r="B5681" t="str">
            <v>CORPORATION</v>
          </cell>
          <cell r="C5681" t="str">
            <v>Barueri Atacadista De Material De Construcao Ltda</v>
          </cell>
          <cell r="D5681" t="str">
            <v>Casa Do Lojista Caninde</v>
          </cell>
          <cell r="E5681" t="str">
            <v>BR_CNPJ</v>
          </cell>
          <cell r="F5681" t="str">
            <v>24.413.865/0004-90</v>
          </cell>
          <cell r="G5681" t="str">
            <v>CASA DO LOJISTA</v>
          </cell>
        </row>
        <row r="5682">
          <cell r="A5682">
            <v>44161</v>
          </cell>
          <cell r="B5682" t="str">
            <v>CORPORATION</v>
          </cell>
          <cell r="C5682" t="str">
            <v>Casa Do Lojista Atacadista De Materiais Para Construcao Ltda</v>
          </cell>
          <cell r="D5682" t="str">
            <v>Casa Do Lojista Parque São Jorge (Marginal)</v>
          </cell>
          <cell r="E5682" t="str">
            <v>BR_CNPJ</v>
          </cell>
          <cell r="F5682" t="str">
            <v>64.626.179/0001-70</v>
          </cell>
          <cell r="G5682" t="str">
            <v>CASA DO LOJISTA</v>
          </cell>
        </row>
        <row r="5683">
          <cell r="A5683">
            <v>44163</v>
          </cell>
          <cell r="B5683" t="str">
            <v>CORPORATION</v>
          </cell>
          <cell r="C5683" t="str">
            <v>Embrasoldas Ltda</v>
          </cell>
          <cell r="D5683" t="str">
            <v>Embrasoldas Ltda</v>
          </cell>
          <cell r="E5683" t="str">
            <v>BR_CNPJ</v>
          </cell>
          <cell r="F5683" t="str">
            <v>13.430.636/0002-04</v>
          </cell>
          <cell r="G5683" t="str">
            <v>EMBRASOLDAS LTDA</v>
          </cell>
        </row>
        <row r="5684">
          <cell r="A5684">
            <v>44165</v>
          </cell>
          <cell r="B5684" t="str">
            <v>CORPORATION</v>
          </cell>
          <cell r="C5684" t="str">
            <v>Comercio De Ferramentas Teruya Ltda</v>
          </cell>
          <cell r="D5684" t="str">
            <v>Casa Do Lojista Zona Leste</v>
          </cell>
          <cell r="E5684" t="str">
            <v>BR_CNPJ</v>
          </cell>
          <cell r="F5684" t="str">
            <v>49.318.538/0001-38</v>
          </cell>
          <cell r="G5684" t="str">
            <v>CASA DO LOJISTA</v>
          </cell>
        </row>
        <row r="5685">
          <cell r="A5685">
            <v>44169</v>
          </cell>
          <cell r="B5685" t="str">
            <v>CORPORATION</v>
          </cell>
          <cell r="C5685" t="str">
            <v>Barueri Atacadista De Material De Construcao Ltda</v>
          </cell>
          <cell r="D5685" t="str">
            <v>Casa Do Lojista Campinas</v>
          </cell>
          <cell r="E5685" t="str">
            <v>BR_CNPJ</v>
          </cell>
          <cell r="F5685" t="str">
            <v>24.413.865/0002-29</v>
          </cell>
          <cell r="G5685" t="str">
            <v>CASA DO LOJISTA</v>
          </cell>
        </row>
        <row r="5686">
          <cell r="A5686">
            <v>44173</v>
          </cell>
          <cell r="B5686" t="str">
            <v>CORPORATION</v>
          </cell>
          <cell r="C5686" t="str">
            <v>Barueri Atacadista De Material De Construcao Ltda</v>
          </cell>
          <cell r="D5686" t="str">
            <v>Casa Do Lojista São Jose Dos Campos</v>
          </cell>
          <cell r="E5686" t="str">
            <v>BR_CNPJ</v>
          </cell>
          <cell r="F5686" t="str">
            <v>24.413.865/0003-00</v>
          </cell>
          <cell r="G5686" t="str">
            <v>CASA DO LOJISTA</v>
          </cell>
        </row>
        <row r="5687">
          <cell r="A5687">
            <v>44175</v>
          </cell>
          <cell r="B5687" t="str">
            <v>CORPORATION</v>
          </cell>
          <cell r="C5687" t="str">
            <v>J. Kone Servico E Comercio De Maquinas E Equipamentos Ltda</v>
          </cell>
          <cell r="D5687" t="str">
            <v>J. Kone</v>
          </cell>
          <cell r="E5687" t="str">
            <v>BR_CNPJ</v>
          </cell>
          <cell r="F5687" t="str">
            <v>12.104.872/0001-89</v>
          </cell>
        </row>
        <row r="5688">
          <cell r="A5688">
            <v>44177</v>
          </cell>
          <cell r="B5688" t="str">
            <v>CORPORATION</v>
          </cell>
          <cell r="C5688" t="str">
            <v>R B Ferragens Ltda</v>
          </cell>
          <cell r="D5688" t="str">
            <v>Casa Dos Parafusos</v>
          </cell>
          <cell r="E5688" t="str">
            <v>BR_CNPJ</v>
          </cell>
          <cell r="F5688" t="str">
            <v>42.382.817/0001-11</v>
          </cell>
        </row>
        <row r="5689">
          <cell r="A5689">
            <v>44182</v>
          </cell>
          <cell r="B5689" t="str">
            <v>CORPORATION</v>
          </cell>
          <cell r="C5689" t="str">
            <v>D. Zschornack Ferreira</v>
          </cell>
          <cell r="D5689" t="str">
            <v>Norte Maquinas</v>
          </cell>
          <cell r="E5689" t="str">
            <v>BR_CNPJ</v>
          </cell>
          <cell r="F5689" t="str">
            <v>37.609.124/0001-89</v>
          </cell>
        </row>
        <row r="5690">
          <cell r="A5690">
            <v>44214</v>
          </cell>
          <cell r="B5690" t="str">
            <v>CORPORATION</v>
          </cell>
          <cell r="C5690" t="str">
            <v>Js Multi Equipamentos Ltda</v>
          </cell>
          <cell r="D5690" t="str">
            <v>Js Multi Equipamentos</v>
          </cell>
          <cell r="E5690" t="str">
            <v>BR_CNPJ</v>
          </cell>
          <cell r="F5690" t="str">
            <v>44.930.130/0001-07</v>
          </cell>
        </row>
        <row r="5691">
          <cell r="A5691">
            <v>44219</v>
          </cell>
          <cell r="B5691" t="str">
            <v>CORPORATION</v>
          </cell>
          <cell r="C5691" t="str">
            <v>Comercio Atacadista Ilha Bela Distribuidora Ltda</v>
          </cell>
          <cell r="D5691" t="str">
            <v>Ilha Bela</v>
          </cell>
          <cell r="E5691" t="str">
            <v>BR_CNPJ</v>
          </cell>
          <cell r="F5691" t="str">
            <v>29.322.621/0001-73</v>
          </cell>
        </row>
        <row r="5692">
          <cell r="A5692">
            <v>44221</v>
          </cell>
          <cell r="B5692" t="str">
            <v>CORPORATION</v>
          </cell>
          <cell r="C5692" t="str">
            <v>Minas Solucoes Epis Ltda</v>
          </cell>
          <cell r="D5692" t="str">
            <v>Minas Solucoes Epis</v>
          </cell>
          <cell r="E5692" t="str">
            <v>BR_CNPJ</v>
          </cell>
          <cell r="F5692" t="str">
            <v>47.981.305/0001-95</v>
          </cell>
        </row>
        <row r="5693">
          <cell r="A5693">
            <v>44224</v>
          </cell>
          <cell r="B5693" t="str">
            <v>CORPORATION</v>
          </cell>
          <cell r="C5693" t="str">
            <v>Rjs Comercio Importacao E Exportacao Ltda</v>
          </cell>
          <cell r="D5693" t="str">
            <v>Rjs Comercio</v>
          </cell>
          <cell r="E5693" t="str">
            <v>BR_CNPJ</v>
          </cell>
          <cell r="F5693" t="str">
            <v>49.464.488/0001-05</v>
          </cell>
        </row>
        <row r="5694">
          <cell r="A5694">
            <v>44227</v>
          </cell>
          <cell r="B5694" t="str">
            <v>CORPORATION</v>
          </cell>
          <cell r="C5694" t="str">
            <v>T M Comercio De Parafusos Ferragens E Ferramentas Ltda</v>
          </cell>
          <cell r="D5694" t="str">
            <v>Ortempa Comercio De Parafusos, Ferragens E Ferramentas</v>
          </cell>
          <cell r="E5694" t="str">
            <v>BR_CNPJ</v>
          </cell>
          <cell r="F5694" t="str">
            <v>26.855.794/0001-69</v>
          </cell>
        </row>
        <row r="5695">
          <cell r="A5695">
            <v>44228</v>
          </cell>
          <cell r="B5695" t="str">
            <v>CORPORATION</v>
          </cell>
          <cell r="C5695" t="str">
            <v>Kamak Equipamentos E Produtos Para Soldas E Cortes Ltda</v>
          </cell>
          <cell r="D5695" t="str">
            <v>Kamak Equipamentos</v>
          </cell>
          <cell r="E5695" t="str">
            <v>BR_CNPJ</v>
          </cell>
          <cell r="F5695" t="str">
            <v>51.491.154/0001-64</v>
          </cell>
        </row>
        <row r="5696">
          <cell r="A5696">
            <v>44231</v>
          </cell>
          <cell r="B5696" t="str">
            <v>CORPORATION</v>
          </cell>
          <cell r="C5696" t="str">
            <v>Aco Forte Comercio De Ferragens Ltda</v>
          </cell>
          <cell r="D5696" t="str">
            <v>Aco Forte</v>
          </cell>
          <cell r="E5696" t="str">
            <v>BR_CNPJ</v>
          </cell>
          <cell r="F5696" t="str">
            <v>12.380.955/0001-09</v>
          </cell>
        </row>
        <row r="5697">
          <cell r="A5697">
            <v>44234</v>
          </cell>
          <cell r="B5697" t="str">
            <v>CORPORATION</v>
          </cell>
          <cell r="C5697" t="str">
            <v>Palacio Dos Parafusos Ltda</v>
          </cell>
          <cell r="D5697" t="str">
            <v>Palacio Dos Parafusos</v>
          </cell>
          <cell r="E5697" t="str">
            <v>BR_CNPJ</v>
          </cell>
          <cell r="F5697" t="str">
            <v>16.505.490/0001-18</v>
          </cell>
        </row>
        <row r="5698">
          <cell r="A5698">
            <v>44238</v>
          </cell>
          <cell r="B5698" t="str">
            <v>CORPORATION</v>
          </cell>
          <cell r="C5698" t="str">
            <v>Sugi &amp; Yama Comercio Importacao E Exportacao De Ferragens E Ferramentas Ltda</v>
          </cell>
          <cell r="D5698" t="str">
            <v>Sugi &amp; Yama</v>
          </cell>
          <cell r="E5698" t="str">
            <v>BR_CNPJ</v>
          </cell>
          <cell r="F5698" t="str">
            <v>86.603.065/0001-47</v>
          </cell>
        </row>
        <row r="5699">
          <cell r="A5699">
            <v>44241</v>
          </cell>
          <cell r="B5699" t="str">
            <v>CORPORATION</v>
          </cell>
          <cell r="C5699" t="str">
            <v>Joelinho Ferramentas Ltda</v>
          </cell>
          <cell r="D5699" t="str">
            <v>Joelinho Ferramentas</v>
          </cell>
          <cell r="E5699" t="str">
            <v>BR_CNPJ</v>
          </cell>
          <cell r="F5699" t="str">
            <v>09.129.835/0001-10</v>
          </cell>
        </row>
        <row r="5700">
          <cell r="A5700">
            <v>44246</v>
          </cell>
          <cell r="B5700" t="str">
            <v>CORPORATION</v>
          </cell>
          <cell r="C5700" t="str">
            <v>L M Comercio De Tintas Ltda</v>
          </cell>
          <cell r="D5700" t="str">
            <v>L M Tintas</v>
          </cell>
          <cell r="E5700" t="str">
            <v>BR_CNPJ</v>
          </cell>
          <cell r="F5700" t="str">
            <v>32.001.690/0001-90</v>
          </cell>
          <cell r="G5700" t="str">
            <v>LOJA FER</v>
          </cell>
        </row>
        <row r="5701">
          <cell r="A5701">
            <v>44264</v>
          </cell>
          <cell r="B5701" t="str">
            <v>CORPORATION</v>
          </cell>
          <cell r="C5701" t="str">
            <v>Topflex Comercio Varejista Borrachas E Pneumaticos Ltda</v>
          </cell>
          <cell r="D5701" t="str">
            <v>Topflex (Top Center)</v>
          </cell>
          <cell r="E5701" t="str">
            <v>BR_CNPJ</v>
          </cell>
          <cell r="F5701" t="str">
            <v>23.648.650/0001-43</v>
          </cell>
          <cell r="G5701" t="str">
            <v>TOPFLEX</v>
          </cell>
        </row>
        <row r="5702">
          <cell r="A5702">
            <v>44273</v>
          </cell>
          <cell r="B5702" t="str">
            <v>CORPORATION</v>
          </cell>
          <cell r="C5702" t="str">
            <v>Comercial Parafuso Ltda</v>
          </cell>
          <cell r="D5702" t="str">
            <v>Compar</v>
          </cell>
          <cell r="E5702" t="str">
            <v>BR_CNPJ</v>
          </cell>
          <cell r="F5702" t="str">
            <v>04.688.222/0001-08</v>
          </cell>
        </row>
        <row r="5703">
          <cell r="A5703">
            <v>44292</v>
          </cell>
          <cell r="B5703" t="str">
            <v>CORPORATION</v>
          </cell>
          <cell r="C5703" t="str">
            <v>Casa Forte Construcao E Utilidades Ltda</v>
          </cell>
          <cell r="D5703" t="str">
            <v>Deposito Mariana</v>
          </cell>
          <cell r="E5703" t="str">
            <v>BR_CNPJ</v>
          </cell>
          <cell r="F5703" t="str">
            <v>37.859.906/0001-76</v>
          </cell>
        </row>
        <row r="5704">
          <cell r="A5704">
            <v>44294</v>
          </cell>
          <cell r="B5704" t="str">
            <v>CORPORATION</v>
          </cell>
          <cell r="C5704" t="str">
            <v>Martins E Pereira Comercio De Maquinas Ltda</v>
          </cell>
          <cell r="D5704" t="str">
            <v>Soldaforte</v>
          </cell>
          <cell r="E5704" t="str">
            <v>BR_CNPJ</v>
          </cell>
          <cell r="F5704" t="str">
            <v>37.952.659/0001-58</v>
          </cell>
          <cell r="G5704" t="str">
            <v>SOLDAFORTE</v>
          </cell>
        </row>
        <row r="5705">
          <cell r="A5705">
            <v>44299</v>
          </cell>
          <cell r="B5705" t="str">
            <v>CORPORATION</v>
          </cell>
          <cell r="C5705" t="str">
            <v>Leme Parafusos E Ferramentas Ltda</v>
          </cell>
          <cell r="D5705" t="str">
            <v>Leme Parafusos E Ferramentas Ltda</v>
          </cell>
          <cell r="E5705" t="str">
            <v>BR_CNPJ</v>
          </cell>
          <cell r="F5705" t="str">
            <v>54.165.132/0001-00</v>
          </cell>
        </row>
        <row r="5706">
          <cell r="A5706">
            <v>44300</v>
          </cell>
          <cell r="B5706" t="str">
            <v>CORPORATION</v>
          </cell>
          <cell r="C5706" t="str">
            <v>Sl Comercio De Aco Ltda</v>
          </cell>
          <cell r="D5706" t="str">
            <v>Linox</v>
          </cell>
          <cell r="E5706" t="str">
            <v>BR_CNPJ</v>
          </cell>
          <cell r="F5706" t="str">
            <v>10.507.403/0001-85</v>
          </cell>
        </row>
        <row r="5707">
          <cell r="A5707">
            <v>44303</v>
          </cell>
          <cell r="B5707" t="str">
            <v>CORPORATION</v>
          </cell>
          <cell r="C5707" t="str">
            <v>Hidrovolt Produtos Para Irrigacao Eireli</v>
          </cell>
          <cell r="D5707" t="str">
            <v>Hidrovolt</v>
          </cell>
          <cell r="E5707" t="str">
            <v>BR_CNPJ</v>
          </cell>
          <cell r="F5707" t="str">
            <v>26.743.763/0001-16</v>
          </cell>
        </row>
        <row r="5708">
          <cell r="A5708">
            <v>44306</v>
          </cell>
          <cell r="B5708" t="str">
            <v>CORPORATION</v>
          </cell>
          <cell r="C5708" t="str">
            <v>Camp-Par Comercio E Locacoes Ltda</v>
          </cell>
          <cell r="D5708" t="str">
            <v>Camp-Par Comercio E Locacoes Ltda</v>
          </cell>
          <cell r="E5708" t="str">
            <v>BR_CNPJ</v>
          </cell>
          <cell r="F5708" t="str">
            <v>16.918.650/0001-50</v>
          </cell>
        </row>
        <row r="5709">
          <cell r="A5709">
            <v>44308</v>
          </cell>
          <cell r="B5709" t="str">
            <v>CORPORATION</v>
          </cell>
          <cell r="C5709" t="str">
            <v>Ipiranga Reciclagem De Metais Ltda</v>
          </cell>
          <cell r="D5709" t="str">
            <v>Ipiranga Metais</v>
          </cell>
          <cell r="E5709" t="str">
            <v>BR_CNPJ</v>
          </cell>
          <cell r="F5709" t="str">
            <v>02.498.705/0002-97</v>
          </cell>
          <cell r="G5709" t="str">
            <v>IPIRANGA METAIS</v>
          </cell>
        </row>
        <row r="5710">
          <cell r="A5710">
            <v>44310</v>
          </cell>
          <cell r="B5710" t="str">
            <v>CORPORATION</v>
          </cell>
          <cell r="C5710" t="str">
            <v>Comercial Lessa Ltda</v>
          </cell>
          <cell r="D5710" t="str">
            <v>Comercial Lessa Ltda</v>
          </cell>
          <cell r="E5710" t="str">
            <v>BR_CNPJ</v>
          </cell>
          <cell r="F5710" t="str">
            <v>51.247.779/0001-85</v>
          </cell>
          <cell r="G5710" t="str">
            <v>HIDRAUNORTE</v>
          </cell>
        </row>
        <row r="5711">
          <cell r="A5711">
            <v>44312</v>
          </cell>
          <cell r="B5711" t="str">
            <v>CORPORATION</v>
          </cell>
          <cell r="C5711" t="str">
            <v>Everton Norato Girardi</v>
          </cell>
          <cell r="D5711" t="str">
            <v>Girardi Distribuidora</v>
          </cell>
          <cell r="E5711" t="str">
            <v>BR_CNPJ</v>
          </cell>
          <cell r="F5711" t="str">
            <v>23.007.822/0001-08</v>
          </cell>
        </row>
        <row r="5712">
          <cell r="A5712">
            <v>44316</v>
          </cell>
          <cell r="B5712" t="str">
            <v>CORPORATION</v>
          </cell>
          <cell r="C5712" t="str">
            <v>Divinopolis Motores Eletricos Ltda</v>
          </cell>
          <cell r="D5712" t="str">
            <v>Divinopolis Motores Eletricos Ltda</v>
          </cell>
          <cell r="E5712" t="str">
            <v>BR_CNPJ</v>
          </cell>
          <cell r="F5712" t="str">
            <v>23.892.563/0001-37</v>
          </cell>
        </row>
        <row r="5713">
          <cell r="A5713">
            <v>44330</v>
          </cell>
          <cell r="B5713" t="str">
            <v>CORPORATION</v>
          </cell>
          <cell r="C5713" t="str">
            <v>Valeria Berriel Comercio De Materiais De Construcao</v>
          </cell>
          <cell r="D5713" t="str">
            <v>Resende Protection Ferramentas</v>
          </cell>
          <cell r="E5713" t="str">
            <v>BR_CNPJ</v>
          </cell>
          <cell r="F5713" t="str">
            <v>31.130.696/0001-02</v>
          </cell>
        </row>
        <row r="5714">
          <cell r="A5714">
            <v>44336</v>
          </cell>
          <cell r="B5714" t="str">
            <v>CORPORATION</v>
          </cell>
          <cell r="C5714" t="str">
            <v>C. H. Distribuidora De Abrasivos E Ferramentas Eireli</v>
          </cell>
          <cell r="D5714" t="str">
            <v>Casa Das Ferramentas</v>
          </cell>
          <cell r="E5714" t="str">
            <v>BR_CNPJ</v>
          </cell>
          <cell r="F5714" t="str">
            <v>28.831.145/0001-53</v>
          </cell>
        </row>
        <row r="5715">
          <cell r="A5715">
            <v>44348</v>
          </cell>
          <cell r="B5715" t="str">
            <v>CORPORATION</v>
          </cell>
          <cell r="C5715" t="str">
            <v>Flavio Mendes Freire</v>
          </cell>
          <cell r="D5715" t="str">
            <v>Feirao Das Ferragens</v>
          </cell>
          <cell r="E5715" t="str">
            <v>BR_CNPJ</v>
          </cell>
          <cell r="F5715" t="str">
            <v>13.575.317/0001-06</v>
          </cell>
        </row>
        <row r="5716">
          <cell r="A5716">
            <v>44358</v>
          </cell>
          <cell r="B5716" t="str">
            <v>CORPORATION</v>
          </cell>
          <cell r="C5716" t="str">
            <v>Perfil Aco Comercio De Ferro E Aco Eireli</v>
          </cell>
          <cell r="D5716" t="str">
            <v>Perfil Aco Comercio De Ferro E Aco</v>
          </cell>
          <cell r="E5716" t="str">
            <v>BR_CNPJ</v>
          </cell>
          <cell r="F5716" t="str">
            <v>21.755.994/0001-26</v>
          </cell>
          <cell r="G5716" t="str">
            <v>PERFILAÇO MG</v>
          </cell>
        </row>
        <row r="5717">
          <cell r="A5717">
            <v>44378</v>
          </cell>
          <cell r="B5717" t="str">
            <v>CORPORATION</v>
          </cell>
          <cell r="C5717" t="str">
            <v>M E Soares De Almeida - Comercio De Ferramentas</v>
          </cell>
          <cell r="D5717" t="str">
            <v>Universal Ferramentas</v>
          </cell>
          <cell r="E5717" t="str">
            <v>BR_CNPJ</v>
          </cell>
          <cell r="F5717" t="str">
            <v>27.863.541/0001-08</v>
          </cell>
        </row>
        <row r="5718">
          <cell r="A5718">
            <v>44386</v>
          </cell>
          <cell r="B5718" t="str">
            <v>CORPORATION</v>
          </cell>
          <cell r="C5718" t="str">
            <v>Jiupato &amp; Frana Ltda</v>
          </cell>
          <cell r="D5718" t="str">
            <v>J. C. Comercio De Ferro E Aco</v>
          </cell>
          <cell r="E5718" t="str">
            <v>BR_CNPJ</v>
          </cell>
          <cell r="F5718" t="str">
            <v>03.803.131/0001-03</v>
          </cell>
        </row>
        <row r="5719">
          <cell r="A5719">
            <v>44392</v>
          </cell>
          <cell r="B5719" t="str">
            <v>CORPORATION</v>
          </cell>
          <cell r="C5719" t="str">
            <v>Tratorcap Pecas Ltda</v>
          </cell>
          <cell r="D5719" t="str">
            <v>Tratorcap</v>
          </cell>
          <cell r="E5719" t="str">
            <v>BR_CNPJ</v>
          </cell>
          <cell r="F5719" t="str">
            <v>37.852.054/0001-95</v>
          </cell>
        </row>
        <row r="5720">
          <cell r="A5720">
            <v>44395</v>
          </cell>
          <cell r="B5720" t="str">
            <v>CORPORATION</v>
          </cell>
          <cell r="C5720" t="str">
            <v>Th Distribuidora De Materiais Para Construcao Ltda</v>
          </cell>
          <cell r="D5720" t="str">
            <v>Th Distribuidora</v>
          </cell>
          <cell r="E5720" t="str">
            <v>BR_CNPJ</v>
          </cell>
          <cell r="F5720" t="str">
            <v>55.549.129/0001-45</v>
          </cell>
        </row>
        <row r="5721">
          <cell r="A5721">
            <v>44401</v>
          </cell>
          <cell r="B5721" t="str">
            <v>CORPORATION</v>
          </cell>
          <cell r="C5721" t="str">
            <v>Vinicius Silva Teixeira 08623946600</v>
          </cell>
          <cell r="D5721" t="str">
            <v>Minas Parafusos E Ferramentas</v>
          </cell>
          <cell r="E5721" t="str">
            <v>BR_CNPJ</v>
          </cell>
          <cell r="F5721" t="str">
            <v>31.493.837/0001-43</v>
          </cell>
        </row>
        <row r="5722">
          <cell r="A5722">
            <v>44411</v>
          </cell>
          <cell r="B5722" t="str">
            <v>CORPORATION</v>
          </cell>
          <cell r="C5722" t="str">
            <v>Casa Dos Compressores Ltda</v>
          </cell>
          <cell r="D5722" t="str">
            <v>Casa Dos Compressores</v>
          </cell>
          <cell r="E5722" t="str">
            <v>BR_CNPJ</v>
          </cell>
          <cell r="F5722" t="str">
            <v>04.138.872/0001-71</v>
          </cell>
        </row>
        <row r="5723">
          <cell r="A5723">
            <v>44421</v>
          </cell>
          <cell r="B5723" t="str">
            <v>CORPORATION</v>
          </cell>
          <cell r="C5723" t="str">
            <v>2ae Aereo E Rodoviario Transportes Eireli</v>
          </cell>
          <cell r="D5723" t="str">
            <v>2ae Aereo E Rodoviario Transportes Eireli</v>
          </cell>
          <cell r="E5723" t="str">
            <v>BR_CNPJ</v>
          </cell>
          <cell r="F5723" t="str">
            <v>35.822.509/0001-02</v>
          </cell>
        </row>
        <row r="5724">
          <cell r="A5724">
            <v>44429</v>
          </cell>
          <cell r="B5724" t="str">
            <v>CORPORATION</v>
          </cell>
          <cell r="C5724" t="str">
            <v>M De Andrade Supermercado</v>
          </cell>
          <cell r="D5724" t="str">
            <v>Supermercado Serve Bem</v>
          </cell>
          <cell r="E5724" t="str">
            <v>BR_CNPJ</v>
          </cell>
          <cell r="F5724" t="str">
            <v>26.898.187/0001-86</v>
          </cell>
        </row>
        <row r="5725">
          <cell r="A5725">
            <v>44441</v>
          </cell>
          <cell r="B5725" t="str">
            <v>CORPORATION</v>
          </cell>
          <cell r="C5725" t="str">
            <v>Tem Na Trena Ltda</v>
          </cell>
          <cell r="D5725" t="str">
            <v>Tem Na Trena Ltda</v>
          </cell>
          <cell r="E5725" t="str">
            <v>BR_CNPJ</v>
          </cell>
          <cell r="F5725" t="str">
            <v>37.333.375/0001-83</v>
          </cell>
        </row>
        <row r="5726">
          <cell r="A5726">
            <v>44449</v>
          </cell>
          <cell r="B5726" t="str">
            <v>CORPORATION</v>
          </cell>
          <cell r="C5726" t="str">
            <v>Comercio De Ferragens E Ferramentas Ferrofort Ltda</v>
          </cell>
          <cell r="D5726" t="str">
            <v>Ferrofort</v>
          </cell>
          <cell r="E5726" t="str">
            <v>BR_CNPJ</v>
          </cell>
          <cell r="F5726" t="str">
            <v>35.072.275/0002-04</v>
          </cell>
          <cell r="G5726" t="str">
            <v>FERROFORT</v>
          </cell>
        </row>
        <row r="5727">
          <cell r="A5727">
            <v>44451</v>
          </cell>
          <cell r="B5727" t="str">
            <v>CORPORATION</v>
          </cell>
          <cell r="C5727" t="str">
            <v>Cooperativa Dos Plantadores De Cana Do Estado Sao Paulo</v>
          </cell>
          <cell r="D5727" t="str">
            <v>Coplacana (Itapeva)</v>
          </cell>
          <cell r="E5727" t="str">
            <v>BR_CNPJ</v>
          </cell>
          <cell r="F5727" t="str">
            <v>54.366.547/0048-06</v>
          </cell>
          <cell r="G5727" t="str">
            <v>COPLACANA</v>
          </cell>
        </row>
        <row r="5728">
          <cell r="A5728">
            <v>44453</v>
          </cell>
          <cell r="B5728" t="str">
            <v>CORPORATION</v>
          </cell>
          <cell r="C5728" t="str">
            <v>Paineis Angatu Ltda</v>
          </cell>
          <cell r="D5728" t="str">
            <v>Compensados Angatu</v>
          </cell>
          <cell r="E5728" t="str">
            <v>BR_CNPJ</v>
          </cell>
          <cell r="F5728" t="str">
            <v>20.978.794/0001-70</v>
          </cell>
          <cell r="G5728" t="str">
            <v>ANGATU</v>
          </cell>
        </row>
        <row r="5729">
          <cell r="A5729">
            <v>44454</v>
          </cell>
          <cell r="B5729" t="str">
            <v>CORPORATION</v>
          </cell>
          <cell r="C5729" t="str">
            <v>Casa Do Serralheiro De Sao Carlos Eireli</v>
          </cell>
          <cell r="D5729" t="str">
            <v>Casesc</v>
          </cell>
          <cell r="E5729" t="str">
            <v>BR_CNPJ</v>
          </cell>
          <cell r="F5729" t="str">
            <v>04.357.243/0001-32</v>
          </cell>
        </row>
        <row r="5730">
          <cell r="A5730">
            <v>44455</v>
          </cell>
          <cell r="B5730" t="str">
            <v>CORPORATION</v>
          </cell>
          <cell r="C5730" t="str">
            <v>Kies Materiais De Construcao Ltda</v>
          </cell>
          <cell r="D5730" t="str">
            <v>Kies</v>
          </cell>
          <cell r="E5730" t="str">
            <v>BR_CNPJ</v>
          </cell>
          <cell r="F5730" t="str">
            <v>93.606.333/0001-40</v>
          </cell>
        </row>
        <row r="5731">
          <cell r="A5731">
            <v>44469</v>
          </cell>
          <cell r="B5731" t="str">
            <v>CORPORATION</v>
          </cell>
          <cell r="C5731" t="str">
            <v>Fernando Marin Fernandes Presidente Epitacio</v>
          </cell>
          <cell r="D5731" t="str">
            <v>Eletroeste</v>
          </cell>
          <cell r="E5731" t="str">
            <v>BR_CNPJ</v>
          </cell>
          <cell r="F5731" t="str">
            <v>04.791.310/0001-22</v>
          </cell>
        </row>
        <row r="5732">
          <cell r="A5732">
            <v>44471</v>
          </cell>
          <cell r="B5732" t="str">
            <v>CORPORATION</v>
          </cell>
          <cell r="C5732" t="str">
            <v>Mundo Das Ferramentas Ltda</v>
          </cell>
          <cell r="D5732" t="str">
            <v>Mundo Das Ferramentas Ltda</v>
          </cell>
          <cell r="E5732" t="str">
            <v>BR_CNPJ</v>
          </cell>
          <cell r="F5732" t="str">
            <v>15.270.498/0002-60</v>
          </cell>
          <cell r="G5732" t="str">
            <v>MUNDO DAS FERRAMENTAS LTDA</v>
          </cell>
        </row>
        <row r="5733">
          <cell r="A5733">
            <v>44472</v>
          </cell>
          <cell r="B5733" t="str">
            <v>CORPORATION</v>
          </cell>
          <cell r="C5733" t="str">
            <v>Sinval F. Fagundes</v>
          </cell>
          <cell r="D5733" t="str">
            <v>Sinval F. Fagundes</v>
          </cell>
          <cell r="E5733" t="str">
            <v>BR_CNPJ</v>
          </cell>
          <cell r="F5733" t="str">
            <v>11.511.963/0001-76</v>
          </cell>
        </row>
        <row r="5734">
          <cell r="A5734">
            <v>44476</v>
          </cell>
          <cell r="B5734" t="str">
            <v>CORPORATION</v>
          </cell>
          <cell r="C5734" t="str">
            <v>Comercio De Ferro E Aco Oliveira Ltda</v>
          </cell>
          <cell r="D5734" t="str">
            <v>Ferragens Oliveira</v>
          </cell>
          <cell r="E5734" t="str">
            <v>BR_CNPJ</v>
          </cell>
          <cell r="F5734" t="str">
            <v>28.081.801/0001-48</v>
          </cell>
        </row>
        <row r="5735">
          <cell r="A5735">
            <v>44482</v>
          </cell>
          <cell r="B5735" t="str">
            <v>CORPORATION</v>
          </cell>
          <cell r="C5735" t="str">
            <v>Flavia Camila Teixeira Da Silva - Comercio De Ferramentas</v>
          </cell>
          <cell r="D5735" t="str">
            <v>Casa Das Ferramentas</v>
          </cell>
          <cell r="E5735" t="str">
            <v>BR_CNPJ</v>
          </cell>
          <cell r="F5735" t="str">
            <v>30.785.743/0001-85</v>
          </cell>
        </row>
        <row r="5736">
          <cell r="A5736">
            <v>44491</v>
          </cell>
          <cell r="B5736" t="str">
            <v>CORPORATION</v>
          </cell>
          <cell r="C5736" t="str">
            <v>Lara Jamille Osterno Menezes</v>
          </cell>
          <cell r="D5736" t="str">
            <v>Lara Jamille Osterno Menezes</v>
          </cell>
          <cell r="E5736" t="str">
            <v>BR_CNPJ</v>
          </cell>
          <cell r="F5736" t="str">
            <v>12.277.849/0002-77</v>
          </cell>
          <cell r="G5736" t="str">
            <v>LARA JAMILLE</v>
          </cell>
        </row>
        <row r="5737">
          <cell r="A5737">
            <v>44495</v>
          </cell>
          <cell r="B5737" t="str">
            <v>CORPORATION</v>
          </cell>
          <cell r="C5737" t="str">
            <v>Morozini Maquinas E Equipamentos Ltda</v>
          </cell>
          <cell r="D5737" t="str">
            <v>Morozini Maquinas E Ferramentas</v>
          </cell>
          <cell r="E5737" t="str">
            <v>BR_CNPJ</v>
          </cell>
          <cell r="F5737" t="str">
            <v>04.996.318/0001-25</v>
          </cell>
        </row>
        <row r="5738">
          <cell r="A5738">
            <v>44500</v>
          </cell>
          <cell r="B5738" t="str">
            <v>CORPORATION</v>
          </cell>
          <cell r="C5738" t="str">
            <v>Breno De C. Andrade</v>
          </cell>
          <cell r="D5738" t="str">
            <v>Ma Tecsoldas</v>
          </cell>
          <cell r="E5738" t="str">
            <v>BR_CNPJ</v>
          </cell>
          <cell r="F5738" t="str">
            <v>28.112.550/0001-11</v>
          </cell>
        </row>
        <row r="5739">
          <cell r="A5739">
            <v>44513</v>
          </cell>
          <cell r="B5739" t="str">
            <v>CORPORATION</v>
          </cell>
          <cell r="C5739" t="str">
            <v>Usimaq Maquinas E Ferramentas Ltda</v>
          </cell>
          <cell r="D5739" t="str">
            <v>Usimaq Maquinas E Ferramentas</v>
          </cell>
          <cell r="E5739" t="str">
            <v>BR_CNPJ</v>
          </cell>
          <cell r="F5739" t="str">
            <v>30.119.492/0001-08</v>
          </cell>
        </row>
        <row r="5740">
          <cell r="A5740">
            <v>44530</v>
          </cell>
          <cell r="B5740" t="str">
            <v>CORPORATION</v>
          </cell>
          <cell r="C5740" t="str">
            <v>Santa Julia Comercial De Ferramentas Ltda</v>
          </cell>
          <cell r="D5740" t="str">
            <v>Santa Julia</v>
          </cell>
          <cell r="E5740" t="str">
            <v>BR_CNPJ</v>
          </cell>
          <cell r="F5740" t="str">
            <v>02.559.454/0001-22</v>
          </cell>
        </row>
        <row r="5741">
          <cell r="A5741">
            <v>44535</v>
          </cell>
          <cell r="B5741" t="str">
            <v>CORPORATION</v>
          </cell>
          <cell r="C5741" t="str">
            <v>Adriano Ribeiro Da Silva</v>
          </cell>
          <cell r="D5741" t="str">
            <v>Aluvidros Esquadrias</v>
          </cell>
          <cell r="E5741" t="str">
            <v>BR_CNPJ</v>
          </cell>
          <cell r="F5741" t="str">
            <v>30.436.291/0001-26</v>
          </cell>
        </row>
        <row r="5742">
          <cell r="A5742">
            <v>44537</v>
          </cell>
          <cell r="B5742" t="str">
            <v>CORPORATION</v>
          </cell>
          <cell r="C5742" t="str">
            <v>Maria De Souza Silva Ribeiro</v>
          </cell>
          <cell r="D5742" t="str">
            <v>Casa Do Parafuso Magipar</v>
          </cell>
          <cell r="E5742" t="str">
            <v>BR_CNPJ</v>
          </cell>
          <cell r="F5742" t="str">
            <v>13.292.009/0001-65</v>
          </cell>
        </row>
        <row r="5743">
          <cell r="A5743">
            <v>44548</v>
          </cell>
          <cell r="B5743" t="str">
            <v>CORPORATION</v>
          </cell>
          <cell r="C5743" t="str">
            <v>Deaco Comercio De Tubos E Acos Ltda</v>
          </cell>
          <cell r="D5743" t="str">
            <v>Deaco</v>
          </cell>
          <cell r="E5743" t="str">
            <v>BR_CNPJ</v>
          </cell>
          <cell r="F5743" t="str">
            <v>02.991.714/0001-34</v>
          </cell>
        </row>
        <row r="5744">
          <cell r="A5744">
            <v>44555</v>
          </cell>
          <cell r="B5744" t="str">
            <v>CORPORATION</v>
          </cell>
          <cell r="C5744" t="str">
            <v>Dal Ferragens E Ferramentas Ltda</v>
          </cell>
          <cell r="D5744" t="str">
            <v>Dal Ferragens</v>
          </cell>
          <cell r="E5744" t="str">
            <v>BR_CNPJ</v>
          </cell>
          <cell r="F5744" t="str">
            <v>19.244.316/0001-57</v>
          </cell>
        </row>
        <row r="5745">
          <cell r="A5745">
            <v>44560</v>
          </cell>
          <cell r="B5745" t="str">
            <v>CORPORATION</v>
          </cell>
          <cell r="C5745" t="str">
            <v>Nova J C Motores Comercio E Servicos Ltda</v>
          </cell>
          <cell r="D5745" t="str">
            <v>Nova J C Motores Comercio E Servicos Ltda</v>
          </cell>
          <cell r="E5745" t="str">
            <v>BR_CNPJ</v>
          </cell>
          <cell r="F5745" t="str">
            <v>55.555.704/0001-12</v>
          </cell>
          <cell r="G5745" t="str">
            <v>J C MOTORES</v>
          </cell>
        </row>
        <row r="5746">
          <cell r="A5746">
            <v>44562</v>
          </cell>
          <cell r="B5746" t="str">
            <v>CORPORATION</v>
          </cell>
          <cell r="C5746" t="str">
            <v>Luis Alberto Rodrigues Grube 43477011953</v>
          </cell>
          <cell r="D5746" t="str">
            <v>Maquinas Fenix</v>
          </cell>
          <cell r="E5746" t="str">
            <v>BR_CNPJ</v>
          </cell>
          <cell r="F5746" t="str">
            <v>20.729.801/0001-08</v>
          </cell>
        </row>
        <row r="5747">
          <cell r="A5747">
            <v>44563</v>
          </cell>
          <cell r="B5747" t="str">
            <v>CORPORATION</v>
          </cell>
          <cell r="C5747" t="str">
            <v>Cofemil - Comercio De Ferramentas E Material Industrial Ltda</v>
          </cell>
          <cell r="D5747" t="str">
            <v>Cofemil</v>
          </cell>
          <cell r="E5747" t="str">
            <v>BR_CNPJ</v>
          </cell>
          <cell r="F5747" t="str">
            <v>08.028.883/0001-50</v>
          </cell>
        </row>
        <row r="5748">
          <cell r="A5748">
            <v>44564</v>
          </cell>
          <cell r="B5748" t="str">
            <v>CORPORATION</v>
          </cell>
          <cell r="C5748" t="str">
            <v>Juruna Comercio De Soldas Ltda</v>
          </cell>
          <cell r="D5748" t="str">
            <v>Juruna Comercio De Soldas Ltda</v>
          </cell>
          <cell r="E5748" t="str">
            <v>BR_CNPJ</v>
          </cell>
          <cell r="F5748" t="str">
            <v>45.150.182/0001-15</v>
          </cell>
        </row>
        <row r="5749">
          <cell r="A5749">
            <v>44570</v>
          </cell>
          <cell r="B5749" t="str">
            <v>CORPORATION</v>
          </cell>
          <cell r="C5749" t="str">
            <v>Ramon Ap Trindade De Almeida Comercio Importacao E Exportacao</v>
          </cell>
          <cell r="D5749" t="str">
            <v>Trindade Ferramentas</v>
          </cell>
          <cell r="E5749" t="str">
            <v>BR_CNPJ</v>
          </cell>
          <cell r="F5749" t="str">
            <v>32.473.620/0001-34</v>
          </cell>
        </row>
        <row r="5750">
          <cell r="A5750">
            <v>44571</v>
          </cell>
          <cell r="B5750" t="str">
            <v>CORPORATION</v>
          </cell>
          <cell r="C5750" t="str">
            <v>Polo Brasileiro De Auto Pecas Ltda</v>
          </cell>
          <cell r="D5750" t="str">
            <v>Polo Brasileiro De Auto Pecas</v>
          </cell>
          <cell r="E5750" t="str">
            <v>BR_CNPJ</v>
          </cell>
          <cell r="F5750" t="str">
            <v>05.488.628/0001-00</v>
          </cell>
        </row>
        <row r="5751">
          <cell r="A5751">
            <v>44577</v>
          </cell>
          <cell r="B5751" t="str">
            <v>CORPORATION</v>
          </cell>
          <cell r="C5751" t="str">
            <v>Br Parafusos Importadora Comercial Ltda</v>
          </cell>
          <cell r="D5751" t="str">
            <v>Br Parafusos Distribuidora</v>
          </cell>
          <cell r="E5751" t="str">
            <v>BR_CNPJ</v>
          </cell>
          <cell r="F5751" t="str">
            <v>02.556.423/0002-07</v>
          </cell>
          <cell r="G5751" t="str">
            <v>BR PARAFUSOS</v>
          </cell>
        </row>
        <row r="5752">
          <cell r="A5752">
            <v>44581</v>
          </cell>
          <cell r="B5752" t="str">
            <v>CORPORATION</v>
          </cell>
          <cell r="C5752" t="str">
            <v>Imperio Agro Metal Ltda</v>
          </cell>
          <cell r="D5752" t="str">
            <v>Imperio Metalurgica</v>
          </cell>
          <cell r="E5752" t="str">
            <v>BR_CNPJ</v>
          </cell>
          <cell r="F5752" t="str">
            <v>19.668.841/0001-08</v>
          </cell>
        </row>
        <row r="5753">
          <cell r="A5753">
            <v>44582</v>
          </cell>
          <cell r="B5753" t="str">
            <v>CORPORATION</v>
          </cell>
          <cell r="C5753" t="str">
            <v>Djalma Silva Almeida Barros 52298302715</v>
          </cell>
          <cell r="D5753" t="str">
            <v>Vende Mais Atacarejo</v>
          </cell>
          <cell r="E5753" t="str">
            <v>BR_CNPJ</v>
          </cell>
          <cell r="F5753" t="str">
            <v>47.824.106/0001-73</v>
          </cell>
          <cell r="G5753" t="str">
            <v>BARATÃO</v>
          </cell>
        </row>
        <row r="5754">
          <cell r="A5754">
            <v>44583</v>
          </cell>
          <cell r="B5754" t="str">
            <v>CORPORATION</v>
          </cell>
          <cell r="C5754" t="str">
            <v>Remavi Solucoes Industriais Ltda</v>
          </cell>
          <cell r="D5754" t="str">
            <v>Remavi Solucoes Industriais</v>
          </cell>
          <cell r="E5754" t="str">
            <v>BR_CNPJ</v>
          </cell>
          <cell r="F5754" t="str">
            <v>50.018.013/0001-66</v>
          </cell>
        </row>
        <row r="5755">
          <cell r="A5755">
            <v>44586</v>
          </cell>
          <cell r="B5755" t="str">
            <v>CORPORATION</v>
          </cell>
          <cell r="C5755" t="str">
            <v>World Seg Produtos Para Seguranca Ltda</v>
          </cell>
          <cell r="D5755" t="str">
            <v>World Seg</v>
          </cell>
          <cell r="E5755" t="str">
            <v>BR_CNPJ</v>
          </cell>
          <cell r="F5755" t="str">
            <v>02.311.428/0001-80</v>
          </cell>
        </row>
        <row r="5756">
          <cell r="A5756">
            <v>44592</v>
          </cell>
          <cell r="B5756" t="str">
            <v>CORPORATION</v>
          </cell>
          <cell r="C5756" t="str">
            <v>37.290.811 Camila Aparecida Da Silva Messias</v>
          </cell>
          <cell r="D5756" t="str">
            <v>Imperio Solucoes Pontal</v>
          </cell>
          <cell r="E5756" t="str">
            <v>BR_CNPJ</v>
          </cell>
          <cell r="F5756" t="str">
            <v>37.290.811/0001-84</v>
          </cell>
        </row>
        <row r="5757">
          <cell r="A5757">
            <v>44596</v>
          </cell>
          <cell r="B5757" t="str">
            <v>CORPORATION</v>
          </cell>
          <cell r="C5757" t="str">
            <v>Santa Luzia Ferro E Aco Ltda.</v>
          </cell>
          <cell r="D5757" t="str">
            <v>Sanfer</v>
          </cell>
          <cell r="E5757" t="str">
            <v>BR_CNPJ</v>
          </cell>
          <cell r="F5757" t="str">
            <v>06.943.261/0001-21</v>
          </cell>
        </row>
        <row r="5758">
          <cell r="A5758">
            <v>44597</v>
          </cell>
          <cell r="B5758" t="str">
            <v>CORPORATION</v>
          </cell>
          <cell r="C5758" t="str">
            <v>Sebastiao Simiema Junior</v>
          </cell>
          <cell r="D5758" t="str">
            <v>Ferragista Sol Nascente</v>
          </cell>
          <cell r="E5758" t="str">
            <v>BR_CNPJ</v>
          </cell>
          <cell r="F5758" t="str">
            <v>07.462.909/0001-00</v>
          </cell>
        </row>
        <row r="5759">
          <cell r="A5759">
            <v>44599</v>
          </cell>
          <cell r="B5759" t="str">
            <v>CORPORATION</v>
          </cell>
          <cell r="C5759" t="str">
            <v>Yl Valents Prestacao De Servico Em Seguranca Do Trabalho E Meio Ambiente Ltda</v>
          </cell>
          <cell r="D5759" t="str">
            <v>Yl Valents Prestacao De Servico Em Seguranca Do Trabalho E Meio Ambiente</v>
          </cell>
          <cell r="E5759" t="str">
            <v>BR_CNPJ</v>
          </cell>
          <cell r="F5759" t="str">
            <v>32.653.860/0001-10</v>
          </cell>
        </row>
        <row r="5760">
          <cell r="A5760">
            <v>44600</v>
          </cell>
          <cell r="B5760" t="str">
            <v>CORPORATION</v>
          </cell>
          <cell r="C5760" t="str">
            <v>Santos Epi'S Ltda</v>
          </cell>
          <cell r="D5760" t="str">
            <v>Santos Epi'S Ltda</v>
          </cell>
          <cell r="E5760" t="str">
            <v>BR_CNPJ</v>
          </cell>
          <cell r="F5760" t="str">
            <v>21.767.831/0001-63</v>
          </cell>
        </row>
        <row r="5761">
          <cell r="A5761">
            <v>44604</v>
          </cell>
          <cell r="B5761" t="str">
            <v>CORPORATION</v>
          </cell>
          <cell r="C5761" t="str">
            <v>Invicta Comercio E Locacoes De Equipamentos Ltda</v>
          </cell>
          <cell r="D5761" t="str">
            <v>Invicta Ferramentas E Locacoes</v>
          </cell>
          <cell r="E5761" t="str">
            <v>BR_CNPJ</v>
          </cell>
          <cell r="F5761" t="str">
            <v>29.740.475/0001-04</v>
          </cell>
        </row>
        <row r="5762">
          <cell r="A5762">
            <v>44607</v>
          </cell>
          <cell r="B5762" t="str">
            <v>CORPORATION</v>
          </cell>
          <cell r="C5762" t="str">
            <v>Comercial Silveira Ltda</v>
          </cell>
          <cell r="D5762" t="str">
            <v>Hidraunorte</v>
          </cell>
          <cell r="E5762" t="str">
            <v>BR_CNPJ</v>
          </cell>
          <cell r="F5762" t="str">
            <v>18.590.672/0001-60</v>
          </cell>
          <cell r="G5762" t="str">
            <v>HIDRAUNORTE</v>
          </cell>
        </row>
        <row r="5763">
          <cell r="A5763">
            <v>44620</v>
          </cell>
          <cell r="B5763" t="str">
            <v>CORPORATION</v>
          </cell>
          <cell r="C5763" t="str">
            <v>Itaqua-Comercio De Materiais Para Solda Ltda</v>
          </cell>
          <cell r="D5763" t="str">
            <v>Itaquasoldas</v>
          </cell>
          <cell r="E5763" t="str">
            <v>BR_CNPJ</v>
          </cell>
          <cell r="F5763" t="str">
            <v>64.513.799/0001-00</v>
          </cell>
        </row>
        <row r="5764">
          <cell r="A5764">
            <v>44623</v>
          </cell>
          <cell r="B5764" t="str">
            <v>CORPORATION</v>
          </cell>
          <cell r="C5764" t="str">
            <v>Maria Zelia Da Silva Brito Feijao</v>
          </cell>
          <cell r="D5764" t="str">
            <v>Casa Das Soldas</v>
          </cell>
          <cell r="E5764" t="str">
            <v>BR_CNPJ</v>
          </cell>
          <cell r="F5764" t="str">
            <v>11.134.630/0001-75</v>
          </cell>
        </row>
        <row r="5765">
          <cell r="A5765">
            <v>44633</v>
          </cell>
          <cell r="B5765" t="str">
            <v>CORPORATION</v>
          </cell>
          <cell r="C5765" t="str">
            <v>V A Buschini</v>
          </cell>
          <cell r="D5765" t="str">
            <v>V A Buschini</v>
          </cell>
          <cell r="E5765" t="str">
            <v>BR_CNPJ</v>
          </cell>
          <cell r="F5765" t="str">
            <v>00.250.912/0001-11</v>
          </cell>
        </row>
        <row r="5766">
          <cell r="A5766">
            <v>44634</v>
          </cell>
          <cell r="B5766" t="str">
            <v>CORPORATION</v>
          </cell>
          <cell r="C5766" t="str">
            <v>50.275.974 Marcia Do Rocio De Cristo</v>
          </cell>
          <cell r="D5766" t="str">
            <v>Mc Ferramentas E Manutencao</v>
          </cell>
          <cell r="E5766" t="str">
            <v>BR_CNPJ</v>
          </cell>
          <cell r="F5766" t="str">
            <v>50.275.974/0001-56</v>
          </cell>
        </row>
        <row r="5767">
          <cell r="A5767">
            <v>44638</v>
          </cell>
          <cell r="B5767" t="str">
            <v>CORPORATION</v>
          </cell>
          <cell r="C5767" t="str">
            <v>Bttec Acos E Ferragens Ltda</v>
          </cell>
          <cell r="D5767" t="str">
            <v>Bttec Acos E Ferragens</v>
          </cell>
          <cell r="E5767" t="str">
            <v>BR_CNPJ</v>
          </cell>
          <cell r="F5767" t="str">
            <v>30.926.591/0001-93</v>
          </cell>
          <cell r="G5767" t="str">
            <v>BTTEC</v>
          </cell>
        </row>
        <row r="5768">
          <cell r="A5768">
            <v>44649</v>
          </cell>
          <cell r="B5768" t="str">
            <v>CORPORATION</v>
          </cell>
          <cell r="C5768" t="str">
            <v>Ahp Maquinas E Ferramentas Ltda</v>
          </cell>
          <cell r="D5768" t="str">
            <v>Ahp Maquinas E Ferramentas Ltda</v>
          </cell>
          <cell r="E5768" t="str">
            <v>BR_CNPJ</v>
          </cell>
          <cell r="F5768" t="str">
            <v>49.841.739/0001-15</v>
          </cell>
        </row>
        <row r="5769">
          <cell r="A5769">
            <v>44651</v>
          </cell>
          <cell r="B5769" t="str">
            <v>CORPORATION</v>
          </cell>
          <cell r="C5769" t="str">
            <v>Guaruja Comercio De Ferragens Ltda</v>
          </cell>
          <cell r="D5769" t="str">
            <v>Disagua</v>
          </cell>
          <cell r="E5769" t="str">
            <v>BR_CNPJ</v>
          </cell>
          <cell r="F5769" t="str">
            <v>08.139.789/0004-10</v>
          </cell>
          <cell r="G5769" t="str">
            <v>DISAGUA</v>
          </cell>
        </row>
        <row r="5770">
          <cell r="A5770">
            <v>44663</v>
          </cell>
          <cell r="B5770" t="str">
            <v>CORPORATION</v>
          </cell>
          <cell r="C5770" t="str">
            <v>Liflex Com.De Correias Mang Conexoes E M Seg Ltda</v>
          </cell>
          <cell r="D5770" t="str">
            <v>Liflex - A Casa Da Borracha</v>
          </cell>
          <cell r="E5770" t="str">
            <v>BR_CNPJ</v>
          </cell>
          <cell r="F5770" t="str">
            <v>54.879.283/0001-12</v>
          </cell>
        </row>
        <row r="5771">
          <cell r="A5771">
            <v>44671</v>
          </cell>
          <cell r="B5771" t="str">
            <v>CORPORATION</v>
          </cell>
          <cell r="C5771" t="str">
            <v>Globo Produtos Metalurgicos Ltda</v>
          </cell>
          <cell r="D5771" t="str">
            <v>Ferragens Globo</v>
          </cell>
          <cell r="E5771" t="str">
            <v>BR_CNPJ</v>
          </cell>
          <cell r="F5771" t="str">
            <v>23.244.177/0001-39</v>
          </cell>
        </row>
        <row r="5772">
          <cell r="A5772">
            <v>44676</v>
          </cell>
          <cell r="B5772" t="str">
            <v>CORPORATION</v>
          </cell>
          <cell r="C5772" t="str">
            <v>J. L. Agroindustrial Ltda</v>
          </cell>
          <cell r="D5772" t="str">
            <v>J. L. Agroindustrial Ltda</v>
          </cell>
          <cell r="E5772" t="str">
            <v>BR_CNPJ</v>
          </cell>
          <cell r="F5772" t="str">
            <v>90.381.617/0001-97</v>
          </cell>
        </row>
        <row r="5773">
          <cell r="A5773">
            <v>44677</v>
          </cell>
          <cell r="B5773" t="str">
            <v>CORPORATION</v>
          </cell>
          <cell r="C5773" t="str">
            <v>Fabricari Fabricacao De Esquadrias De Metal Eireli</v>
          </cell>
          <cell r="D5773" t="str">
            <v>Fabricari</v>
          </cell>
          <cell r="E5773" t="str">
            <v>BR_CNPJ</v>
          </cell>
          <cell r="F5773" t="str">
            <v>14.019.066/0001-38</v>
          </cell>
        </row>
        <row r="5774">
          <cell r="A5774">
            <v>44683</v>
          </cell>
          <cell r="B5774" t="str">
            <v>CORPORATION</v>
          </cell>
          <cell r="C5774" t="str">
            <v>Vivaldo Rosa De Oliveira</v>
          </cell>
          <cell r="D5774" t="str">
            <v>Vhc- Comercio E Servicos</v>
          </cell>
          <cell r="E5774" t="str">
            <v>BR_CNPJ</v>
          </cell>
          <cell r="F5774" t="str">
            <v>36.410.758/0001-45</v>
          </cell>
        </row>
        <row r="5775">
          <cell r="A5775">
            <v>44687</v>
          </cell>
          <cell r="B5775" t="str">
            <v>CORPORATION</v>
          </cell>
          <cell r="C5775" t="str">
            <v>Casa Gurgel Comercio De Material De Construcao Ltda</v>
          </cell>
          <cell r="D5775" t="str">
            <v>Casa Gurgel</v>
          </cell>
          <cell r="E5775" t="str">
            <v>BR_CNPJ</v>
          </cell>
          <cell r="F5775" t="str">
            <v>10.701.065/0001-18</v>
          </cell>
          <cell r="G5775" t="str">
            <v>CASA GURGEL</v>
          </cell>
        </row>
        <row r="5776">
          <cell r="A5776">
            <v>44700</v>
          </cell>
          <cell r="B5776" t="str">
            <v>CORPORATION</v>
          </cell>
          <cell r="C5776" t="str">
            <v>Oxicunha Brasil Gases Ltda</v>
          </cell>
          <cell r="D5776" t="str">
            <v>Oxicunha Logistica De Gases</v>
          </cell>
          <cell r="E5776" t="str">
            <v>BR_CNPJ</v>
          </cell>
          <cell r="F5776" t="str">
            <v>03.929.745/0001-28</v>
          </cell>
        </row>
        <row r="5777">
          <cell r="A5777">
            <v>44703</v>
          </cell>
          <cell r="B5777" t="str">
            <v>CORPORATION</v>
          </cell>
          <cell r="C5777" t="str">
            <v>Chamana Ferros E Ferragens Ltda</v>
          </cell>
          <cell r="D5777" t="str">
            <v>Chamana</v>
          </cell>
          <cell r="E5777" t="str">
            <v>BR_CNPJ</v>
          </cell>
          <cell r="F5777" t="str">
            <v>43.650.951/0001-19</v>
          </cell>
        </row>
        <row r="5778">
          <cell r="A5778">
            <v>44710</v>
          </cell>
          <cell r="B5778" t="str">
            <v>CORPORATION</v>
          </cell>
          <cell r="C5778" t="str">
            <v>Coelho &amp; Coelho Comercio E Servicos Ltda</v>
          </cell>
          <cell r="D5778" t="str">
            <v>Corte &amp; Solda</v>
          </cell>
          <cell r="E5778" t="str">
            <v>BR_CNPJ</v>
          </cell>
          <cell r="F5778" t="str">
            <v>83.672.220/0001-99</v>
          </cell>
        </row>
        <row r="5779">
          <cell r="A5779">
            <v>44715</v>
          </cell>
          <cell r="B5779" t="str">
            <v>CORPORATION</v>
          </cell>
          <cell r="C5779" t="str">
            <v>J. T. Comercio De Ferramentas Ltda</v>
          </cell>
          <cell r="D5779" t="str">
            <v>Xavier Ferramentas E Servicos</v>
          </cell>
          <cell r="E5779" t="str">
            <v>BR_CNPJ</v>
          </cell>
          <cell r="F5779" t="str">
            <v>21.010.445/0001-22</v>
          </cell>
        </row>
        <row r="5780">
          <cell r="A5780">
            <v>44716</v>
          </cell>
          <cell r="B5780" t="str">
            <v>CORPORATION</v>
          </cell>
          <cell r="C5780" t="str">
            <v>Mota &amp; Filhos Ltda</v>
          </cell>
          <cell r="D5780" t="str">
            <v>Makusa</v>
          </cell>
          <cell r="E5780" t="str">
            <v>BR_CNPJ</v>
          </cell>
          <cell r="F5780" t="str">
            <v>12.041.869/0001-63</v>
          </cell>
        </row>
        <row r="5781">
          <cell r="A5781">
            <v>44719</v>
          </cell>
          <cell r="B5781" t="str">
            <v>CORPORATION</v>
          </cell>
          <cell r="C5781" t="str">
            <v>Rayssa Maria Do Nascimento 41898037825</v>
          </cell>
          <cell r="D5781" t="str">
            <v>Lumi Ferragens</v>
          </cell>
          <cell r="E5781" t="str">
            <v>BR_CNPJ</v>
          </cell>
          <cell r="F5781" t="str">
            <v>46.957.504/0001-03</v>
          </cell>
        </row>
        <row r="5782">
          <cell r="A5782">
            <v>44723</v>
          </cell>
          <cell r="B5782" t="str">
            <v>CORPORATION</v>
          </cell>
          <cell r="C5782" t="str">
            <v>Bueno Maquinas E Ferramentas Ltda</v>
          </cell>
          <cell r="D5782" t="str">
            <v>Bueno Maquinas E Ferramentas</v>
          </cell>
          <cell r="E5782" t="str">
            <v>BR_CNPJ</v>
          </cell>
          <cell r="F5782" t="str">
            <v>28.401.171/0001-41</v>
          </cell>
        </row>
        <row r="5783">
          <cell r="A5783">
            <v>44725</v>
          </cell>
          <cell r="B5783" t="str">
            <v>CORPORATION</v>
          </cell>
          <cell r="C5783" t="str">
            <v>J Ricardo Araujo Ferreiraltda</v>
          </cell>
          <cell r="D5783" t="str">
            <v>Coite Rural</v>
          </cell>
          <cell r="E5783" t="str">
            <v>BR_CNPJ</v>
          </cell>
          <cell r="F5783" t="str">
            <v>40.465.478/0003-73</v>
          </cell>
          <cell r="G5783" t="str">
            <v>COITE RURAL</v>
          </cell>
        </row>
        <row r="5784">
          <cell r="A5784">
            <v>44739</v>
          </cell>
          <cell r="B5784" t="str">
            <v>CORPORATION</v>
          </cell>
          <cell r="C5784" t="str">
            <v>Sonar Comercio De Pecas E Servicos Ltda</v>
          </cell>
          <cell r="D5784" t="str">
            <v>Universo Dos Fogoes</v>
          </cell>
          <cell r="E5784" t="str">
            <v>BR_CNPJ</v>
          </cell>
          <cell r="F5784" t="str">
            <v>10.967.399/0003-08</v>
          </cell>
          <cell r="G5784" t="str">
            <v>SONAR</v>
          </cell>
        </row>
        <row r="5785">
          <cell r="A5785">
            <v>44742</v>
          </cell>
          <cell r="B5785" t="str">
            <v>CORPORATION</v>
          </cell>
          <cell r="C5785" t="str">
            <v>Fastenal Brasil Importacao, Exportacao E Distribuicao Ltda.</v>
          </cell>
          <cell r="D5785" t="str">
            <v>Fastenal Brasil Importacao, Exportacao E Distribuicao Ltda.</v>
          </cell>
          <cell r="E5785" t="str">
            <v>BR_CNPJ</v>
          </cell>
          <cell r="F5785" t="str">
            <v>13.182.443/0001-92</v>
          </cell>
          <cell r="G5785" t="str">
            <v>FASTENAL</v>
          </cell>
        </row>
        <row r="5786">
          <cell r="A5786">
            <v>44749</v>
          </cell>
          <cell r="B5786" t="str">
            <v>CORPORATION</v>
          </cell>
          <cell r="C5786" t="str">
            <v>Mgm Comercio De Maquinas E Equipamentos Industriais Eireli</v>
          </cell>
          <cell r="D5786" t="str">
            <v>Mgm Ferramentas</v>
          </cell>
          <cell r="E5786" t="str">
            <v>BR_CNPJ</v>
          </cell>
          <cell r="F5786" t="str">
            <v>72.536.659/0002-59</v>
          </cell>
          <cell r="G5786" t="str">
            <v>MGM FERRAMENTAS</v>
          </cell>
        </row>
        <row r="5787">
          <cell r="A5787">
            <v>44756</v>
          </cell>
          <cell r="B5787" t="str">
            <v>CORPORATION</v>
          </cell>
          <cell r="C5787" t="str">
            <v>Felipe Leal Ferreira</v>
          </cell>
          <cell r="D5787" t="str">
            <v>Dantas Maquinas</v>
          </cell>
          <cell r="E5787" t="str">
            <v>BR_CNPJ</v>
          </cell>
          <cell r="F5787" t="str">
            <v>27.824.794/0001-64</v>
          </cell>
        </row>
        <row r="5788">
          <cell r="A5788">
            <v>44767</v>
          </cell>
          <cell r="B5788" t="str">
            <v>CORPORATION</v>
          </cell>
          <cell r="C5788" t="str">
            <v>Souza Lanz Parafusos Ltda</v>
          </cell>
          <cell r="D5788" t="str">
            <v>Sl Parafusos</v>
          </cell>
          <cell r="E5788" t="str">
            <v>BR_CNPJ</v>
          </cell>
          <cell r="F5788" t="str">
            <v>06.046.959/0001-44</v>
          </cell>
        </row>
        <row r="5789">
          <cell r="A5789">
            <v>44770</v>
          </cell>
          <cell r="B5789" t="str">
            <v>CORPORATION</v>
          </cell>
          <cell r="C5789" t="str">
            <v>Comercial Eletrica Wf 04 Eireli</v>
          </cell>
          <cell r="D5789" t="str">
            <v>Eletrica Wf</v>
          </cell>
          <cell r="E5789" t="str">
            <v>BR_CNPJ</v>
          </cell>
          <cell r="F5789" t="str">
            <v>37.381.040/0001-30</v>
          </cell>
          <cell r="G5789" t="str">
            <v>COMERCIAL ELETRICA W.F.</v>
          </cell>
        </row>
        <row r="5790">
          <cell r="A5790">
            <v>44778</v>
          </cell>
          <cell r="B5790" t="str">
            <v>CORPORATION</v>
          </cell>
          <cell r="C5790" t="str">
            <v>A Manutensal Pecas Para Industria Ltda</v>
          </cell>
          <cell r="D5790" t="str">
            <v>A Manutensal Pecas Para Industria Ltda</v>
          </cell>
          <cell r="E5790" t="str">
            <v>BR_CNPJ</v>
          </cell>
          <cell r="F5790" t="str">
            <v>45.959.359/0001-29</v>
          </cell>
        </row>
        <row r="5791">
          <cell r="A5791">
            <v>44780</v>
          </cell>
          <cell r="B5791" t="str">
            <v>CORPORATION</v>
          </cell>
          <cell r="C5791" t="str">
            <v>Comercial Visualcomp Ltda</v>
          </cell>
          <cell r="D5791" t="str">
            <v>Comercial Visualcomp Ltda</v>
          </cell>
          <cell r="E5791" t="str">
            <v>BR_CNPJ</v>
          </cell>
          <cell r="F5791" t="str">
            <v>05.901.502/0001-07</v>
          </cell>
        </row>
        <row r="5792">
          <cell r="A5792">
            <v>44781</v>
          </cell>
          <cell r="B5792" t="str">
            <v>CORPORATION</v>
          </cell>
          <cell r="C5792" t="str">
            <v>Mgm Comercio De Maquinas E Equipamentos Industriais Eireli</v>
          </cell>
          <cell r="D5792" t="str">
            <v>Mgm Ferramentas</v>
          </cell>
          <cell r="E5792" t="str">
            <v>BR_CNPJ</v>
          </cell>
          <cell r="F5792" t="str">
            <v>72.536.659/0003-30</v>
          </cell>
          <cell r="G5792" t="str">
            <v>MGM FERRAMENTAS</v>
          </cell>
        </row>
        <row r="5793">
          <cell r="A5793">
            <v>44782</v>
          </cell>
          <cell r="B5793" t="str">
            <v>CORPORATION</v>
          </cell>
          <cell r="C5793" t="str">
            <v>Waldorf Schweisstechnik Ltda</v>
          </cell>
          <cell r="D5793" t="str">
            <v>Wst Produtos Para Solda</v>
          </cell>
          <cell r="E5793" t="str">
            <v>BR_CNPJ</v>
          </cell>
          <cell r="F5793" t="str">
            <v>43.542.081/0001-64</v>
          </cell>
          <cell r="G5793" t="str">
            <v>WST</v>
          </cell>
        </row>
        <row r="5794">
          <cell r="A5794">
            <v>44788</v>
          </cell>
          <cell r="B5794" t="str">
            <v>CORPORATION</v>
          </cell>
          <cell r="C5794" t="str">
            <v>Mundo Do Aco Comercio E Distribuicao De Ferro E Aco Ltda</v>
          </cell>
          <cell r="D5794" t="str">
            <v>Mundiaco</v>
          </cell>
          <cell r="E5794" t="str">
            <v>BR_CNPJ</v>
          </cell>
          <cell r="F5794" t="str">
            <v>37.727.805/0001-41</v>
          </cell>
        </row>
        <row r="5795">
          <cell r="A5795">
            <v>44790</v>
          </cell>
          <cell r="B5795" t="str">
            <v>CORPORATION</v>
          </cell>
          <cell r="C5795" t="str">
            <v>Siga Comercio De Eletro Eletronicos Ltda</v>
          </cell>
          <cell r="D5795" t="str">
            <v>Siga Importados (Filial)</v>
          </cell>
          <cell r="E5795" t="str">
            <v>BR_CNPJ</v>
          </cell>
          <cell r="F5795" t="str">
            <v>08.381.082/0003-35</v>
          </cell>
        </row>
        <row r="5796">
          <cell r="A5796">
            <v>44791</v>
          </cell>
          <cell r="B5796" t="str">
            <v>CORPORATION</v>
          </cell>
          <cell r="C5796" t="str">
            <v>Rs Produtos Metalurgicos Ltda Me</v>
          </cell>
          <cell r="D5796" t="str">
            <v>Mineiraco</v>
          </cell>
          <cell r="E5796" t="str">
            <v>BR_CNPJ</v>
          </cell>
          <cell r="F5796" t="str">
            <v>38.071.544/0001-17</v>
          </cell>
          <cell r="G5796" t="str">
            <v>MINEIRAÇO</v>
          </cell>
        </row>
        <row r="5797">
          <cell r="A5797">
            <v>44792</v>
          </cell>
          <cell r="B5797" t="str">
            <v>CORPORATION</v>
          </cell>
          <cell r="C5797" t="str">
            <v>Damazio Casa Das Ferramentas E Ferragens Ltda</v>
          </cell>
          <cell r="D5797" t="str">
            <v>Ferragista Damazio 2</v>
          </cell>
          <cell r="E5797" t="str">
            <v>BR_CNPJ</v>
          </cell>
          <cell r="F5797" t="str">
            <v>23.673.959/0001-93</v>
          </cell>
          <cell r="G5797" t="str">
            <v>FERRAGISTA DAMAZIO</v>
          </cell>
        </row>
        <row r="5798">
          <cell r="A5798">
            <v>44794</v>
          </cell>
          <cell r="B5798" t="str">
            <v>CORPORATION</v>
          </cell>
          <cell r="C5798" t="str">
            <v>T N Santos Materiais De Construcoes</v>
          </cell>
          <cell r="D5798" t="str">
            <v>Ferragista Novais (Joice Ferramentas)</v>
          </cell>
          <cell r="E5798" t="str">
            <v>BR_CNPJ</v>
          </cell>
          <cell r="F5798" t="str">
            <v>04.357.120/0001-00</v>
          </cell>
          <cell r="G5798" t="str">
            <v>JOICE FERRAMENTAS</v>
          </cell>
        </row>
        <row r="5799">
          <cell r="A5799">
            <v>44804</v>
          </cell>
          <cell r="B5799" t="str">
            <v>CORPORATION</v>
          </cell>
          <cell r="C5799" t="str">
            <v>Nicolas Seiti Inoue</v>
          </cell>
          <cell r="D5799" t="str">
            <v>Blackwolf Fitness Technology</v>
          </cell>
          <cell r="E5799" t="str">
            <v>BR_CNPJ</v>
          </cell>
          <cell r="F5799" t="str">
            <v>27.434.833/0001-17</v>
          </cell>
        </row>
        <row r="5800">
          <cell r="A5800">
            <v>44805</v>
          </cell>
          <cell r="B5800" t="str">
            <v>CORPORATION</v>
          </cell>
          <cell r="C5800" t="str">
            <v>Maqfer Comercio De Ferragens Ltda</v>
          </cell>
          <cell r="D5800" t="str">
            <v>Maqfer</v>
          </cell>
          <cell r="E5800" t="str">
            <v>BR_CNPJ</v>
          </cell>
          <cell r="F5800" t="str">
            <v>04.792.573/0001-56</v>
          </cell>
        </row>
        <row r="5801">
          <cell r="A5801">
            <v>44822</v>
          </cell>
          <cell r="B5801" t="str">
            <v>CORPORATION</v>
          </cell>
          <cell r="C5801" t="str">
            <v>Ewerton Servicos De Ferragens Ltda</v>
          </cell>
          <cell r="D5801" t="str">
            <v>3e Ferro E Aco</v>
          </cell>
          <cell r="E5801" t="str">
            <v>BR_CNPJ</v>
          </cell>
          <cell r="F5801" t="str">
            <v>17.568.657/0001-52</v>
          </cell>
        </row>
        <row r="5802">
          <cell r="A5802">
            <v>44833</v>
          </cell>
          <cell r="B5802" t="str">
            <v>CORPORATION</v>
          </cell>
          <cell r="C5802" t="str">
            <v>Wa Ferragens E Materiais Para Construcao Ltda</v>
          </cell>
          <cell r="D5802" t="str">
            <v>Rocha Ferragens</v>
          </cell>
          <cell r="E5802" t="str">
            <v>BR_CNPJ</v>
          </cell>
          <cell r="F5802" t="str">
            <v>29.774.303/0001-43</v>
          </cell>
        </row>
        <row r="5803">
          <cell r="A5803">
            <v>44834</v>
          </cell>
          <cell r="B5803" t="str">
            <v>CORPORATION</v>
          </cell>
          <cell r="C5803" t="str">
            <v>Giaro Comercial Ltda</v>
          </cell>
          <cell r="D5803" t="str">
            <v>Giaro Comercial Ltda</v>
          </cell>
          <cell r="E5803" t="str">
            <v>BR_CNPJ</v>
          </cell>
          <cell r="F5803" t="str">
            <v>33.823.768/0001-14</v>
          </cell>
        </row>
        <row r="5804">
          <cell r="A5804">
            <v>44836</v>
          </cell>
          <cell r="B5804" t="str">
            <v>CORPORATION</v>
          </cell>
          <cell r="C5804" t="str">
            <v>Welington Carlos Geraldo Da Silveira Filho</v>
          </cell>
          <cell r="D5804" t="str">
            <v>Ferragista Sao Miguel</v>
          </cell>
          <cell r="E5804" t="str">
            <v>BR_CNPJ</v>
          </cell>
          <cell r="F5804" t="str">
            <v>22.240.969/0001-72</v>
          </cell>
        </row>
        <row r="5805">
          <cell r="A5805">
            <v>44838</v>
          </cell>
          <cell r="B5805" t="str">
            <v>CORPORATION</v>
          </cell>
          <cell r="C5805" t="str">
            <v>Age-Tec Comercio De Ferramentas Eireli</v>
          </cell>
          <cell r="D5805" t="str">
            <v>Age-Tec Comercio De Ferramentas Eireli</v>
          </cell>
          <cell r="E5805" t="str">
            <v>BR_CNPJ</v>
          </cell>
          <cell r="F5805" t="str">
            <v>08.167.998/0001-25</v>
          </cell>
        </row>
        <row r="5806">
          <cell r="A5806">
            <v>44842</v>
          </cell>
          <cell r="B5806" t="str">
            <v>CORPORATION</v>
          </cell>
          <cell r="C5806" t="str">
            <v>Alug Sert Locacoes E Comercio Ltda</v>
          </cell>
          <cell r="D5806" t="str">
            <v>Alug Sert</v>
          </cell>
          <cell r="E5806" t="str">
            <v>BR_CNPJ</v>
          </cell>
          <cell r="F5806" t="str">
            <v>42.813.853/0001-92</v>
          </cell>
        </row>
        <row r="5807">
          <cell r="A5807">
            <v>44844</v>
          </cell>
          <cell r="B5807" t="str">
            <v>CORPORATION</v>
          </cell>
          <cell r="C5807" t="str">
            <v>Patricia De Abreu Faria Suporte Epi E Seguranca Do Trabalho</v>
          </cell>
          <cell r="D5807" t="str">
            <v>Suporte Epi Produtos, Servicos Em Seguranca Do Trabalho</v>
          </cell>
          <cell r="E5807" t="str">
            <v>BR_CNPJ</v>
          </cell>
          <cell r="F5807" t="str">
            <v>27.261.174/0001-64</v>
          </cell>
        </row>
        <row r="5808">
          <cell r="A5808">
            <v>44847</v>
          </cell>
          <cell r="B5808" t="str">
            <v>CORPORATION</v>
          </cell>
          <cell r="C5808" t="str">
            <v>Imaq Importadora De Maquinas E Motores Limitada</v>
          </cell>
          <cell r="D5808" t="str">
            <v>Imaq</v>
          </cell>
          <cell r="E5808" t="str">
            <v>BR_CNPJ</v>
          </cell>
          <cell r="F5808" t="str">
            <v>05.882.356/0001-10</v>
          </cell>
        </row>
        <row r="5809">
          <cell r="A5809">
            <v>44852</v>
          </cell>
          <cell r="B5809" t="str">
            <v>CORPORATION</v>
          </cell>
          <cell r="C5809" t="str">
            <v>Brasolda Comercio De Ferragens Ltda</v>
          </cell>
          <cell r="D5809" t="str">
            <v>Brasolda Comercio De Ferragens Ltda</v>
          </cell>
          <cell r="E5809" t="str">
            <v>BR_CNPJ</v>
          </cell>
          <cell r="F5809" t="str">
            <v>03.354.828/0001-36</v>
          </cell>
        </row>
        <row r="5810">
          <cell r="A5810">
            <v>44855</v>
          </cell>
          <cell r="B5810" t="str">
            <v>CORPORATION</v>
          </cell>
          <cell r="C5810" t="str">
            <v>Sonar Comercio De Pecas E Servicos Ltda</v>
          </cell>
          <cell r="D5810" t="str">
            <v>Sonar Conexoes &amp; Equipamentos</v>
          </cell>
          <cell r="E5810" t="str">
            <v>BR_CNPJ</v>
          </cell>
          <cell r="F5810" t="str">
            <v>10.967.399/0004-80</v>
          </cell>
          <cell r="G5810" t="str">
            <v>SONAR</v>
          </cell>
        </row>
        <row r="5811">
          <cell r="A5811">
            <v>44856</v>
          </cell>
          <cell r="B5811" t="str">
            <v>CORPORATION</v>
          </cell>
          <cell r="C5811" t="str">
            <v>E.A.N. Camargo Ltda</v>
          </cell>
          <cell r="D5811" t="str">
            <v>Camargo Pecas</v>
          </cell>
          <cell r="E5811" t="str">
            <v>BR_CNPJ</v>
          </cell>
          <cell r="F5811" t="str">
            <v>42.057.301/0001-00</v>
          </cell>
        </row>
        <row r="5812">
          <cell r="A5812">
            <v>44864</v>
          </cell>
          <cell r="B5812" t="str">
            <v>CORPORATION</v>
          </cell>
          <cell r="C5812" t="str">
            <v>Sousa Com. E Serv. De Equipamentos E Pecas Industriais Eireli</v>
          </cell>
          <cell r="D5812" t="str">
            <v>Sousa Equipamentos E Pecas Industriais</v>
          </cell>
          <cell r="E5812" t="str">
            <v>BR_CNPJ</v>
          </cell>
          <cell r="F5812" t="str">
            <v>08.818.970/0001-00</v>
          </cell>
        </row>
        <row r="5813">
          <cell r="A5813">
            <v>44865</v>
          </cell>
          <cell r="B5813" t="str">
            <v>CORPORATION</v>
          </cell>
          <cell r="C5813" t="str">
            <v>Center-Aco Comercial De Ferragens Ltda</v>
          </cell>
          <cell r="D5813" t="str">
            <v>Ferragista Center-Aco</v>
          </cell>
          <cell r="E5813" t="str">
            <v>BR_CNPJ</v>
          </cell>
          <cell r="F5813" t="str">
            <v>05.439.188/0001-92</v>
          </cell>
        </row>
        <row r="5814">
          <cell r="A5814">
            <v>44870</v>
          </cell>
          <cell r="B5814" t="str">
            <v>CORPORATION</v>
          </cell>
          <cell r="C5814" t="str">
            <v>Master Ferragens E Maquinas Ltda</v>
          </cell>
          <cell r="D5814" t="str">
            <v>Ferrasul</v>
          </cell>
          <cell r="E5814" t="str">
            <v>BR_CNPJ</v>
          </cell>
          <cell r="F5814" t="str">
            <v>53.531.714/0001-92</v>
          </cell>
          <cell r="G5814" t="str">
            <v>FERRASUL</v>
          </cell>
        </row>
        <row r="5815">
          <cell r="A5815">
            <v>44891</v>
          </cell>
          <cell r="B5815" t="str">
            <v>CORPORATION</v>
          </cell>
          <cell r="C5815" t="str">
            <v>Maxel Materiais Eletricos Ltda</v>
          </cell>
          <cell r="D5815" t="str">
            <v>Maxel Materiais Eletricos Ltda</v>
          </cell>
          <cell r="E5815" t="str">
            <v>BR_CNPJ</v>
          </cell>
          <cell r="F5815" t="str">
            <v>96.404.942/0016-90</v>
          </cell>
        </row>
        <row r="5816">
          <cell r="A5816">
            <v>44892</v>
          </cell>
          <cell r="B5816" t="str">
            <v>CORPORATION</v>
          </cell>
          <cell r="C5816" t="str">
            <v>Leroy Merlin Companhia Brasileira De Bricolagem</v>
          </cell>
          <cell r="D5816" t="str">
            <v>0056 Loja Jundiaí</v>
          </cell>
          <cell r="E5816" t="str">
            <v>BR_CNPJ</v>
          </cell>
          <cell r="F5816" t="str">
            <v>01.438.784/0061-38</v>
          </cell>
          <cell r="G5816" t="str">
            <v>LEROY MERLIN</v>
          </cell>
        </row>
        <row r="5817">
          <cell r="A5817">
            <v>44896</v>
          </cell>
          <cell r="B5817" t="str">
            <v>CORPORATION</v>
          </cell>
          <cell r="C5817" t="str">
            <v>Sergio Rodrigues Victor 05370888655</v>
          </cell>
          <cell r="D5817" t="str">
            <v>Sergio Rodrigues Victor</v>
          </cell>
          <cell r="E5817" t="str">
            <v>BR_CNPJ</v>
          </cell>
          <cell r="F5817" t="str">
            <v>23.280.494/0001-00</v>
          </cell>
        </row>
        <row r="5818">
          <cell r="A5818">
            <v>44898</v>
          </cell>
          <cell r="B5818" t="str">
            <v>CORPORATION</v>
          </cell>
          <cell r="C5818" t="str">
            <v>Maxel Materiais Eletricos Ltda</v>
          </cell>
          <cell r="D5818" t="str">
            <v>Maxel Materiais Eletricos Ltda (Cd)</v>
          </cell>
          <cell r="E5818" t="str">
            <v>BR_CNPJ</v>
          </cell>
          <cell r="F5818" t="str">
            <v>96.404.942/0001-04</v>
          </cell>
        </row>
        <row r="5819">
          <cell r="A5819">
            <v>44922</v>
          </cell>
          <cell r="B5819" t="str">
            <v>CORPORATION</v>
          </cell>
          <cell r="C5819" t="str">
            <v>Armazem Offshore Comercial E Importadora Ltda</v>
          </cell>
          <cell r="D5819" t="str">
            <v>Armazem Offshore Comercial E Importadora Ltda</v>
          </cell>
          <cell r="E5819" t="str">
            <v>BR_CNPJ</v>
          </cell>
          <cell r="F5819" t="str">
            <v>31.383.201/0001-49</v>
          </cell>
          <cell r="G5819" t="str">
            <v>OFFSHORE</v>
          </cell>
        </row>
        <row r="5820">
          <cell r="A5820">
            <v>44924</v>
          </cell>
          <cell r="B5820" t="str">
            <v>CORPORATION</v>
          </cell>
          <cell r="C5820" t="str">
            <v>Lfl Comercio De Ferragens E Ferramentas Ltda</v>
          </cell>
          <cell r="D5820" t="str">
            <v>Lfl Ferramentas</v>
          </cell>
          <cell r="E5820" t="str">
            <v>BR_CNPJ</v>
          </cell>
          <cell r="F5820" t="str">
            <v>16.851.892/0001-74</v>
          </cell>
        </row>
        <row r="5821">
          <cell r="A5821">
            <v>44941</v>
          </cell>
          <cell r="B5821" t="str">
            <v>CORPORATION</v>
          </cell>
          <cell r="C5821" t="str">
            <v>Cooperativa Dos Plantadores De Cana Do Estado Sao Paulo</v>
          </cell>
          <cell r="D5821" t="str">
            <v>Coplacana (Cerquilho)</v>
          </cell>
          <cell r="E5821" t="str">
            <v>BR_CNPJ</v>
          </cell>
          <cell r="F5821" t="str">
            <v>54.366.547/0005-68</v>
          </cell>
          <cell r="G5821" t="str">
            <v>COPLACANA</v>
          </cell>
        </row>
        <row r="5822">
          <cell r="A5822">
            <v>44947</v>
          </cell>
          <cell r="B5822" t="str">
            <v>CORPORATION</v>
          </cell>
          <cell r="C5822" t="str">
            <v>Pinzan &amp; Silva Ltda</v>
          </cell>
          <cell r="D5822" t="str">
            <v>S K R Multimarcas</v>
          </cell>
          <cell r="E5822" t="str">
            <v>BR_CNPJ</v>
          </cell>
          <cell r="F5822" t="str">
            <v>12.039.655/0001-52</v>
          </cell>
        </row>
        <row r="5823">
          <cell r="A5823">
            <v>44952</v>
          </cell>
          <cell r="B5823" t="str">
            <v>CORPORATION</v>
          </cell>
          <cell r="C5823" t="str">
            <v>2.861.218 Andresson Nunes Rodrigues</v>
          </cell>
          <cell r="D5823" t="str">
            <v>Brumelli Pro</v>
          </cell>
          <cell r="E5823" t="str">
            <v>BR_CNPJ</v>
          </cell>
          <cell r="F5823" t="str">
            <v>42.861.218/0001-80</v>
          </cell>
        </row>
        <row r="5824">
          <cell r="A5824">
            <v>44956</v>
          </cell>
          <cell r="B5824" t="str">
            <v>CORPORATION</v>
          </cell>
          <cell r="C5824" t="str">
            <v>Arf Comercio De Ferramentas Ltda</v>
          </cell>
          <cell r="D5824" t="str">
            <v>Arf Comercio De Ferramentas Ltda</v>
          </cell>
          <cell r="E5824" t="str">
            <v>BR_CNPJ</v>
          </cell>
          <cell r="F5824" t="str">
            <v>16.650.325/0001-50</v>
          </cell>
        </row>
        <row r="5825">
          <cell r="A5825">
            <v>44968</v>
          </cell>
          <cell r="B5825" t="str">
            <v>CORPORATION</v>
          </cell>
          <cell r="C5825" t="str">
            <v>Daniel Vitor Rodrigues Da Silva 05930691100</v>
          </cell>
          <cell r="D5825" t="str">
            <v>Mtmaq</v>
          </cell>
          <cell r="E5825" t="str">
            <v>BR_CNPJ</v>
          </cell>
          <cell r="F5825" t="str">
            <v>47.962.570/0001-26</v>
          </cell>
        </row>
        <row r="5826">
          <cell r="A5826">
            <v>44969</v>
          </cell>
          <cell r="B5826" t="str">
            <v>CORPORATION</v>
          </cell>
          <cell r="C5826" t="str">
            <v>Stock Comercio De Equipamentos Industriais E De Seguranca Ltda</v>
          </cell>
          <cell r="D5826" t="str">
            <v>Stock Equipamentos</v>
          </cell>
          <cell r="E5826" t="str">
            <v>BR_CNPJ</v>
          </cell>
          <cell r="F5826" t="str">
            <v>05.588.797/0003-75</v>
          </cell>
          <cell r="G5826" t="str">
            <v>STOCK COMERCIO</v>
          </cell>
        </row>
        <row r="5827">
          <cell r="A5827">
            <v>44970</v>
          </cell>
          <cell r="B5827" t="str">
            <v>CORPORATION</v>
          </cell>
          <cell r="C5827" t="str">
            <v>Es Nova Venecia Locacao De Equipamentos Ltda</v>
          </cell>
          <cell r="D5827" t="str">
            <v>Casa Do Construtor</v>
          </cell>
          <cell r="E5827" t="str">
            <v>BR_CNPJ</v>
          </cell>
          <cell r="F5827" t="str">
            <v>52.639.875/0001-31</v>
          </cell>
          <cell r="G5827" t="str">
            <v>CASA DO CONSTRUTOR</v>
          </cell>
        </row>
        <row r="5828">
          <cell r="A5828">
            <v>44972</v>
          </cell>
          <cell r="B5828" t="str">
            <v>CORPORATION</v>
          </cell>
          <cell r="C5828" t="str">
            <v>Ariosvaldo Soares Magalhaes Eireli</v>
          </cell>
          <cell r="D5828" t="str">
            <v>Capim Ferro</v>
          </cell>
          <cell r="E5828" t="str">
            <v>BR_CNPJ</v>
          </cell>
          <cell r="F5828" t="str">
            <v>16.086.530/0005-68</v>
          </cell>
          <cell r="G5828" t="str">
            <v>CAPIM FERRO</v>
          </cell>
        </row>
        <row r="5829">
          <cell r="A5829">
            <v>44973</v>
          </cell>
          <cell r="B5829" t="str">
            <v>CORPORATION</v>
          </cell>
          <cell r="C5829" t="str">
            <v>Ferragens Itaquera Ltda</v>
          </cell>
          <cell r="D5829" t="str">
            <v>Ferragens Itaquera</v>
          </cell>
          <cell r="E5829" t="str">
            <v>BR_CNPJ</v>
          </cell>
          <cell r="F5829" t="str">
            <v>50.279.283/0001-20</v>
          </cell>
        </row>
        <row r="5830">
          <cell r="A5830">
            <v>44976</v>
          </cell>
          <cell r="B5830" t="str">
            <v>CORPORATION</v>
          </cell>
          <cell r="C5830" t="str">
            <v>Katsui &amp; Yamaji Ltda</v>
          </cell>
          <cell r="D5830" t="str">
            <v>Katsui &amp; Yamaji Ltda</v>
          </cell>
          <cell r="E5830" t="str">
            <v>BR_CNPJ</v>
          </cell>
          <cell r="F5830" t="str">
            <v>09.539.617/0001-54</v>
          </cell>
        </row>
        <row r="5831">
          <cell r="A5831">
            <v>44984</v>
          </cell>
          <cell r="B5831" t="str">
            <v>CORPORATION</v>
          </cell>
          <cell r="C5831" t="str">
            <v>Magister Ferramentas Ltda</v>
          </cell>
          <cell r="D5831" t="str">
            <v>Magister Ferramentas</v>
          </cell>
          <cell r="E5831" t="str">
            <v>BR_CNPJ</v>
          </cell>
          <cell r="F5831" t="str">
            <v>31.564.802/0001-58</v>
          </cell>
        </row>
        <row r="5832">
          <cell r="A5832">
            <v>44985</v>
          </cell>
          <cell r="B5832" t="str">
            <v>CORPORATION</v>
          </cell>
          <cell r="C5832" t="str">
            <v>Wbc Distribuidora De Equipamentos De Seguranca</v>
          </cell>
          <cell r="D5832" t="str">
            <v>Wbc Distribuidora De Equipamentos De Seguranca</v>
          </cell>
          <cell r="E5832" t="str">
            <v>BR_CNPJ</v>
          </cell>
          <cell r="F5832" t="str">
            <v>02.701.756/0001-93</v>
          </cell>
        </row>
        <row r="5833">
          <cell r="A5833">
            <v>44994</v>
          </cell>
          <cell r="B5833" t="str">
            <v>CORPORATION</v>
          </cell>
          <cell r="C5833" t="str">
            <v>Jonatas Furtado 06772686969</v>
          </cell>
          <cell r="D5833" t="str">
            <v>Mundo Das Maquinas</v>
          </cell>
          <cell r="E5833" t="str">
            <v>BR_CNPJ</v>
          </cell>
          <cell r="F5833" t="str">
            <v>30.979.966/0001-83</v>
          </cell>
        </row>
        <row r="5834">
          <cell r="A5834">
            <v>45001</v>
          </cell>
          <cell r="B5834" t="str">
            <v>CORPORATION</v>
          </cell>
          <cell r="C5834" t="str">
            <v>Emc Oliveira Oxigenio Eireli</v>
          </cell>
          <cell r="D5834" t="str">
            <v>Campos Belos Oxigenio</v>
          </cell>
          <cell r="E5834" t="str">
            <v>BR_CNPJ</v>
          </cell>
          <cell r="F5834" t="str">
            <v>28.185.913/0001-49</v>
          </cell>
        </row>
        <row r="5835">
          <cell r="A5835">
            <v>45007</v>
          </cell>
          <cell r="B5835" t="str">
            <v>CORPORATION</v>
          </cell>
          <cell r="C5835" t="str">
            <v>Esse E S Materiais Para Construcao Ltda</v>
          </cell>
          <cell r="D5835" t="str">
            <v>S S Materias De Construcao</v>
          </cell>
          <cell r="E5835" t="str">
            <v>BR_CNPJ</v>
          </cell>
          <cell r="F5835" t="str">
            <v>10.965.561/0001-89</v>
          </cell>
        </row>
        <row r="5836">
          <cell r="A5836">
            <v>45011</v>
          </cell>
          <cell r="B5836" t="str">
            <v>CORPORATION</v>
          </cell>
          <cell r="C5836" t="str">
            <v>Ferragista Sao Joao Ltda</v>
          </cell>
          <cell r="D5836" t="str">
            <v>Ferragista Sao Joao</v>
          </cell>
          <cell r="E5836" t="str">
            <v>BR_CNPJ</v>
          </cell>
          <cell r="F5836" t="str">
            <v>28.275.425/0001-22</v>
          </cell>
        </row>
        <row r="5837">
          <cell r="A5837">
            <v>45015</v>
          </cell>
          <cell r="B5837" t="str">
            <v>CORPORATION</v>
          </cell>
          <cell r="C5837" t="str">
            <v>Casa Sao Paulo - Eireli</v>
          </cell>
          <cell r="D5837" t="str">
            <v>Ferragista Sao Paulo</v>
          </cell>
          <cell r="E5837" t="str">
            <v>BR_CNPJ</v>
          </cell>
          <cell r="F5837" t="str">
            <v>18.428.550/0001-71</v>
          </cell>
        </row>
        <row r="5838">
          <cell r="A5838">
            <v>45018</v>
          </cell>
          <cell r="B5838" t="str">
            <v>CORPORATION</v>
          </cell>
          <cell r="C5838" t="str">
            <v>Comercio De Ferragens Karvalho Ltda</v>
          </cell>
          <cell r="D5838" t="str">
            <v>Ferragista Karvalho</v>
          </cell>
          <cell r="E5838" t="str">
            <v>BR_CNPJ</v>
          </cell>
          <cell r="F5838" t="str">
            <v>16.639.019/0001-12</v>
          </cell>
        </row>
        <row r="5839">
          <cell r="A5839">
            <v>45035</v>
          </cell>
          <cell r="B5839" t="str">
            <v>CORPORATION</v>
          </cell>
          <cell r="C5839" t="str">
            <v>Distribuidora E Metalurgica Bicao Eireli</v>
          </cell>
          <cell r="D5839" t="str">
            <v>Bicao Produtos Metalurgicos</v>
          </cell>
          <cell r="E5839" t="str">
            <v>BR_CNPJ</v>
          </cell>
          <cell r="F5839" t="str">
            <v>07.149.955/0001-54</v>
          </cell>
          <cell r="G5839" t="str">
            <v>BICÃO/PARCEIRAÇO</v>
          </cell>
        </row>
        <row r="5840">
          <cell r="A5840">
            <v>45043</v>
          </cell>
          <cell r="B5840" t="str">
            <v>CORPORATION</v>
          </cell>
          <cell r="C5840" t="str">
            <v>Fire Tintas Center Ltda</v>
          </cell>
          <cell r="D5840" t="str">
            <v>Fire Tintas</v>
          </cell>
          <cell r="E5840" t="str">
            <v>BR_CNPJ</v>
          </cell>
          <cell r="F5840" t="str">
            <v>08.335.679/0001-81</v>
          </cell>
        </row>
        <row r="5841">
          <cell r="A5841">
            <v>45044</v>
          </cell>
          <cell r="B5841" t="str">
            <v>CORPORATION</v>
          </cell>
          <cell r="C5841" t="str">
            <v>Eletromaster Eireli</v>
          </cell>
          <cell r="D5841" t="str">
            <v>Eletromaster</v>
          </cell>
          <cell r="E5841" t="str">
            <v>BR_CNPJ</v>
          </cell>
          <cell r="F5841" t="str">
            <v>19.481.114/0001-29</v>
          </cell>
        </row>
        <row r="5842">
          <cell r="A5842">
            <v>45051</v>
          </cell>
          <cell r="B5842" t="str">
            <v>CORPORATION</v>
          </cell>
          <cell r="C5842" t="str">
            <v>Mayra Ravena Feitosa Da Silva</v>
          </cell>
          <cell r="D5842" t="str">
            <v>Importadora Nova Era</v>
          </cell>
          <cell r="E5842" t="str">
            <v>BR_CNPJ</v>
          </cell>
          <cell r="F5842" t="str">
            <v>22.590.831/0001-01</v>
          </cell>
        </row>
        <row r="5843">
          <cell r="A5843">
            <v>45057</v>
          </cell>
          <cell r="B5843" t="str">
            <v>CORPORATION</v>
          </cell>
          <cell r="C5843" t="str">
            <v>Universal Ferramentas Ltda</v>
          </cell>
          <cell r="D5843" t="str">
            <v>Universal Ferramentas</v>
          </cell>
          <cell r="E5843" t="str">
            <v>BR_CNPJ</v>
          </cell>
          <cell r="F5843" t="str">
            <v>06.119.385/0001-97</v>
          </cell>
        </row>
        <row r="5844">
          <cell r="A5844">
            <v>45062</v>
          </cell>
          <cell r="B5844" t="str">
            <v>CORPORATION</v>
          </cell>
          <cell r="C5844" t="str">
            <v>Comercial Catanduva De Ferramentas Ltda</v>
          </cell>
          <cell r="D5844" t="str">
            <v>Comercial Catanduva De Ferramentas</v>
          </cell>
          <cell r="E5844" t="str">
            <v>BR_CNPJ</v>
          </cell>
          <cell r="F5844" t="str">
            <v>07.043.613/0001-55</v>
          </cell>
        </row>
        <row r="5845">
          <cell r="A5845">
            <v>45070</v>
          </cell>
          <cell r="B5845" t="str">
            <v>CORPORATION</v>
          </cell>
          <cell r="C5845" t="str">
            <v>Clevepar Comercio De Ferragens Ltda</v>
          </cell>
          <cell r="D5845" t="str">
            <v>Clevepar</v>
          </cell>
          <cell r="E5845" t="str">
            <v>BR_CNPJ</v>
          </cell>
          <cell r="F5845" t="str">
            <v>17.435.160/0001-66</v>
          </cell>
        </row>
        <row r="5846">
          <cell r="A5846">
            <v>45073</v>
          </cell>
          <cell r="B5846" t="str">
            <v>CORPORATION</v>
          </cell>
          <cell r="C5846" t="str">
            <v>Tiago Augusto Moura</v>
          </cell>
          <cell r="D5846" t="str">
            <v>Ferramentas Gerais</v>
          </cell>
          <cell r="E5846" t="str">
            <v>BR_CNPJ</v>
          </cell>
          <cell r="F5846" t="str">
            <v>20.119.837/0001-61</v>
          </cell>
        </row>
        <row r="5847">
          <cell r="A5847">
            <v>45078</v>
          </cell>
          <cell r="B5847" t="str">
            <v>CORPORATION</v>
          </cell>
          <cell r="C5847" t="str">
            <v>Soldagem Patos Equipamentos E Produtos Para Solda E Corte Em Geral Ltda</v>
          </cell>
          <cell r="D5847" t="str">
            <v>Soldagem Patos</v>
          </cell>
          <cell r="E5847" t="str">
            <v>BR_CNPJ</v>
          </cell>
          <cell r="F5847" t="str">
            <v>27.936.349/0001-96</v>
          </cell>
        </row>
        <row r="5848">
          <cell r="A5848">
            <v>45080</v>
          </cell>
          <cell r="B5848" t="str">
            <v>CORPORATION</v>
          </cell>
          <cell r="C5848" t="str">
            <v>Philipe Leonardo Da Silva Campos</v>
          </cell>
          <cell r="D5848" t="str">
            <v>Gabage Soldas E Ferramentas</v>
          </cell>
          <cell r="E5848" t="str">
            <v>BR_CNPJ</v>
          </cell>
          <cell r="F5848" t="str">
            <v>22.308.577/0001-06</v>
          </cell>
        </row>
        <row r="5849">
          <cell r="A5849">
            <v>45083</v>
          </cell>
          <cell r="B5849" t="str">
            <v>CORPORATION</v>
          </cell>
          <cell r="C5849" t="str">
            <v>Arrais &amp; Melo Ltda</v>
          </cell>
          <cell r="D5849" t="str">
            <v>Hidroeletrica Melo</v>
          </cell>
          <cell r="E5849" t="str">
            <v>BR_CNPJ</v>
          </cell>
          <cell r="F5849" t="str">
            <v>35.414.482/0001-00</v>
          </cell>
        </row>
        <row r="5850">
          <cell r="A5850">
            <v>45086</v>
          </cell>
          <cell r="B5850" t="str">
            <v>CORPORATION</v>
          </cell>
          <cell r="C5850" t="str">
            <v>Guarufix Ferramentas E Fixacao Ltda</v>
          </cell>
          <cell r="D5850" t="str">
            <v>Guarufix Ferramentas E Fixacao Ltda</v>
          </cell>
          <cell r="E5850" t="str">
            <v>BR_CNPJ</v>
          </cell>
          <cell r="F5850" t="str">
            <v>02.129.763/0001-62</v>
          </cell>
        </row>
        <row r="5851">
          <cell r="A5851">
            <v>45087</v>
          </cell>
          <cell r="B5851" t="str">
            <v>CORPORATION</v>
          </cell>
          <cell r="C5851" t="str">
            <v>Natal Ferramentas Ltda</v>
          </cell>
          <cell r="D5851" t="str">
            <v>Natal Ferramentas Ltda</v>
          </cell>
          <cell r="E5851" t="str">
            <v>BR_CNPJ</v>
          </cell>
          <cell r="F5851" t="str">
            <v>38.134.125/0001-87</v>
          </cell>
        </row>
        <row r="5852">
          <cell r="A5852">
            <v>45090</v>
          </cell>
          <cell r="B5852" t="str">
            <v>CORPORATION</v>
          </cell>
          <cell r="C5852" t="str">
            <v>Bortoloto Eletro Eireli</v>
          </cell>
          <cell r="D5852" t="str">
            <v>Eletro Bortoloto</v>
          </cell>
          <cell r="E5852" t="str">
            <v>BR_CNPJ</v>
          </cell>
          <cell r="F5852" t="str">
            <v>34.955.378/0001-60</v>
          </cell>
          <cell r="G5852" t="str">
            <v>SEMB</v>
          </cell>
        </row>
        <row r="5853">
          <cell r="A5853">
            <v>45100</v>
          </cell>
          <cell r="B5853" t="str">
            <v>CORPORATION</v>
          </cell>
          <cell r="C5853" t="str">
            <v>Baratao Da Irrigacao Comercial De Bombas Eireli</v>
          </cell>
          <cell r="D5853" t="str">
            <v>Baratao Da Irrigacao</v>
          </cell>
          <cell r="E5853" t="str">
            <v>BR_CNPJ</v>
          </cell>
          <cell r="F5853" t="str">
            <v>09.067.201/0001-80</v>
          </cell>
        </row>
        <row r="5854">
          <cell r="A5854">
            <v>45101</v>
          </cell>
          <cell r="B5854" t="str">
            <v>CORPORATION</v>
          </cell>
          <cell r="C5854" t="str">
            <v>Bm Produtos Metalurgicos Ltda</v>
          </cell>
          <cell r="D5854" t="str">
            <v>Ferraco Produtos Metalurgicos</v>
          </cell>
          <cell r="E5854" t="str">
            <v>BR_CNPJ</v>
          </cell>
          <cell r="F5854" t="str">
            <v>03.393.650/0001-32</v>
          </cell>
        </row>
        <row r="5855">
          <cell r="A5855">
            <v>45103</v>
          </cell>
          <cell r="B5855" t="str">
            <v>CORPORATION</v>
          </cell>
          <cell r="C5855" t="str">
            <v>Borges &amp; Borges Comercio De Equipamentos E Ferragens Ltda</v>
          </cell>
          <cell r="D5855" t="str">
            <v>Ismafer</v>
          </cell>
          <cell r="E5855" t="str">
            <v>BR_CNPJ</v>
          </cell>
          <cell r="F5855" t="str">
            <v>37.711.772/0001-41</v>
          </cell>
          <cell r="G5855" t="str">
            <v>ISMAFER</v>
          </cell>
        </row>
        <row r="5856">
          <cell r="A5856">
            <v>45108</v>
          </cell>
          <cell r="B5856" t="str">
            <v>CORPORATION</v>
          </cell>
          <cell r="C5856" t="str">
            <v>Tng Comercio De Ferramentas Ltda</v>
          </cell>
          <cell r="D5856" t="str">
            <v>Tem__Ferramentas</v>
          </cell>
          <cell r="E5856" t="str">
            <v>BR_CNPJ</v>
          </cell>
          <cell r="F5856" t="str">
            <v>36.337.112/0001-80</v>
          </cell>
        </row>
        <row r="5857">
          <cell r="A5857">
            <v>45109</v>
          </cell>
          <cell r="B5857" t="str">
            <v>CORPORATION</v>
          </cell>
          <cell r="C5857" t="str">
            <v>Loja Focus Ltda</v>
          </cell>
          <cell r="D5857" t="str">
            <v>Loja Focus Ltda</v>
          </cell>
          <cell r="E5857" t="str">
            <v>BR_CNPJ</v>
          </cell>
          <cell r="F5857" t="str">
            <v>37.129.052/0001-72</v>
          </cell>
          <cell r="G5857" t="str">
            <v>MINAS ECOM</v>
          </cell>
        </row>
        <row r="5858">
          <cell r="A5858">
            <v>45121</v>
          </cell>
          <cell r="B5858" t="str">
            <v>CORPORATION</v>
          </cell>
          <cell r="C5858" t="str">
            <v>Gsm - Comercio De Produtos Siderurgicos Ltda</v>
          </cell>
          <cell r="D5858" t="str">
            <v>Gsm Produtos Siderurgicos</v>
          </cell>
          <cell r="E5858" t="str">
            <v>BR_CNPJ</v>
          </cell>
          <cell r="F5858" t="str">
            <v>42.347.806/0001-09</v>
          </cell>
        </row>
        <row r="5859">
          <cell r="A5859">
            <v>45133</v>
          </cell>
          <cell r="B5859" t="str">
            <v>CORPORATION</v>
          </cell>
          <cell r="C5859" t="str">
            <v>Lufata Comercio Ferro E Aco Ltda</v>
          </cell>
          <cell r="D5859" t="str">
            <v>Lufata</v>
          </cell>
          <cell r="E5859" t="str">
            <v>BR_CNPJ</v>
          </cell>
          <cell r="F5859" t="str">
            <v>01.600.996/0001-39</v>
          </cell>
        </row>
        <row r="5860">
          <cell r="A5860">
            <v>45134</v>
          </cell>
          <cell r="B5860" t="str">
            <v>CORPORATION</v>
          </cell>
          <cell r="C5860" t="str">
            <v>Maciel Besen 95071873915</v>
          </cell>
          <cell r="D5860" t="str">
            <v>3h3 Assessoria E Consultoria</v>
          </cell>
          <cell r="E5860" t="str">
            <v>BR_CNPJ</v>
          </cell>
          <cell r="F5860" t="str">
            <v>31.733.476/0001-65</v>
          </cell>
        </row>
        <row r="5861">
          <cell r="A5861">
            <v>45151</v>
          </cell>
          <cell r="B5861" t="str">
            <v>CORPORATION</v>
          </cell>
          <cell r="C5861" t="str">
            <v>Fortaleza Comercio De Ferro E Aco Ltda</v>
          </cell>
          <cell r="D5861" t="str">
            <v>Metal Rapido</v>
          </cell>
          <cell r="E5861" t="str">
            <v>BR_CNPJ</v>
          </cell>
          <cell r="F5861" t="str">
            <v>49.592.331/0001-57</v>
          </cell>
          <cell r="G5861" t="str">
            <v>METAL RAPIDO</v>
          </cell>
        </row>
        <row r="5862">
          <cell r="A5862">
            <v>45154</v>
          </cell>
          <cell r="B5862" t="str">
            <v>CORPORATION</v>
          </cell>
          <cell r="C5862" t="str">
            <v>Viviane Caldas Reis</v>
          </cell>
          <cell r="D5862" t="str">
            <v>Ferlux Ferragens</v>
          </cell>
          <cell r="E5862" t="str">
            <v>BR_CNPJ</v>
          </cell>
          <cell r="F5862" t="str">
            <v>10.453.816/0001-24</v>
          </cell>
          <cell r="G5862" t="str">
            <v>FERLUX</v>
          </cell>
        </row>
        <row r="5863">
          <cell r="A5863">
            <v>45158</v>
          </cell>
          <cell r="B5863" t="str">
            <v>CORPORATION</v>
          </cell>
          <cell r="C5863" t="str">
            <v>Jrl Ferragens Ltda</v>
          </cell>
          <cell r="D5863" t="str">
            <v>Jacques Ferragens &amp; Materiais De Construcao (Ferlux)</v>
          </cell>
          <cell r="E5863" t="str">
            <v>BR_CNPJ</v>
          </cell>
          <cell r="F5863" t="str">
            <v>05.966.141/0001-87</v>
          </cell>
          <cell r="G5863" t="str">
            <v>FERLUX</v>
          </cell>
        </row>
        <row r="5864">
          <cell r="A5864">
            <v>45161</v>
          </cell>
          <cell r="B5864" t="str">
            <v>CORPORATION</v>
          </cell>
          <cell r="C5864" t="str">
            <v>Jf Pecas Agricolas Ltda</v>
          </cell>
          <cell r="D5864" t="str">
            <v>Agripecas</v>
          </cell>
          <cell r="E5864" t="str">
            <v>BR_CNPJ</v>
          </cell>
          <cell r="F5864" t="str">
            <v>02.213.597/0001-88</v>
          </cell>
          <cell r="G5864" t="str">
            <v>AGRIPECAS</v>
          </cell>
        </row>
        <row r="5865">
          <cell r="A5865">
            <v>45164</v>
          </cell>
          <cell r="B5865" t="str">
            <v>CORPORATION</v>
          </cell>
          <cell r="C5865" t="str">
            <v>Marcos Vinicyus Pereira Gontijo 70185470165</v>
          </cell>
          <cell r="D5865" t="str">
            <v>Marcos Vinicyus Pereira Gontijo (Mundial)</v>
          </cell>
          <cell r="E5865" t="str">
            <v>BR_CNPJ</v>
          </cell>
          <cell r="F5865" t="str">
            <v>43.741.540/0001-39</v>
          </cell>
          <cell r="G5865" t="str">
            <v>MUNDIAL</v>
          </cell>
        </row>
        <row r="5866">
          <cell r="A5866">
            <v>45165</v>
          </cell>
          <cell r="B5866" t="str">
            <v>CORPORATION</v>
          </cell>
          <cell r="C5866" t="str">
            <v>Casa Do Frentista Comercio De Maquinas Ltda</v>
          </cell>
          <cell r="D5866" t="str">
            <v>Casa Do Frentista Comercio De Maquinas Ltda</v>
          </cell>
          <cell r="E5866" t="str">
            <v>BR_CNPJ</v>
          </cell>
          <cell r="F5866" t="str">
            <v>21.463.174/0001-60</v>
          </cell>
        </row>
        <row r="5867">
          <cell r="A5867">
            <v>45166</v>
          </cell>
          <cell r="B5867" t="str">
            <v>CORPORATION</v>
          </cell>
          <cell r="C5867" t="str">
            <v>Ferreira Costa &amp; Cia Ltda</v>
          </cell>
          <cell r="D5867" t="str">
            <v>Ferreira Costa &amp; Cia (Salvador)</v>
          </cell>
          <cell r="E5867" t="str">
            <v>BR_CNPJ</v>
          </cell>
          <cell r="F5867" t="str">
            <v>10.230.480/0011-02</v>
          </cell>
          <cell r="G5867" t="str">
            <v>FERREIRA COSTA</v>
          </cell>
        </row>
        <row r="5868">
          <cell r="A5868">
            <v>45167</v>
          </cell>
          <cell r="B5868" t="str">
            <v>CORPORATION</v>
          </cell>
          <cell r="C5868" t="str">
            <v>Eletro Motriz Ltda</v>
          </cell>
          <cell r="D5868" t="str">
            <v>Eletro Motriz</v>
          </cell>
          <cell r="E5868" t="str">
            <v>BR_CNPJ</v>
          </cell>
          <cell r="F5868" t="str">
            <v>39.410.634/0001-58</v>
          </cell>
        </row>
        <row r="5869">
          <cell r="A5869">
            <v>45169</v>
          </cell>
          <cell r="B5869" t="str">
            <v>CORPORATION</v>
          </cell>
          <cell r="C5869" t="str">
            <v>Ferreira Costa &amp; Cia Ltda</v>
          </cell>
          <cell r="D5869" t="str">
            <v>Ferreira Costa &amp; Cia (Natal)</v>
          </cell>
          <cell r="E5869" t="str">
            <v>BR_CNPJ</v>
          </cell>
          <cell r="F5869" t="str">
            <v>10.230.480/0033-18</v>
          </cell>
          <cell r="G5869" t="str">
            <v>FERREIRA COSTA</v>
          </cell>
        </row>
        <row r="5870">
          <cell r="A5870">
            <v>45171</v>
          </cell>
          <cell r="B5870" t="str">
            <v>CORPORATION</v>
          </cell>
          <cell r="C5870" t="str">
            <v>Reginaldo Valdimiro Costa 83599690430</v>
          </cell>
          <cell r="D5870" t="str">
            <v>Reginaldo Valdimiro Costa</v>
          </cell>
          <cell r="E5870" t="str">
            <v>BR_CNPJ</v>
          </cell>
          <cell r="F5870" t="str">
            <v>36.650.355/0001-73</v>
          </cell>
        </row>
        <row r="5871">
          <cell r="A5871">
            <v>45179</v>
          </cell>
          <cell r="B5871" t="str">
            <v>CORPORATION</v>
          </cell>
          <cell r="C5871" t="str">
            <v>Ferreira Costa &amp; Cia Ltda</v>
          </cell>
          <cell r="D5871" t="str">
            <v>Ferreira Costa &amp; Cia (Aracaju)</v>
          </cell>
          <cell r="E5871" t="str">
            <v>BR_CNPJ</v>
          </cell>
          <cell r="F5871" t="str">
            <v>10.230.480/0023-46</v>
          </cell>
          <cell r="G5871" t="str">
            <v>FERREIRA COSTA</v>
          </cell>
        </row>
        <row r="5872">
          <cell r="A5872">
            <v>45180</v>
          </cell>
          <cell r="B5872" t="str">
            <v>CORPORATION</v>
          </cell>
          <cell r="C5872" t="str">
            <v>Solplasmaq Maquinas E Ferramentas Ltda</v>
          </cell>
          <cell r="D5872" t="str">
            <v>Solplasmaq</v>
          </cell>
          <cell r="E5872" t="str">
            <v>BR_CNPJ</v>
          </cell>
          <cell r="F5872" t="str">
            <v>52.308.047/0001-10</v>
          </cell>
        </row>
        <row r="5873">
          <cell r="A5873">
            <v>45182</v>
          </cell>
          <cell r="B5873" t="str">
            <v>CORPORATION</v>
          </cell>
          <cell r="C5873" t="str">
            <v>Ferreira Costa &amp; Cia. Ltda</v>
          </cell>
          <cell r="D5873" t="str">
            <v>Ferreira Costa &amp; Cia. (Joao Pessoa)</v>
          </cell>
          <cell r="E5873" t="str">
            <v>BR_CNPJ</v>
          </cell>
          <cell r="F5873" t="str">
            <v>10.230.480/0026-99</v>
          </cell>
          <cell r="G5873" t="str">
            <v>FERREIRA COSTA</v>
          </cell>
        </row>
        <row r="5874">
          <cell r="A5874">
            <v>45187</v>
          </cell>
          <cell r="B5874" t="str">
            <v>CORPORATION</v>
          </cell>
          <cell r="C5874" t="str">
            <v>Ferreira Costa &amp; Cia Ltda</v>
          </cell>
          <cell r="D5874" t="str">
            <v>Ferreira Costa &amp; Cia (Recife)</v>
          </cell>
          <cell r="E5874" t="str">
            <v>BR_CNPJ</v>
          </cell>
          <cell r="F5874" t="str">
            <v>10.230.480/0015-36</v>
          </cell>
          <cell r="G5874" t="str">
            <v>FERREIRA COSTA</v>
          </cell>
        </row>
        <row r="5875">
          <cell r="A5875">
            <v>45192</v>
          </cell>
          <cell r="B5875" t="str">
            <v>CORPORATION</v>
          </cell>
          <cell r="C5875" t="str">
            <v>Ferreira Costa &amp; Cia Ltda</v>
          </cell>
          <cell r="D5875" t="str">
            <v>Ferreira Costa &amp; Cia (Recife, Tamarineira)</v>
          </cell>
          <cell r="E5875" t="str">
            <v>BR_CNPJ</v>
          </cell>
          <cell r="F5875" t="str">
            <v>10.230.480/0006-45</v>
          </cell>
          <cell r="G5875" t="str">
            <v>FERREIRA COSTA</v>
          </cell>
        </row>
        <row r="5876">
          <cell r="A5876">
            <v>45195</v>
          </cell>
          <cell r="B5876" t="str">
            <v>CORPORATION</v>
          </cell>
          <cell r="C5876" t="str">
            <v>Ferreira Costa &amp; Cia Ltda</v>
          </cell>
          <cell r="D5876" t="str">
            <v>Ferreira Costa &amp; Cia (Caruaru)</v>
          </cell>
          <cell r="E5876" t="str">
            <v>BR_CNPJ</v>
          </cell>
          <cell r="F5876" t="str">
            <v>10.230.480/0035-80</v>
          </cell>
          <cell r="G5876" t="str">
            <v>FERREIRA COSTA</v>
          </cell>
        </row>
        <row r="5877">
          <cell r="A5877">
            <v>45200</v>
          </cell>
          <cell r="B5877" t="str">
            <v>CORPORATION</v>
          </cell>
          <cell r="C5877" t="str">
            <v>Ferreira Costa &amp; Cia Ltda</v>
          </cell>
          <cell r="D5877" t="str">
            <v>Ferreira Costa &amp; Cia (Cabo De Santo Agostinho)</v>
          </cell>
          <cell r="E5877" t="str">
            <v>BR_CNPJ</v>
          </cell>
          <cell r="F5877" t="str">
            <v>10.230.480/0028-50</v>
          </cell>
          <cell r="G5877" t="str">
            <v>FERREIRA COSTA</v>
          </cell>
        </row>
        <row r="5878">
          <cell r="A5878">
            <v>45201</v>
          </cell>
          <cell r="B5878" t="str">
            <v>CORPORATION</v>
          </cell>
          <cell r="C5878" t="str">
            <v>Ampla Ferragens E Maquinas Ltda</v>
          </cell>
          <cell r="D5878" t="str">
            <v>Ferrasul</v>
          </cell>
          <cell r="E5878" t="str">
            <v>BR_CNPJ</v>
          </cell>
          <cell r="F5878" t="str">
            <v>29.235.600/0001-10</v>
          </cell>
          <cell r="G5878" t="str">
            <v>FERRASUL</v>
          </cell>
        </row>
        <row r="5879">
          <cell r="A5879">
            <v>45214</v>
          </cell>
          <cell r="B5879" t="str">
            <v>CORPORATION</v>
          </cell>
          <cell r="C5879" t="str">
            <v>Nordeste Soldas Ltda</v>
          </cell>
          <cell r="D5879" t="str">
            <v>Ns3 Welds (Je Eletrodos)</v>
          </cell>
          <cell r="E5879" t="str">
            <v>BR_CNPJ</v>
          </cell>
          <cell r="F5879" t="str">
            <v>15.987.103/0001-64</v>
          </cell>
          <cell r="G5879" t="str">
            <v>JE ELETRODOS</v>
          </cell>
        </row>
        <row r="5880">
          <cell r="A5880">
            <v>45215</v>
          </cell>
          <cell r="B5880" t="str">
            <v>CORPORATION</v>
          </cell>
          <cell r="C5880" t="str">
            <v>Cargnin &amp; Vicente Ltda</v>
          </cell>
          <cell r="D5880" t="str">
            <v>Kacula Materiais De Construcao</v>
          </cell>
          <cell r="E5880" t="str">
            <v>BR_CNPJ</v>
          </cell>
          <cell r="F5880" t="str">
            <v>10.957.818/0001-50</v>
          </cell>
        </row>
        <row r="5881">
          <cell r="A5881">
            <v>45220</v>
          </cell>
          <cell r="B5881" t="str">
            <v>CORPORATION</v>
          </cell>
          <cell r="C5881" t="str">
            <v>Comercial 2000 Ltda</v>
          </cell>
          <cell r="D5881" t="str">
            <v>Comercial 2000</v>
          </cell>
          <cell r="E5881" t="str">
            <v>BR_CNPJ</v>
          </cell>
          <cell r="F5881" t="str">
            <v>44.429.773/0001-63</v>
          </cell>
          <cell r="G5881" t="str">
            <v>Comercial 2000</v>
          </cell>
        </row>
        <row r="5882">
          <cell r="A5882">
            <v>45237</v>
          </cell>
          <cell r="B5882" t="str">
            <v>CORPORATION</v>
          </cell>
          <cell r="C5882" t="str">
            <v>Leroy Merlin Companhia Brasileira De Bricolagem</v>
          </cell>
          <cell r="D5882" t="str">
            <v>0061 Loja Brasilia Asa Norte</v>
          </cell>
          <cell r="E5882" t="str">
            <v>BR_CNPJ</v>
          </cell>
          <cell r="F5882" t="str">
            <v>01.438.784/0066-42</v>
          </cell>
          <cell r="G5882" t="str">
            <v>LEROY MERLIN</v>
          </cell>
        </row>
        <row r="5883">
          <cell r="A5883">
            <v>45238</v>
          </cell>
          <cell r="B5883" t="str">
            <v>CORPORATION</v>
          </cell>
          <cell r="C5883" t="str">
            <v>A G R Distribuidora Ltda</v>
          </cell>
          <cell r="D5883" t="str">
            <v>Beleza</v>
          </cell>
          <cell r="E5883" t="str">
            <v>BR_CNPJ</v>
          </cell>
          <cell r="F5883" t="str">
            <v>28.410.669/0001-70</v>
          </cell>
        </row>
        <row r="5884">
          <cell r="A5884">
            <v>45245</v>
          </cell>
          <cell r="B5884" t="str">
            <v>CORPORATION</v>
          </cell>
          <cell r="C5884" t="str">
            <v>Suprema Parafusos E Chumbadores Ltda</v>
          </cell>
          <cell r="D5884" t="str">
            <v>Suprema Parafusos E Chumbadores</v>
          </cell>
          <cell r="E5884" t="str">
            <v>BR_CNPJ</v>
          </cell>
          <cell r="F5884" t="str">
            <v>39.682.561/0001-53</v>
          </cell>
        </row>
        <row r="5885">
          <cell r="A5885">
            <v>45247</v>
          </cell>
          <cell r="B5885" t="str">
            <v>CORPORATION</v>
          </cell>
          <cell r="C5885" t="str">
            <v>Mundo Dos Parafusos Ltda</v>
          </cell>
          <cell r="D5885" t="str">
            <v>Mundo Dos Parafusos</v>
          </cell>
          <cell r="E5885" t="str">
            <v>BR_CNPJ</v>
          </cell>
          <cell r="F5885" t="str">
            <v>10.892.262/0001-61</v>
          </cell>
        </row>
        <row r="5886">
          <cell r="A5886">
            <v>45252</v>
          </cell>
          <cell r="B5886" t="str">
            <v>CORPORATION</v>
          </cell>
          <cell r="C5886" t="str">
            <v>Lucas Carvalho Tenorio 18945711775</v>
          </cell>
          <cell r="D5886" t="str">
            <v>Jm Assistencia Tecnica E Manutencoes</v>
          </cell>
          <cell r="E5886" t="str">
            <v>BR_CNPJ</v>
          </cell>
          <cell r="F5886" t="str">
            <v>46.438.742/0001-02</v>
          </cell>
        </row>
        <row r="5887">
          <cell r="A5887">
            <v>45254</v>
          </cell>
          <cell r="B5887" t="str">
            <v>CORPORATION</v>
          </cell>
          <cell r="C5887" t="str">
            <v>Fiel De Campo Grande Eletrica Ltda</v>
          </cell>
          <cell r="D5887" t="str">
            <v>Fiel Eletrica</v>
          </cell>
          <cell r="E5887" t="str">
            <v>BR_CNPJ</v>
          </cell>
          <cell r="F5887" t="str">
            <v>07.744.589/0001-81</v>
          </cell>
        </row>
        <row r="5888">
          <cell r="A5888">
            <v>45258</v>
          </cell>
          <cell r="B5888" t="str">
            <v>CORPORATION</v>
          </cell>
          <cell r="C5888" t="str">
            <v>Comercial Ferragens Rio Ave Ltda</v>
          </cell>
          <cell r="D5888" t="str">
            <v>Comercial Ferragens Rio Ave</v>
          </cell>
          <cell r="E5888" t="str">
            <v>BR_CNPJ</v>
          </cell>
          <cell r="F5888" t="str">
            <v>11.375.503/0001-68</v>
          </cell>
        </row>
        <row r="5889">
          <cell r="A5889">
            <v>45261</v>
          </cell>
          <cell r="B5889" t="str">
            <v>CORPORATION</v>
          </cell>
          <cell r="C5889" t="str">
            <v>Omc Comercio De Artigos De Caca,Pesca E Ferramentas Ltda</v>
          </cell>
          <cell r="D5889" t="str">
            <v>Alternativa Utilidades</v>
          </cell>
          <cell r="E5889" t="str">
            <v>BR_CNPJ</v>
          </cell>
          <cell r="F5889" t="str">
            <v>07.999.556/0001-82</v>
          </cell>
        </row>
        <row r="5890">
          <cell r="A5890">
            <v>45262</v>
          </cell>
          <cell r="B5890" t="str">
            <v>CORPORATION</v>
          </cell>
          <cell r="C5890" t="str">
            <v>Turcatto &amp; Turcatto Ltda</v>
          </cell>
          <cell r="D5890" t="str">
            <v>Paraiso Com. De Ferragens E Abrasivos.</v>
          </cell>
          <cell r="E5890" t="str">
            <v>BR_CNPJ</v>
          </cell>
          <cell r="F5890" t="str">
            <v>05.639.696/0002-03</v>
          </cell>
        </row>
        <row r="5891">
          <cell r="A5891">
            <v>45263</v>
          </cell>
          <cell r="B5891" t="str">
            <v>CORPORATION</v>
          </cell>
          <cell r="C5891" t="str">
            <v>S.O.S Do Agro Comercio De Parafusos, Ferramentas E Maquinas Ltda</v>
          </cell>
          <cell r="D5891" t="str">
            <v>S.O.S Do Agro</v>
          </cell>
          <cell r="E5891" t="str">
            <v>BR_CNPJ</v>
          </cell>
          <cell r="F5891" t="str">
            <v>42.146.632/0001-08</v>
          </cell>
        </row>
        <row r="5892">
          <cell r="A5892">
            <v>45268</v>
          </cell>
          <cell r="B5892" t="str">
            <v>CORPORATION</v>
          </cell>
          <cell r="C5892" t="str">
            <v>Luiz Felipe Carvalho Marchesotti</v>
          </cell>
          <cell r="D5892" t="str">
            <v>Lufel</v>
          </cell>
          <cell r="E5892" t="str">
            <v>BR_CNPJ</v>
          </cell>
          <cell r="F5892" t="str">
            <v>12.536.891/0001-84</v>
          </cell>
        </row>
        <row r="5893">
          <cell r="A5893">
            <v>45269</v>
          </cell>
          <cell r="B5893" t="str">
            <v>CORPORATION</v>
          </cell>
          <cell r="C5893" t="str">
            <v>Ferbraco Ferro E Aco Ltda</v>
          </cell>
          <cell r="D5893" t="str">
            <v>Ferbraco Ferro E Aco</v>
          </cell>
          <cell r="E5893" t="str">
            <v>BR_CNPJ</v>
          </cell>
          <cell r="F5893" t="str">
            <v>28.487.647/0001-09</v>
          </cell>
        </row>
        <row r="5894">
          <cell r="A5894">
            <v>45271</v>
          </cell>
          <cell r="B5894" t="str">
            <v>CORPORATION</v>
          </cell>
          <cell r="C5894" t="str">
            <v>Sayonara Sobrinho De Freitas Lantyer 05131150809</v>
          </cell>
          <cell r="D5894" t="str">
            <v>Americana Variedades</v>
          </cell>
          <cell r="E5894" t="str">
            <v>BR_CNPJ</v>
          </cell>
          <cell r="F5894" t="str">
            <v>37.583.328/0001-98</v>
          </cell>
        </row>
        <row r="5895">
          <cell r="A5895">
            <v>45276</v>
          </cell>
          <cell r="B5895" t="str">
            <v>CORPORATION</v>
          </cell>
          <cell r="C5895" t="str">
            <v>Multfer Solucoes Para Industria E Construcao Ltda</v>
          </cell>
          <cell r="D5895" t="str">
            <v>Multfer Materiais Eletricos (Matriz)</v>
          </cell>
          <cell r="E5895" t="str">
            <v>BR_CNPJ</v>
          </cell>
          <cell r="F5895" t="str">
            <v>64.580.707/0001-05</v>
          </cell>
          <cell r="G5895" t="str">
            <v>MULTFER</v>
          </cell>
        </row>
        <row r="5896">
          <cell r="A5896">
            <v>45277</v>
          </cell>
          <cell r="B5896" t="str">
            <v>CORPORATION</v>
          </cell>
          <cell r="C5896" t="str">
            <v>Loja Vinte E Dois Maquinas E Ferramentas Ltda.</v>
          </cell>
          <cell r="D5896" t="str">
            <v>Loja 22</v>
          </cell>
          <cell r="E5896" t="str">
            <v>BR_CNPJ</v>
          </cell>
          <cell r="F5896" t="str">
            <v>02.929.752/0001-67</v>
          </cell>
        </row>
        <row r="5897">
          <cell r="A5897">
            <v>45282</v>
          </cell>
          <cell r="B5897" t="str">
            <v>CORPORATION</v>
          </cell>
          <cell r="C5897" t="str">
            <v>Multfer Solucoes Para Industria E Construcao Ltda</v>
          </cell>
          <cell r="D5897" t="str">
            <v>Multfer Solucoes Para Industria E Construcao (Vila Pinheiros)</v>
          </cell>
          <cell r="E5897" t="str">
            <v>BR_CNPJ</v>
          </cell>
          <cell r="F5897" t="str">
            <v>64.580.707/0002-88</v>
          </cell>
          <cell r="G5897" t="str">
            <v>MULTFER</v>
          </cell>
        </row>
        <row r="5898">
          <cell r="A5898">
            <v>45285</v>
          </cell>
          <cell r="B5898" t="str">
            <v>CORPORATION</v>
          </cell>
          <cell r="C5898" t="str">
            <v>Multfer Solucoes Para Industria E Construcao Ltda</v>
          </cell>
          <cell r="D5898" t="str">
            <v>Multfer Solucoes Para Industria (Jardim Guacu Mirim I)</v>
          </cell>
          <cell r="E5898" t="str">
            <v>BR_CNPJ</v>
          </cell>
          <cell r="F5898" t="str">
            <v>64.580.707/0003-69</v>
          </cell>
          <cell r="G5898" t="str">
            <v>MULTFER</v>
          </cell>
        </row>
        <row r="5899">
          <cell r="A5899">
            <v>45288</v>
          </cell>
          <cell r="B5899" t="str">
            <v>CORPORATION</v>
          </cell>
          <cell r="C5899" t="str">
            <v>Multfer Solucoes Para Industria E Construcao Ltda</v>
          </cell>
          <cell r="D5899" t="str">
            <v>Multfer Solucoes (Cachoeira De Baixo)</v>
          </cell>
          <cell r="E5899" t="str">
            <v>BR_CNPJ</v>
          </cell>
          <cell r="F5899" t="str">
            <v>64.580.707/0004-40</v>
          </cell>
          <cell r="G5899" t="str">
            <v>MULTFER</v>
          </cell>
        </row>
        <row r="5900">
          <cell r="A5900">
            <v>45292</v>
          </cell>
          <cell r="B5900" t="str">
            <v>CORPORATION</v>
          </cell>
          <cell r="C5900" t="str">
            <v>Jose Ferreira De Carvalho - O Ceara</v>
          </cell>
          <cell r="D5900" t="str">
            <v>Ferragista Pague Menos</v>
          </cell>
          <cell r="E5900" t="str">
            <v>BR_CNPJ</v>
          </cell>
          <cell r="F5900" t="str">
            <v>08.045.271/0001-75</v>
          </cell>
        </row>
        <row r="5901">
          <cell r="A5901">
            <v>45293</v>
          </cell>
          <cell r="B5901" t="str">
            <v>CORPORATION</v>
          </cell>
          <cell r="C5901" t="str">
            <v>Multfer Solucoes Para Industria E Construcao Ltda</v>
          </cell>
          <cell r="D5901" t="str">
            <v>Multfer Materiais Eletricos (Mombaca)</v>
          </cell>
          <cell r="E5901" t="str">
            <v>BR_CNPJ</v>
          </cell>
          <cell r="F5901" t="str">
            <v>64.580.707/0005-20</v>
          </cell>
          <cell r="G5901" t="str">
            <v>MULTFER</v>
          </cell>
        </row>
        <row r="5902">
          <cell r="A5902">
            <v>45296</v>
          </cell>
          <cell r="B5902" t="str">
            <v>CORPORATION</v>
          </cell>
          <cell r="C5902" t="str">
            <v>Multfer Solucoes Para Industria E Construcao Ltda</v>
          </cell>
          <cell r="D5902" t="str">
            <v>Multfer Materiais Eletricos (Jardim Guacu-Mirim I)</v>
          </cell>
          <cell r="E5902" t="str">
            <v>BR_CNPJ</v>
          </cell>
          <cell r="F5902" t="str">
            <v>64.580.707/0006-01</v>
          </cell>
          <cell r="G5902" t="str">
            <v>MULTFER</v>
          </cell>
        </row>
        <row r="5903">
          <cell r="A5903">
            <v>45298</v>
          </cell>
          <cell r="B5903" t="str">
            <v>CORPORATION</v>
          </cell>
          <cell r="C5903" t="str">
            <v>Wilian Dos Santos 33633204857</v>
          </cell>
          <cell r="D5903" t="str">
            <v>W.M.S Eletronica</v>
          </cell>
          <cell r="E5903" t="str">
            <v>BR_CNPJ</v>
          </cell>
          <cell r="F5903" t="str">
            <v>31.897.187/0001-00</v>
          </cell>
        </row>
        <row r="5904">
          <cell r="A5904">
            <v>45299</v>
          </cell>
          <cell r="B5904" t="str">
            <v>CORPORATION</v>
          </cell>
          <cell r="C5904" t="str">
            <v>Multfer Solucoes Para Industria E Construcao Ltda</v>
          </cell>
          <cell r="D5904" t="str">
            <v>Multfer Materiais Eletricos (Santa Luzia)</v>
          </cell>
          <cell r="E5904" t="str">
            <v>BR_CNPJ</v>
          </cell>
          <cell r="F5904" t="str">
            <v>64.580.707/0007-92</v>
          </cell>
          <cell r="G5904" t="str">
            <v>MULTFER</v>
          </cell>
        </row>
        <row r="5905">
          <cell r="A5905">
            <v>45303</v>
          </cell>
          <cell r="B5905" t="str">
            <v>CORPORATION</v>
          </cell>
          <cell r="C5905" t="str">
            <v>Multfer Solucoes Para Industria E Construcao Ltda</v>
          </cell>
          <cell r="D5905" t="str">
            <v>Multfer Solucoes (Graca)</v>
          </cell>
          <cell r="E5905" t="str">
            <v>BR_CNPJ</v>
          </cell>
          <cell r="F5905" t="str">
            <v>64.580.707/0008-73</v>
          </cell>
          <cell r="G5905" t="str">
            <v>MULTFER</v>
          </cell>
        </row>
        <row r="5906">
          <cell r="A5906">
            <v>45306</v>
          </cell>
          <cell r="B5906" t="str">
            <v>CORPORATION</v>
          </cell>
          <cell r="C5906" t="str">
            <v>Multfer Solucoes Para Industria E Construcao Ltda</v>
          </cell>
          <cell r="D5906" t="str">
            <v>Multfer Solucoes (Civit I)</v>
          </cell>
          <cell r="E5906" t="str">
            <v>BR_CNPJ</v>
          </cell>
          <cell r="F5906" t="str">
            <v>64.580.707/0009-54</v>
          </cell>
          <cell r="G5906" t="str">
            <v>MULTFER</v>
          </cell>
        </row>
        <row r="5907">
          <cell r="A5907">
            <v>45313</v>
          </cell>
          <cell r="B5907" t="str">
            <v>CORPORATION</v>
          </cell>
          <cell r="C5907" t="str">
            <v>Multfer Solucoes Para Industria E Construcao Ltda</v>
          </cell>
          <cell r="D5907" t="str">
            <v>Multfer Materiais Eletricos (Distrito Industrial)</v>
          </cell>
          <cell r="E5907" t="str">
            <v>BR_CNPJ</v>
          </cell>
          <cell r="F5907" t="str">
            <v>64.580.707/0010-98</v>
          </cell>
          <cell r="G5907" t="str">
            <v>MULTFER</v>
          </cell>
        </row>
        <row r="5908">
          <cell r="A5908">
            <v>45326</v>
          </cell>
          <cell r="B5908" t="str">
            <v>CORPORATION</v>
          </cell>
          <cell r="C5908" t="str">
            <v>Comercial Eletrica P.J.Ltda</v>
          </cell>
          <cell r="D5908" t="str">
            <v>Comercial Eletrica P.J.Ltda</v>
          </cell>
          <cell r="E5908" t="str">
            <v>BR_CNPJ</v>
          </cell>
          <cell r="F5908" t="str">
            <v>57.158.057/0001-30</v>
          </cell>
          <cell r="G5908" t="str">
            <v>Formula eletrica</v>
          </cell>
        </row>
        <row r="5909">
          <cell r="A5909">
            <v>45335</v>
          </cell>
          <cell r="B5909" t="str">
            <v>CORPORATION</v>
          </cell>
          <cell r="C5909" t="str">
            <v>Master Marine - Comercio E Exportacao Ltda</v>
          </cell>
          <cell r="D5909" t="str">
            <v>Master Marine - Comercio E Exportacao</v>
          </cell>
          <cell r="E5909" t="str">
            <v>BR_CNPJ</v>
          </cell>
          <cell r="F5909" t="str">
            <v>71.041.099/0001-18</v>
          </cell>
        </row>
        <row r="5910">
          <cell r="A5910">
            <v>45344</v>
          </cell>
          <cell r="B5910" t="str">
            <v>CORPORATION</v>
          </cell>
          <cell r="C5910" t="str">
            <v>Wesley Souza Caetano Bombas E Ferramentas Ltda</v>
          </cell>
          <cell r="D5910" t="str">
            <v>Udi Bombas E Ferramentas</v>
          </cell>
          <cell r="E5910" t="str">
            <v>BR_CNPJ</v>
          </cell>
          <cell r="F5910" t="str">
            <v>46.455.449/0001-45</v>
          </cell>
        </row>
        <row r="5911">
          <cell r="A5911">
            <v>45350</v>
          </cell>
          <cell r="B5911" t="str">
            <v>CORPORATION</v>
          </cell>
          <cell r="C5911" t="str">
            <v>Rentax - Locadora De Maquinas Ltda</v>
          </cell>
          <cell r="D5911" t="str">
            <v>Rentax</v>
          </cell>
          <cell r="E5911" t="str">
            <v>BR_CNPJ</v>
          </cell>
          <cell r="F5911" t="str">
            <v>15.490.166/0001-00</v>
          </cell>
        </row>
        <row r="5912">
          <cell r="A5912">
            <v>45352</v>
          </cell>
          <cell r="B5912" t="str">
            <v>CORPORATION</v>
          </cell>
          <cell r="C5912" t="str">
            <v>Irapecas Comercio De Auto Pecas Ltda</v>
          </cell>
          <cell r="D5912" t="str">
            <v>Irapecas Comercio De Auto Pecas Ltda</v>
          </cell>
          <cell r="E5912" t="str">
            <v>BR_CNPJ</v>
          </cell>
          <cell r="F5912" t="str">
            <v>86.787.892/0001-38</v>
          </cell>
        </row>
        <row r="5913">
          <cell r="A5913">
            <v>45353</v>
          </cell>
          <cell r="B5913" t="str">
            <v>CORPORATION</v>
          </cell>
          <cell r="C5913" t="str">
            <v>Araucaria Acabamentos Eireli</v>
          </cell>
          <cell r="D5913" t="str">
            <v>Araucaria Acabamentos Eireli</v>
          </cell>
          <cell r="E5913" t="str">
            <v>BR_CNPJ</v>
          </cell>
          <cell r="F5913" t="str">
            <v>09.515.128/0001-62</v>
          </cell>
        </row>
        <row r="5914">
          <cell r="A5914">
            <v>45354</v>
          </cell>
          <cell r="B5914" t="str">
            <v>CORPORATION</v>
          </cell>
          <cell r="C5914" t="str">
            <v>Construfort Comercio Importacao E Exportacao Ltda</v>
          </cell>
          <cell r="D5914" t="str">
            <v>Construfort Soldas</v>
          </cell>
          <cell r="E5914" t="str">
            <v>BR_CNPJ</v>
          </cell>
          <cell r="F5914" t="str">
            <v>46.556.694/0001-49</v>
          </cell>
        </row>
        <row r="5915">
          <cell r="A5915">
            <v>45358</v>
          </cell>
          <cell r="B5915" t="str">
            <v>CORPORATION</v>
          </cell>
          <cell r="C5915" t="str">
            <v>Riglamaq Industria Comercio De Maquinas &amp; Ferramentas Ltda</v>
          </cell>
          <cell r="D5915" t="str">
            <v>Riglamaq</v>
          </cell>
          <cell r="E5915" t="str">
            <v>BR_CNPJ</v>
          </cell>
          <cell r="F5915" t="str">
            <v>15.345.521/0001-58</v>
          </cell>
          <cell r="G5915" t="str">
            <v>RIGLAMAQ</v>
          </cell>
        </row>
        <row r="5916">
          <cell r="A5916">
            <v>45369</v>
          </cell>
          <cell r="B5916" t="str">
            <v>CORPORATION</v>
          </cell>
          <cell r="C5916" t="str">
            <v>Reino Da Borracha Ltda</v>
          </cell>
          <cell r="D5916" t="str">
            <v>Reino Da Borracha</v>
          </cell>
          <cell r="E5916" t="str">
            <v>BR_CNPJ</v>
          </cell>
          <cell r="F5916" t="str">
            <v>04.451.758/0001-05</v>
          </cell>
        </row>
        <row r="5917">
          <cell r="A5917">
            <v>45376</v>
          </cell>
          <cell r="B5917" t="str">
            <v>CORPORATION</v>
          </cell>
          <cell r="C5917" t="str">
            <v>Eltech Cnc Comercio E Industria Ltda</v>
          </cell>
          <cell r="D5917" t="str">
            <v>Eltech Cnc</v>
          </cell>
          <cell r="E5917" t="str">
            <v>BR_CNPJ</v>
          </cell>
          <cell r="F5917" t="str">
            <v>44.671.682/0001-30</v>
          </cell>
        </row>
        <row r="5918">
          <cell r="A5918">
            <v>45377</v>
          </cell>
          <cell r="B5918" t="str">
            <v>CORPORATION</v>
          </cell>
          <cell r="C5918" t="str">
            <v>Ana Aparecida Neves Da Silva Barbosa</v>
          </cell>
          <cell r="D5918" t="str">
            <v>Super Lider Utilidades</v>
          </cell>
          <cell r="E5918" t="str">
            <v>BR_CNPJ</v>
          </cell>
          <cell r="F5918" t="str">
            <v>04.317.628/0001-76</v>
          </cell>
        </row>
        <row r="5919">
          <cell r="A5919">
            <v>45382</v>
          </cell>
          <cell r="B5919" t="str">
            <v>CORPORATION</v>
          </cell>
          <cell r="C5919" t="str">
            <v>Vhx O Atacado Da Construcao Ltda</v>
          </cell>
          <cell r="D5919" t="str">
            <v>Vhx O Atacado Da Construcao Ltda</v>
          </cell>
          <cell r="E5919" t="str">
            <v>BR_CNPJ</v>
          </cell>
          <cell r="F5919" t="str">
            <v>04.994.482/0001-01</v>
          </cell>
        </row>
        <row r="5920">
          <cell r="A5920">
            <v>45388</v>
          </cell>
          <cell r="B5920" t="str">
            <v>CORPORATION</v>
          </cell>
          <cell r="C5920" t="str">
            <v>D P De Oliveira Ferragens E Ferramentas Ltda</v>
          </cell>
          <cell r="D5920" t="str">
            <v>Casa Portela Ferragens E Ferramentas</v>
          </cell>
          <cell r="E5920" t="str">
            <v>BR_CNPJ</v>
          </cell>
          <cell r="F5920" t="str">
            <v>46.009.892/0001-92</v>
          </cell>
        </row>
        <row r="5921">
          <cell r="A5921">
            <v>45406</v>
          </cell>
          <cell r="B5921" t="str">
            <v>CORPORATION</v>
          </cell>
          <cell r="C5921" t="str">
            <v>Angelica Cristina David Toledo 38278212821</v>
          </cell>
          <cell r="D5921" t="str">
            <v>Angelica Cristina David Toledo 38278212821</v>
          </cell>
          <cell r="E5921" t="str">
            <v>BR_CNPJ</v>
          </cell>
          <cell r="F5921" t="str">
            <v>37.146.730/0001-05</v>
          </cell>
        </row>
        <row r="5922">
          <cell r="A5922">
            <v>45411</v>
          </cell>
          <cell r="B5922" t="str">
            <v>CORPORATION</v>
          </cell>
          <cell r="C5922" t="str">
            <v>Br Parafusos Importadora Comercial Ltda</v>
          </cell>
          <cell r="D5922" t="str">
            <v>Br Parafusos</v>
          </cell>
          <cell r="E5922" t="str">
            <v>BR_CNPJ</v>
          </cell>
          <cell r="F5922" t="str">
            <v>02.556.423/0001-18</v>
          </cell>
          <cell r="G5922" t="str">
            <v>BR PARAFUSOS</v>
          </cell>
        </row>
        <row r="5923">
          <cell r="A5923">
            <v>45413</v>
          </cell>
          <cell r="B5923" t="str">
            <v>CORPORATION</v>
          </cell>
          <cell r="C5923" t="str">
            <v>Colomarti Atacadista De Ferramentas Ltda</v>
          </cell>
          <cell r="D5923" t="str">
            <v>So Aqui Ferramentas</v>
          </cell>
          <cell r="E5923" t="str">
            <v>BR_CNPJ</v>
          </cell>
          <cell r="F5923" t="str">
            <v>64.515.067/0002-22</v>
          </cell>
          <cell r="G5923" t="str">
            <v>COLOMARTI</v>
          </cell>
        </row>
        <row r="5924">
          <cell r="A5924">
            <v>45415</v>
          </cell>
          <cell r="B5924" t="str">
            <v>CORPORATION</v>
          </cell>
          <cell r="C5924" t="str">
            <v>Imperial Ferragens E Ferramentas Ltda</v>
          </cell>
          <cell r="D5924" t="str">
            <v>Imperial Ferragens E Ferramentas</v>
          </cell>
          <cell r="E5924" t="str">
            <v>BR_CNPJ</v>
          </cell>
          <cell r="F5924" t="str">
            <v>43.410.484/0001-50</v>
          </cell>
        </row>
        <row r="5925">
          <cell r="A5925">
            <v>45429</v>
          </cell>
          <cell r="B5925" t="str">
            <v>CORPORATION</v>
          </cell>
          <cell r="C5925" t="str">
            <v>Segmax Comercio E Equipamentos De Seguranca E Servicos De Tecnologia Ltda</v>
          </cell>
          <cell r="D5925" t="str">
            <v>Segmax Comercio E Equipamentos</v>
          </cell>
          <cell r="E5925" t="str">
            <v>BR_CNPJ</v>
          </cell>
          <cell r="F5925" t="str">
            <v>16.917.372/0001-17</v>
          </cell>
        </row>
        <row r="5926">
          <cell r="A5926">
            <v>45439</v>
          </cell>
          <cell r="B5926" t="str">
            <v>CORPORATION</v>
          </cell>
          <cell r="C5926" t="str">
            <v>Supremo Planalto Ferramentas Ltda</v>
          </cell>
          <cell r="D5926" t="str">
            <v>Supremo Planalto Ferramentas</v>
          </cell>
          <cell r="E5926" t="str">
            <v>BR_CNPJ</v>
          </cell>
          <cell r="F5926" t="str">
            <v>48.212.841/0001-99</v>
          </cell>
          <cell r="G5926" t="str">
            <v>PLANALTO FERRAMENTAL</v>
          </cell>
        </row>
        <row r="5927">
          <cell r="A5927">
            <v>45460</v>
          </cell>
          <cell r="B5927" t="str">
            <v>CORPORATION</v>
          </cell>
          <cell r="C5927" t="str">
            <v>Mult-Coisas Ferragens E Ferramentas Em Geral Ltda</v>
          </cell>
          <cell r="D5927" t="str">
            <v>Mult-Coisas Ferragens E Ferramentas</v>
          </cell>
          <cell r="E5927" t="str">
            <v>BR_CNPJ</v>
          </cell>
          <cell r="F5927" t="str">
            <v>33.188.940/0001-05</v>
          </cell>
        </row>
        <row r="5928">
          <cell r="A5928">
            <v>45473</v>
          </cell>
          <cell r="B5928" t="str">
            <v>CORPORATION</v>
          </cell>
          <cell r="C5928" t="str">
            <v>Dns Irrigacao, Comercio De Maquinas E Implementos Agricolas Ltda</v>
          </cell>
          <cell r="D5928" t="str">
            <v>Solucione</v>
          </cell>
          <cell r="E5928" t="str">
            <v>BR_CNPJ</v>
          </cell>
          <cell r="F5928" t="str">
            <v>28.525.446/0001-59</v>
          </cell>
        </row>
        <row r="5929">
          <cell r="A5929">
            <v>45477</v>
          </cell>
          <cell r="B5929" t="str">
            <v>CORPORATION</v>
          </cell>
          <cell r="C5929" t="str">
            <v>R B Guerra Ltda</v>
          </cell>
          <cell r="D5929" t="str">
            <v>Casa Das Ferramentas</v>
          </cell>
          <cell r="E5929" t="str">
            <v>BR_CNPJ</v>
          </cell>
          <cell r="F5929" t="str">
            <v>42.847.355/0001-60</v>
          </cell>
          <cell r="G5929" t="str">
            <v>CASA DAS FERRAMENTAS</v>
          </cell>
        </row>
        <row r="5930">
          <cell r="A5930">
            <v>45482</v>
          </cell>
          <cell r="B5930" t="str">
            <v>CORPORATION</v>
          </cell>
          <cell r="C5930" t="str">
            <v>Mario Junior Martins</v>
          </cell>
          <cell r="D5930" t="str">
            <v>Mjm Suprimentos Industriais</v>
          </cell>
          <cell r="E5930" t="str">
            <v>BR_CNPJ</v>
          </cell>
          <cell r="F5930" t="str">
            <v>25.353.682/0001-47</v>
          </cell>
        </row>
        <row r="5931">
          <cell r="A5931">
            <v>45501</v>
          </cell>
          <cell r="B5931" t="str">
            <v>CORPORATION</v>
          </cell>
          <cell r="C5931" t="str">
            <v>General Soldas Manutenção , Serviços E Representação Ltda</v>
          </cell>
          <cell r="D5931" t="str">
            <v>General Soldas</v>
          </cell>
          <cell r="E5931" t="str">
            <v>BR_CNPJ</v>
          </cell>
          <cell r="F5931" t="str">
            <v>55.576.263/0001-35</v>
          </cell>
        </row>
        <row r="5932">
          <cell r="A5932">
            <v>45509</v>
          </cell>
          <cell r="B5932" t="str">
            <v>CORPORATION</v>
          </cell>
          <cell r="C5932" t="str">
            <v>Ferragista Fernandes Eireli</v>
          </cell>
          <cell r="D5932" t="str">
            <v>Ferrafort</v>
          </cell>
          <cell r="E5932" t="str">
            <v>BR_CNPJ</v>
          </cell>
          <cell r="F5932" t="str">
            <v>28.581.962/0001-09</v>
          </cell>
          <cell r="G5932" t="str">
            <v>FERRAGISTA FERNANDES</v>
          </cell>
        </row>
        <row r="5933">
          <cell r="A5933">
            <v>45513</v>
          </cell>
          <cell r="B5933" t="str">
            <v>CORPORATION</v>
          </cell>
          <cell r="C5933" t="str">
            <v>Coutec Servicos E Comercio Ltda</v>
          </cell>
          <cell r="D5933" t="str">
            <v>Coutec Comercial</v>
          </cell>
          <cell r="E5933" t="str">
            <v>BR_CNPJ</v>
          </cell>
          <cell r="F5933" t="str">
            <v>04.610.158/0001-34</v>
          </cell>
          <cell r="G5933" t="str">
            <v>COUTEC</v>
          </cell>
        </row>
        <row r="5934">
          <cell r="A5934">
            <v>45518</v>
          </cell>
          <cell r="B5934" t="str">
            <v>CORPORATION</v>
          </cell>
          <cell r="C5934" t="str">
            <v>Thiago Fonteles De Sousa</v>
          </cell>
          <cell r="D5934" t="str">
            <v>Comercial Do Borracheiro</v>
          </cell>
          <cell r="E5934" t="str">
            <v>BR_CNPJ</v>
          </cell>
          <cell r="F5934" t="str">
            <v>31.681.408/0001-08</v>
          </cell>
        </row>
        <row r="5935">
          <cell r="A5935">
            <v>45521</v>
          </cell>
          <cell r="B5935" t="str">
            <v>CORPORATION</v>
          </cell>
          <cell r="C5935" t="str">
            <v>Brambifer Comercio Atacadista De Ferramentas Ltda</v>
          </cell>
          <cell r="D5935" t="str">
            <v>Brambifer Comercio E Representacoes Ltda Me</v>
          </cell>
          <cell r="E5935" t="str">
            <v>BR_CNPJ</v>
          </cell>
          <cell r="F5935" t="str">
            <v>03.488.034/0001-65</v>
          </cell>
        </row>
        <row r="5936">
          <cell r="A5936">
            <v>45524</v>
          </cell>
          <cell r="B5936" t="str">
            <v>CORPORATION</v>
          </cell>
          <cell r="C5936" t="str">
            <v>P.C.Thiago Materiais De Construcao Ltda</v>
          </cell>
          <cell r="D5936" t="str">
            <v>Casa Do Construtor</v>
          </cell>
          <cell r="E5936" t="str">
            <v>BR_CNPJ</v>
          </cell>
          <cell r="F5936" t="str">
            <v>84.971.951/0001-06</v>
          </cell>
        </row>
        <row r="5937">
          <cell r="A5937">
            <v>45529</v>
          </cell>
          <cell r="B5937" t="str">
            <v>CORPORATION</v>
          </cell>
          <cell r="C5937" t="str">
            <v>Arujafer Comercio De Ferragens Ltda</v>
          </cell>
          <cell r="D5937" t="str">
            <v>Arujafer</v>
          </cell>
          <cell r="E5937" t="str">
            <v>BR_CNPJ</v>
          </cell>
          <cell r="F5937" t="str">
            <v>11.545.713/0001-57</v>
          </cell>
        </row>
        <row r="5938">
          <cell r="A5938">
            <v>45531</v>
          </cell>
          <cell r="B5938" t="str">
            <v>CORPORATION</v>
          </cell>
          <cell r="C5938" t="str">
            <v>Brema Locacoes De Equipamentos Ltda</v>
          </cell>
          <cell r="D5938" t="str">
            <v>Brema</v>
          </cell>
          <cell r="E5938" t="str">
            <v>BR_CNPJ</v>
          </cell>
          <cell r="F5938" t="str">
            <v>46.246.953/0001-35</v>
          </cell>
        </row>
        <row r="5939">
          <cell r="A5939">
            <v>45550</v>
          </cell>
          <cell r="B5939" t="str">
            <v>CORPORATION</v>
          </cell>
          <cell r="C5939" t="str">
            <v>Deposito Bom Pastor Materiais Para Construcao Ltda</v>
          </cell>
          <cell r="D5939" t="str">
            <v>Deposito Bom Pastor Materiais Para Construcao</v>
          </cell>
          <cell r="E5939" t="str">
            <v>BR_CNPJ</v>
          </cell>
          <cell r="F5939" t="str">
            <v>54.413.679/0001-70</v>
          </cell>
        </row>
        <row r="5940">
          <cell r="A5940">
            <v>45554</v>
          </cell>
          <cell r="B5940" t="str">
            <v>CORPORATION</v>
          </cell>
          <cell r="C5940" t="str">
            <v>Perfinasa Metais Ltda</v>
          </cell>
          <cell r="D5940" t="str">
            <v>Perfinasa Metais</v>
          </cell>
          <cell r="E5940" t="str">
            <v>BR_CNPJ</v>
          </cell>
          <cell r="F5940" t="str">
            <v>02.270.981/0001-12</v>
          </cell>
        </row>
        <row r="5941">
          <cell r="A5941">
            <v>45559</v>
          </cell>
          <cell r="B5941" t="str">
            <v>CORPORATION</v>
          </cell>
          <cell r="C5941" t="str">
            <v>Rolpar Rolamentos Do Para Ltda</v>
          </cell>
          <cell r="D5941" t="str">
            <v>Rolpar</v>
          </cell>
          <cell r="E5941" t="str">
            <v>BR_CNPJ</v>
          </cell>
          <cell r="F5941" t="str">
            <v>06.132.712/0001-40</v>
          </cell>
          <cell r="G5941" t="str">
            <v>ROLPAR</v>
          </cell>
        </row>
        <row r="5942">
          <cell r="A5942">
            <v>45571</v>
          </cell>
          <cell r="B5942" t="str">
            <v>CORPORATION</v>
          </cell>
          <cell r="C5942" t="str">
            <v>Pettersen Comercio De Ferramentas Ltda</v>
          </cell>
          <cell r="D5942" t="str">
            <v>Msb Maquinas E Ferramentas</v>
          </cell>
          <cell r="E5942" t="str">
            <v>BR_CNPJ</v>
          </cell>
          <cell r="F5942" t="str">
            <v>08.774.899/0001-01</v>
          </cell>
        </row>
        <row r="5943">
          <cell r="A5943">
            <v>45578</v>
          </cell>
          <cell r="B5943" t="str">
            <v>CORPORATION</v>
          </cell>
          <cell r="C5943" t="str">
            <v>Bucar Comercio De Ferragens Eireli Me</v>
          </cell>
          <cell r="D5943" t="str">
            <v>Paraíso Das Ferramentas</v>
          </cell>
          <cell r="E5943" t="str">
            <v>BR_CNPJ</v>
          </cell>
          <cell r="F5943" t="str">
            <v>33.108.409/0001-85</v>
          </cell>
          <cell r="G5943" t="str">
            <v>BUCAR</v>
          </cell>
        </row>
        <row r="5944">
          <cell r="A5944">
            <v>45580</v>
          </cell>
          <cell r="B5944" t="str">
            <v>CORPORATION</v>
          </cell>
          <cell r="C5944" t="str">
            <v>Bolt Ferramentas Automotivas Ltda</v>
          </cell>
          <cell r="D5944" t="str">
            <v>Bolt Ferramentas</v>
          </cell>
          <cell r="E5944" t="str">
            <v>BR_CNPJ</v>
          </cell>
          <cell r="F5944" t="str">
            <v>41.127.334/0001-08</v>
          </cell>
        </row>
        <row r="5945">
          <cell r="A5945">
            <v>45602</v>
          </cell>
          <cell r="B5945" t="str">
            <v>CORPORATION</v>
          </cell>
          <cell r="C5945" t="str">
            <v>S R De Lima</v>
          </cell>
          <cell r="D5945" t="str">
            <v>Multimaq</v>
          </cell>
          <cell r="E5945" t="str">
            <v>BR_CNPJ</v>
          </cell>
          <cell r="F5945" t="str">
            <v>44.071.030/0001-64</v>
          </cell>
        </row>
        <row r="5946">
          <cell r="A5946">
            <v>45606</v>
          </cell>
          <cell r="B5946" t="str">
            <v>CORPORATION</v>
          </cell>
          <cell r="C5946" t="str">
            <v>Canto Da Solda Ferramentas E Abrasivos Ltda</v>
          </cell>
          <cell r="D5946" t="str">
            <v>Canto Da Solda</v>
          </cell>
          <cell r="E5946" t="str">
            <v>BR_CNPJ</v>
          </cell>
          <cell r="F5946" t="str">
            <v>37.372.408/0001-02</v>
          </cell>
        </row>
        <row r="5947">
          <cell r="A5947">
            <v>45609</v>
          </cell>
          <cell r="B5947" t="str">
            <v>CORPORATION</v>
          </cell>
          <cell r="C5947" t="str">
            <v>Mazacat Comercio De Maquinas E Ferramentas Ltda</v>
          </cell>
          <cell r="D5947" t="str">
            <v>Mazacat Comercio De Maquinas E Ferramentas Ltda</v>
          </cell>
          <cell r="E5947" t="str">
            <v>BR_CNPJ</v>
          </cell>
          <cell r="F5947" t="str">
            <v>12.993.232/0001-77</v>
          </cell>
        </row>
        <row r="5948">
          <cell r="A5948">
            <v>45618</v>
          </cell>
          <cell r="B5948" t="str">
            <v>CORPORATION</v>
          </cell>
          <cell r="C5948" t="str">
            <v>Bmb Material De Construcao S.A.</v>
          </cell>
          <cell r="D5948" t="str">
            <v>Obramax Mesquita</v>
          </cell>
          <cell r="E5948" t="str">
            <v>BR_CNPJ</v>
          </cell>
          <cell r="F5948" t="str">
            <v>23.476.033/0013-41</v>
          </cell>
          <cell r="G5948" t="str">
            <v>OBRAMAX</v>
          </cell>
        </row>
        <row r="5949">
          <cell r="A5949">
            <v>45619</v>
          </cell>
          <cell r="B5949" t="str">
            <v>CORPORATION</v>
          </cell>
          <cell r="C5949" t="str">
            <v>Metal Art Comercio De Ferros E Acessorios Ltda</v>
          </cell>
          <cell r="D5949" t="str">
            <v>Metal Art</v>
          </cell>
          <cell r="E5949" t="str">
            <v>BR_CNPJ</v>
          </cell>
          <cell r="F5949" t="str">
            <v>27.840.532/0001-93</v>
          </cell>
        </row>
        <row r="5950">
          <cell r="A5950">
            <v>45623</v>
          </cell>
          <cell r="B5950" t="str">
            <v>CORPORATION</v>
          </cell>
          <cell r="C5950" t="str">
            <v>Barbosa &amp; Silva Comercio De Materiais Para Construcao Ltda</v>
          </cell>
          <cell r="D5950" t="str">
            <v>Barbosa Materiais Para Construcao</v>
          </cell>
          <cell r="E5950" t="str">
            <v>BR_CNPJ</v>
          </cell>
          <cell r="F5950" t="str">
            <v>10.561.262/0001-89</v>
          </cell>
        </row>
        <row r="5951">
          <cell r="A5951">
            <v>45628</v>
          </cell>
          <cell r="B5951" t="str">
            <v>CORPORATION</v>
          </cell>
          <cell r="C5951" t="str">
            <v>Madeiramadeira Comercio Eletronico S/A</v>
          </cell>
          <cell r="D5951" t="str">
            <v>Madeiramadeira</v>
          </cell>
          <cell r="E5951" t="str">
            <v>BR_CNPJ</v>
          </cell>
          <cell r="F5951" t="str">
            <v>10.490.181/0005-69</v>
          </cell>
          <cell r="G5951" t="str">
            <v>MADEIRAMADEIRA</v>
          </cell>
        </row>
        <row r="5952">
          <cell r="A5952">
            <v>45642</v>
          </cell>
          <cell r="B5952" t="str">
            <v>CORPORATION</v>
          </cell>
          <cell r="C5952" t="str">
            <v>Roldi &amp; Roldi Ltda</v>
          </cell>
          <cell r="D5952" t="str">
            <v>Roldi &amp; Roldi Ltda Me</v>
          </cell>
          <cell r="E5952" t="str">
            <v>BR_CNPJ</v>
          </cell>
          <cell r="F5952" t="str">
            <v>20.184.769/0001-14</v>
          </cell>
        </row>
        <row r="5953">
          <cell r="A5953">
            <v>45649</v>
          </cell>
          <cell r="B5953" t="str">
            <v>CORPORATION</v>
          </cell>
          <cell r="C5953" t="str">
            <v>Qualidade Tools Importacao Comercio De Ferramentas Eireli</v>
          </cell>
          <cell r="D5953" t="str">
            <v>Qualidade Tools Importacao Comercio De Ferramentas Eireli</v>
          </cell>
          <cell r="E5953" t="str">
            <v>BR_CNPJ</v>
          </cell>
          <cell r="F5953" t="str">
            <v>30.118.575/0001-74</v>
          </cell>
          <cell r="G5953" t="str">
            <v>QUALIDADE TOOLS</v>
          </cell>
        </row>
        <row r="5954">
          <cell r="A5954">
            <v>45656</v>
          </cell>
          <cell r="B5954" t="str">
            <v>CORPORATION</v>
          </cell>
          <cell r="C5954" t="str">
            <v>Rodrigo Araujo Lopes De Figueiredo 09010981673</v>
          </cell>
          <cell r="D5954" t="str">
            <v>Ferragista</v>
          </cell>
          <cell r="E5954" t="str">
            <v>BR_CNPJ</v>
          </cell>
          <cell r="F5954" t="str">
            <v>37.109.126/0001-09</v>
          </cell>
          <cell r="G5954" t="str">
            <v>FERRAGISTA</v>
          </cell>
        </row>
        <row r="5955">
          <cell r="A5955">
            <v>45662</v>
          </cell>
          <cell r="B5955" t="str">
            <v>CORPORATION</v>
          </cell>
          <cell r="C5955" t="str">
            <v>J Ricardo Araujo Ferreira Ltda</v>
          </cell>
          <cell r="D5955" t="str">
            <v>Coite Rural</v>
          </cell>
          <cell r="E5955" t="str">
            <v>BR_CNPJ</v>
          </cell>
          <cell r="F5955" t="str">
            <v>40.465.478/0002-92</v>
          </cell>
          <cell r="G5955" t="str">
            <v>COITE RURAL</v>
          </cell>
        </row>
        <row r="5956">
          <cell r="A5956">
            <v>45667</v>
          </cell>
          <cell r="B5956" t="str">
            <v>CORPORATION</v>
          </cell>
          <cell r="C5956" t="str">
            <v>Marcos Cesar Betta</v>
          </cell>
          <cell r="D5956" t="str">
            <v>Marcos Cesar Betta</v>
          </cell>
          <cell r="E5956" t="str">
            <v>BR_CNPJ</v>
          </cell>
          <cell r="F5956" t="str">
            <v>04.265.355/0001-63</v>
          </cell>
        </row>
        <row r="5957">
          <cell r="A5957">
            <v>45691</v>
          </cell>
          <cell r="B5957" t="str">
            <v>CORPORATION</v>
          </cell>
          <cell r="C5957" t="str">
            <v>M. Bergamo Pneus Ltda</v>
          </cell>
          <cell r="D5957" t="str">
            <v>M Bergamo Pneus</v>
          </cell>
          <cell r="E5957" t="str">
            <v>BR_CNPJ</v>
          </cell>
          <cell r="F5957" t="str">
            <v>36.269.774/0003-21</v>
          </cell>
          <cell r="G5957" t="str">
            <v>BERGAMO</v>
          </cell>
        </row>
        <row r="5958">
          <cell r="A5958">
            <v>45706</v>
          </cell>
          <cell r="B5958" t="str">
            <v>CORPORATION</v>
          </cell>
          <cell r="C5958" t="str">
            <v>Claudiano Galdino De Lima 38040137837</v>
          </cell>
          <cell r="D5958" t="str">
            <v>Maquinas Usadas</v>
          </cell>
          <cell r="E5958" t="str">
            <v>BR_CNPJ</v>
          </cell>
          <cell r="F5958" t="str">
            <v>33.606.244/0001-71</v>
          </cell>
        </row>
        <row r="5959">
          <cell r="A5959">
            <v>45709</v>
          </cell>
          <cell r="B5959" t="str">
            <v>CORPORATION</v>
          </cell>
          <cell r="C5959" t="str">
            <v>Mendes E Rocha Comercio E Servico Ltda</v>
          </cell>
          <cell r="D5959" t="str">
            <v>Rei Das Maquitas</v>
          </cell>
          <cell r="E5959" t="str">
            <v>BR_CNPJ</v>
          </cell>
          <cell r="F5959" t="str">
            <v>30.272.673/0001-61</v>
          </cell>
        </row>
        <row r="5960">
          <cell r="A5960">
            <v>45736</v>
          </cell>
          <cell r="B5960" t="str">
            <v>CORPORATION</v>
          </cell>
          <cell r="C5960" t="str">
            <v>Pedro Dos Santos Costa</v>
          </cell>
          <cell r="D5960" t="str">
            <v>Fs Acessorios</v>
          </cell>
          <cell r="E5960" t="str">
            <v>BR_CNPJ</v>
          </cell>
          <cell r="F5960" t="str">
            <v>45.334.698/0001-10</v>
          </cell>
        </row>
        <row r="5961">
          <cell r="A5961">
            <v>45742</v>
          </cell>
          <cell r="B5961" t="str">
            <v>CORPORATION</v>
          </cell>
          <cell r="C5961" t="str">
            <v>Df Locacoes E Manutencoes Ltda</v>
          </cell>
          <cell r="D5961" t="str">
            <v>Df Locacoes E Manutencoes (Destaque)</v>
          </cell>
          <cell r="E5961" t="str">
            <v>BR_CNPJ</v>
          </cell>
          <cell r="F5961" t="str">
            <v>43.666.019/0001-84</v>
          </cell>
          <cell r="G5961" t="str">
            <v>DESTAQUE</v>
          </cell>
        </row>
        <row r="5962">
          <cell r="A5962">
            <v>45743</v>
          </cell>
          <cell r="B5962" t="str">
            <v>CORPORATION</v>
          </cell>
          <cell r="C5962" t="str">
            <v>Jose Marcos Cambraia 44353111604</v>
          </cell>
          <cell r="D5962" t="str">
            <v>Cambraia Ferramentas E Parafusos</v>
          </cell>
          <cell r="E5962" t="str">
            <v>BR_CNPJ</v>
          </cell>
          <cell r="F5962" t="str">
            <v>29.813.740/0001-29</v>
          </cell>
        </row>
        <row r="5963">
          <cell r="A5963">
            <v>45744</v>
          </cell>
          <cell r="B5963" t="str">
            <v>CORPORATION</v>
          </cell>
          <cell r="C5963" t="str">
            <v>Comercial Polo Ferragens Ferramentas E Parafusos Ltda</v>
          </cell>
          <cell r="D5963" t="str">
            <v>Polo Ferragens Ferramentas E Parafusos</v>
          </cell>
          <cell r="E5963" t="str">
            <v>BR_CNPJ</v>
          </cell>
          <cell r="F5963" t="str">
            <v>03.238.559/0001-42</v>
          </cell>
        </row>
        <row r="5964">
          <cell r="A5964">
            <v>45746</v>
          </cell>
          <cell r="B5964" t="str">
            <v>CORPORATION</v>
          </cell>
          <cell r="C5964" t="str">
            <v>J. V. De Menezes Comercio Eireli</v>
          </cell>
          <cell r="D5964" t="str">
            <v>Comercial Menezes Construcoes</v>
          </cell>
          <cell r="E5964" t="str">
            <v>BR_CNPJ</v>
          </cell>
          <cell r="F5964" t="str">
            <v>37.867.178/0001-44</v>
          </cell>
        </row>
        <row r="5965">
          <cell r="A5965">
            <v>45750</v>
          </cell>
          <cell r="B5965" t="str">
            <v>CORPORATION</v>
          </cell>
          <cell r="C5965" t="str">
            <v>Ferro Equipamento Industrial Ltda</v>
          </cell>
          <cell r="D5965" t="str">
            <v>Ferro Equipamento Industrial Ltda</v>
          </cell>
          <cell r="E5965" t="str">
            <v>BR_CNPJ</v>
          </cell>
          <cell r="F5965" t="str">
            <v>15.797.607/0002-00</v>
          </cell>
        </row>
        <row r="5966">
          <cell r="A5966">
            <v>45753</v>
          </cell>
          <cell r="B5966" t="str">
            <v>CORPORATION</v>
          </cell>
          <cell r="C5966" t="str">
            <v>Comercial Equipecas E Servicos Ltda</v>
          </cell>
          <cell r="D5966" t="str">
            <v>Comercial Equipecas E Servicos</v>
          </cell>
          <cell r="E5966" t="str">
            <v>BR_CNPJ</v>
          </cell>
          <cell r="F5966" t="str">
            <v>94.218.120/0001-03</v>
          </cell>
        </row>
        <row r="5967">
          <cell r="A5967">
            <v>45757</v>
          </cell>
          <cell r="B5967" t="str">
            <v>CORPORATION</v>
          </cell>
          <cell r="C5967" t="str">
            <v>Ebson Portela De Moura Ltda</v>
          </cell>
          <cell r="D5967" t="str">
            <v>Ebson Portela De Moura Ltda</v>
          </cell>
          <cell r="E5967" t="str">
            <v>BR_CNPJ</v>
          </cell>
          <cell r="F5967" t="str">
            <v>43.021.956/0001-82</v>
          </cell>
        </row>
        <row r="5968">
          <cell r="A5968">
            <v>45758</v>
          </cell>
          <cell r="B5968" t="str">
            <v>CORPORATION</v>
          </cell>
          <cell r="C5968" t="str">
            <v>Gramotos Comercio De Moto Pecas Eireli</v>
          </cell>
          <cell r="D5968" t="str">
            <v>Gramotos</v>
          </cell>
          <cell r="E5968" t="str">
            <v>BR_CNPJ</v>
          </cell>
          <cell r="F5968" t="str">
            <v>84.640.580/0001-71</v>
          </cell>
          <cell r="G5968" t="str">
            <v>GRAMOTOS</v>
          </cell>
        </row>
        <row r="5969">
          <cell r="A5969">
            <v>45762</v>
          </cell>
          <cell r="B5969" t="str">
            <v>CORPORATION</v>
          </cell>
          <cell r="C5969" t="str">
            <v>C &amp; G Feramentas Ltda</v>
          </cell>
          <cell r="D5969" t="str">
            <v>C &amp; G Ferramentas</v>
          </cell>
          <cell r="E5969" t="str">
            <v>BR_CNPJ</v>
          </cell>
          <cell r="F5969" t="str">
            <v>06.330.843/0001-32</v>
          </cell>
        </row>
        <row r="5970">
          <cell r="A5970">
            <v>45763</v>
          </cell>
          <cell r="B5970" t="str">
            <v>CORPORATION</v>
          </cell>
          <cell r="C5970" t="str">
            <v>Reisfaz Industria E Comercio De Ferro E Aco Ltda</v>
          </cell>
          <cell r="D5970" t="str">
            <v>Comercio De Aco Umbara</v>
          </cell>
          <cell r="E5970" t="str">
            <v>BR_CNPJ</v>
          </cell>
          <cell r="F5970" t="str">
            <v>13.704.962/0001-73</v>
          </cell>
        </row>
        <row r="5971">
          <cell r="A5971">
            <v>45765</v>
          </cell>
          <cell r="B5971" t="str">
            <v>CORPORATION</v>
          </cell>
          <cell r="C5971" t="str">
            <v>Ariosvaldo Soares Magalhaes Ltda</v>
          </cell>
          <cell r="D5971" t="str">
            <v>Capim Ferro</v>
          </cell>
          <cell r="E5971" t="str">
            <v>BR_CNPJ</v>
          </cell>
          <cell r="F5971" t="str">
            <v>16.086.530/0001-34</v>
          </cell>
          <cell r="G5971" t="str">
            <v>CAPIM FERRO</v>
          </cell>
        </row>
        <row r="5972">
          <cell r="A5972">
            <v>45784</v>
          </cell>
          <cell r="B5972" t="str">
            <v>CORPORATION</v>
          </cell>
          <cell r="C5972" t="str">
            <v>Chavenco Londrina Ferramentas Ltda</v>
          </cell>
          <cell r="D5972" t="str">
            <v>Chavenco(Ziliz)</v>
          </cell>
          <cell r="E5972" t="str">
            <v>BR_CNPJ</v>
          </cell>
          <cell r="F5972" t="str">
            <v>19.092.674/0001-91</v>
          </cell>
          <cell r="G5972" t="str">
            <v>CHAVENCO</v>
          </cell>
        </row>
        <row r="5973">
          <cell r="A5973">
            <v>45814</v>
          </cell>
          <cell r="B5973" t="str">
            <v>CORPORATION</v>
          </cell>
          <cell r="C5973" t="str">
            <v>Brb Materiais De Construcao Ltda</v>
          </cell>
          <cell r="D5973" t="str">
            <v>Brasferro Ii</v>
          </cell>
          <cell r="E5973" t="str">
            <v>BR_CNPJ</v>
          </cell>
          <cell r="F5973" t="str">
            <v>54.629.141/0001-05</v>
          </cell>
          <cell r="G5973" t="str">
            <v>BRASFERRO</v>
          </cell>
        </row>
        <row r="5974">
          <cell r="A5974">
            <v>45819</v>
          </cell>
          <cell r="B5974" t="str">
            <v>CORPORATION</v>
          </cell>
          <cell r="C5974" t="str">
            <v>Eletrolmar Eletrotecnica Ltda</v>
          </cell>
          <cell r="D5974" t="str">
            <v>Eletrolmar Eletrotecnica Ltda</v>
          </cell>
          <cell r="E5974" t="str">
            <v>BR_CNPJ</v>
          </cell>
          <cell r="F5974" t="str">
            <v>39.513.323/0001-14</v>
          </cell>
        </row>
        <row r="5975">
          <cell r="A5975">
            <v>45824</v>
          </cell>
          <cell r="B5975" t="str">
            <v>CORPORATION</v>
          </cell>
          <cell r="C5975" t="str">
            <v>Total Soldas Comercio E Servicos Em Equipamentos De Solda E Corte Ltda</v>
          </cell>
          <cell r="D5975" t="str">
            <v>Total Soldas Goias</v>
          </cell>
          <cell r="E5975" t="str">
            <v>BR_CNPJ</v>
          </cell>
          <cell r="F5975" t="str">
            <v>51.143.705/0001-07</v>
          </cell>
        </row>
        <row r="5976">
          <cell r="A5976">
            <v>45832</v>
          </cell>
          <cell r="B5976" t="str">
            <v>CORPORATION</v>
          </cell>
          <cell r="C5976" t="str">
            <v>Lara E Martins Comercio E Locacoes Ferramentas Ltda</v>
          </cell>
          <cell r="D5976" t="str">
            <v>Martins Soldas</v>
          </cell>
          <cell r="E5976" t="str">
            <v>BR_CNPJ</v>
          </cell>
          <cell r="F5976" t="str">
            <v>32.698.337/0001-00</v>
          </cell>
        </row>
        <row r="5977">
          <cell r="A5977">
            <v>45838</v>
          </cell>
          <cell r="B5977" t="str">
            <v>CORPORATION</v>
          </cell>
          <cell r="C5977" t="str">
            <v>Retenfix Comercio De Vedacoes Ltda</v>
          </cell>
          <cell r="D5977" t="str">
            <v>Retenfix</v>
          </cell>
          <cell r="E5977" t="str">
            <v>BR_CNPJ</v>
          </cell>
          <cell r="F5977" t="str">
            <v>08.794.599/0001-94</v>
          </cell>
        </row>
        <row r="5978">
          <cell r="A5978">
            <v>45848</v>
          </cell>
          <cell r="B5978" t="str">
            <v>CORPORATION</v>
          </cell>
          <cell r="C5978" t="str">
            <v>Lydianne Fatima De Souza Equipamentos Industriais</v>
          </cell>
          <cell r="D5978" t="str">
            <v>Pressmaq</v>
          </cell>
          <cell r="E5978" t="str">
            <v>BR_CNPJ</v>
          </cell>
          <cell r="F5978" t="str">
            <v>31.532.688/0001-84</v>
          </cell>
        </row>
        <row r="5979">
          <cell r="A5979">
            <v>45859</v>
          </cell>
          <cell r="B5979" t="str">
            <v>CORPORATION</v>
          </cell>
          <cell r="C5979" t="str">
            <v>Casa Gurgel Comercio De Material De Construcao Ltda</v>
          </cell>
          <cell r="D5979" t="str">
            <v>Casa Gurgel</v>
          </cell>
          <cell r="E5979" t="str">
            <v>BR_CNPJ</v>
          </cell>
          <cell r="F5979" t="str">
            <v>10.701.065/0002-07</v>
          </cell>
          <cell r="G5979" t="str">
            <v>CASA GURGEL</v>
          </cell>
        </row>
        <row r="5980">
          <cell r="A5980">
            <v>45862</v>
          </cell>
          <cell r="B5980" t="str">
            <v>CORPORATION</v>
          </cell>
          <cell r="C5980" t="str">
            <v>C. S. Rauber &amp; Cia Ltda</v>
          </cell>
          <cell r="D5980" t="str">
            <v>Zuk Maquinas E Ferramentas</v>
          </cell>
          <cell r="E5980" t="str">
            <v>BR_CNPJ</v>
          </cell>
          <cell r="F5980" t="str">
            <v>04.807.758/0001-97</v>
          </cell>
        </row>
        <row r="5981">
          <cell r="A5981">
            <v>45864</v>
          </cell>
          <cell r="B5981" t="str">
            <v>CORPORATION</v>
          </cell>
          <cell r="C5981" t="str">
            <v>Licitara Comercio De Maquinas E Equipamentos Ltda</v>
          </cell>
          <cell r="D5981" t="str">
            <v>Licitara</v>
          </cell>
          <cell r="E5981" t="str">
            <v>BR_CNPJ</v>
          </cell>
          <cell r="F5981" t="str">
            <v>29.953.468/0001-82</v>
          </cell>
        </row>
        <row r="5982">
          <cell r="A5982">
            <v>45869</v>
          </cell>
          <cell r="B5982" t="str">
            <v>CORPORATION</v>
          </cell>
          <cell r="C5982" t="str">
            <v>Marcos Daniel Da Silva 05549552884</v>
          </cell>
          <cell r="D5982" t="str">
            <v>Loja Usadao</v>
          </cell>
          <cell r="E5982" t="str">
            <v>BR_CNPJ</v>
          </cell>
          <cell r="F5982" t="str">
            <v>37.582.689/0001-10</v>
          </cell>
        </row>
        <row r="5983">
          <cell r="A5983">
            <v>45870</v>
          </cell>
          <cell r="B5983" t="str">
            <v>CORPORATION</v>
          </cell>
          <cell r="C5983" t="str">
            <v>Nunes Oliveira Maquinas E Ferramentas Ltda</v>
          </cell>
          <cell r="D5983" t="str">
            <v>Nunes Maquinas E Ferramentas</v>
          </cell>
          <cell r="E5983" t="str">
            <v>BR_CNPJ</v>
          </cell>
          <cell r="F5983" t="str">
            <v>61.112.215/0001-99</v>
          </cell>
        </row>
        <row r="5984">
          <cell r="A5984">
            <v>45871</v>
          </cell>
          <cell r="B5984" t="str">
            <v>CORPORATION</v>
          </cell>
          <cell r="C5984" t="str">
            <v>H J R Mecanica Hidraulica Ltda</v>
          </cell>
          <cell r="D5984" t="str">
            <v>Hjr</v>
          </cell>
          <cell r="E5984" t="str">
            <v>BR_CNPJ</v>
          </cell>
          <cell r="F5984" t="str">
            <v>10.359.302/0001-04</v>
          </cell>
        </row>
        <row r="5985">
          <cell r="A5985">
            <v>45881</v>
          </cell>
          <cell r="B5985" t="str">
            <v>CORPORATION</v>
          </cell>
          <cell r="C5985" t="str">
            <v>Azeredo &amp; Martins Comercio De Ferragens E Ferramentas Ltda.</v>
          </cell>
          <cell r="D5985" t="str">
            <v>Kassio Ferragens</v>
          </cell>
          <cell r="E5985" t="str">
            <v>BR_CNPJ</v>
          </cell>
          <cell r="F5985" t="str">
            <v>37.812.118/0001-24</v>
          </cell>
        </row>
        <row r="5986">
          <cell r="A5986">
            <v>45898</v>
          </cell>
          <cell r="B5986" t="str">
            <v>CORPORATION</v>
          </cell>
          <cell r="C5986" t="str">
            <v>Edalvin Leandro Portela Barbosa</v>
          </cell>
          <cell r="D5986" t="str">
            <v>Materiais De Construcao Portela</v>
          </cell>
          <cell r="E5986" t="str">
            <v>BR_CNPJ</v>
          </cell>
          <cell r="F5986" t="str">
            <v>02.216.567/0001-25</v>
          </cell>
        </row>
        <row r="5987">
          <cell r="A5987">
            <v>45903</v>
          </cell>
          <cell r="B5987" t="str">
            <v>CORPORATION</v>
          </cell>
          <cell r="C5987" t="str">
            <v>Pedro De Oliveira Lana</v>
          </cell>
          <cell r="D5987" t="str">
            <v>Sjt Ferramentas</v>
          </cell>
          <cell r="E5987" t="str">
            <v>BR_CNPJ</v>
          </cell>
          <cell r="F5987" t="str">
            <v>05.897.531/0001-42</v>
          </cell>
        </row>
        <row r="5988">
          <cell r="A5988">
            <v>45930</v>
          </cell>
          <cell r="B5988" t="str">
            <v>CORPORATION</v>
          </cell>
          <cell r="C5988" t="str">
            <v>Mp Soldas Ferramentas E Equipamentos Ltda</v>
          </cell>
          <cell r="D5988" t="str">
            <v>Mp Soldas Ferramentas E Equipamentos Ltda</v>
          </cell>
          <cell r="E5988" t="str">
            <v>BR_CNPJ</v>
          </cell>
          <cell r="F5988" t="str">
            <v>37.374.649/0001-82</v>
          </cell>
          <cell r="G5988" t="str">
            <v>MAQPOINT</v>
          </cell>
        </row>
        <row r="5989">
          <cell r="A5989">
            <v>45948</v>
          </cell>
          <cell r="B5989" t="str">
            <v>CORPORATION</v>
          </cell>
          <cell r="C5989" t="str">
            <v>Gm Comercio De Ferragens Ltda</v>
          </cell>
          <cell r="D5989" t="str">
            <v>Parfix</v>
          </cell>
          <cell r="E5989" t="str">
            <v>BR_CNPJ</v>
          </cell>
          <cell r="F5989" t="str">
            <v>33.789.271/0001-27</v>
          </cell>
        </row>
        <row r="5990">
          <cell r="A5990">
            <v>45954</v>
          </cell>
          <cell r="B5990" t="str">
            <v>CORPORATION</v>
          </cell>
          <cell r="C5990" t="str">
            <v>Gorricho Comercio De Ferragens Ltda</v>
          </cell>
          <cell r="D5990" t="str">
            <v>Gorricho Comercio De Ferragens Ltda</v>
          </cell>
          <cell r="E5990" t="str">
            <v>BR_CNPJ</v>
          </cell>
          <cell r="F5990" t="str">
            <v>38.973.004/0001-29</v>
          </cell>
        </row>
        <row r="5991">
          <cell r="A5991">
            <v>45958</v>
          </cell>
          <cell r="B5991" t="str">
            <v>CORPORATION</v>
          </cell>
          <cell r="C5991" t="str">
            <v>Joao Victor Souza Cunha 13106963654</v>
          </cell>
          <cell r="D5991" t="str">
            <v>Olifer Assistencia Tecnica</v>
          </cell>
          <cell r="E5991" t="str">
            <v>BR_CNPJ</v>
          </cell>
          <cell r="F5991" t="str">
            <v>37.084.573/0001-50</v>
          </cell>
        </row>
        <row r="5992">
          <cell r="A5992">
            <v>45959</v>
          </cell>
          <cell r="B5992" t="str">
            <v>CORPORATION</v>
          </cell>
          <cell r="C5992" t="str">
            <v>Mv Comercial E Prestacao De Servico Ltda</v>
          </cell>
          <cell r="D5992" t="str">
            <v>Mv Comercial</v>
          </cell>
          <cell r="E5992" t="str">
            <v>BR_CNPJ</v>
          </cell>
          <cell r="F5992" t="str">
            <v>40.034.542/0001-08</v>
          </cell>
        </row>
        <row r="5993">
          <cell r="A5993">
            <v>45961</v>
          </cell>
          <cell r="B5993" t="str">
            <v>CORPORATION</v>
          </cell>
          <cell r="C5993" t="str">
            <v>Joao Luiz Russo De Souza 39084877810</v>
          </cell>
          <cell r="D5993" t="str">
            <v>Rpm Equipamentos</v>
          </cell>
          <cell r="E5993" t="str">
            <v>BR_CNPJ</v>
          </cell>
          <cell r="F5993" t="str">
            <v>33.181.212/0001-71</v>
          </cell>
        </row>
        <row r="5994">
          <cell r="A5994">
            <v>45963</v>
          </cell>
          <cell r="B5994" t="str">
            <v>CORPORATION</v>
          </cell>
          <cell r="C5994" t="str">
            <v>Morgon Pro Solucoes Ltda</v>
          </cell>
          <cell r="D5994" t="str">
            <v>Morgon Pro Solucoes</v>
          </cell>
          <cell r="E5994" t="str">
            <v>BR_CNPJ</v>
          </cell>
          <cell r="F5994" t="str">
            <v>56.229.555/0001-64</v>
          </cell>
        </row>
        <row r="5995">
          <cell r="A5995">
            <v>45967</v>
          </cell>
          <cell r="B5995" t="str">
            <v>CORPORATION</v>
          </cell>
          <cell r="C5995" t="str">
            <v>Cermig Comercial Ltda</v>
          </cell>
          <cell r="D5995" t="str">
            <v>Cermig Comercial Ltda</v>
          </cell>
          <cell r="E5995" t="str">
            <v>BR_CNPJ</v>
          </cell>
          <cell r="F5995" t="str">
            <v>44.233.168/0001-12</v>
          </cell>
        </row>
        <row r="5996">
          <cell r="A5996">
            <v>45973</v>
          </cell>
          <cell r="B5996" t="str">
            <v>CORPORATION</v>
          </cell>
          <cell r="C5996" t="str">
            <v>Tarfil Irrigacao, Maquinas E Ferramentas Ltda</v>
          </cell>
          <cell r="D5996" t="str">
            <v>Tarfil Irrigacao, Maquinas E Ferramentas Ltda</v>
          </cell>
          <cell r="E5996" t="str">
            <v>BR_CNPJ</v>
          </cell>
          <cell r="F5996" t="str">
            <v>78.056.710/0003-92</v>
          </cell>
          <cell r="G5996" t="str">
            <v>TARFIL</v>
          </cell>
        </row>
        <row r="5997">
          <cell r="A5997">
            <v>45975</v>
          </cell>
          <cell r="B5997" t="str">
            <v>CORPORATION</v>
          </cell>
          <cell r="C5997" t="str">
            <v>F Moura Dos Santos</v>
          </cell>
          <cell r="D5997" t="str">
            <v>Fabimack</v>
          </cell>
          <cell r="E5997" t="str">
            <v>BR_CNPJ</v>
          </cell>
          <cell r="F5997" t="str">
            <v>34.349.362/0001-04</v>
          </cell>
          <cell r="G5997" t="str">
            <v>FABIMACK</v>
          </cell>
        </row>
        <row r="5998">
          <cell r="A5998">
            <v>45980</v>
          </cell>
          <cell r="B5998" t="str">
            <v>CORPORATION</v>
          </cell>
          <cell r="C5998" t="str">
            <v>Casa Do Serralheiro Nossa Senhora Aparecida Eireli</v>
          </cell>
          <cell r="D5998" t="str">
            <v>Casa Do Serralheiro Nossa Senhora Aparecida Eireli</v>
          </cell>
          <cell r="E5998" t="str">
            <v>BR_CNPJ</v>
          </cell>
          <cell r="F5998" t="str">
            <v>32.596.781/0001-15</v>
          </cell>
        </row>
        <row r="5999">
          <cell r="A5999">
            <v>45987</v>
          </cell>
          <cell r="B5999" t="str">
            <v>CORPORATION</v>
          </cell>
          <cell r="C5999" t="str">
            <v>M. O. Castro</v>
          </cell>
          <cell r="D5999" t="str">
            <v>Comercial Sao Joao</v>
          </cell>
          <cell r="E5999" t="str">
            <v>BR_CNPJ</v>
          </cell>
          <cell r="F5999" t="str">
            <v>04.307.431/0001-56</v>
          </cell>
        </row>
        <row r="6000">
          <cell r="A6000">
            <v>45988</v>
          </cell>
          <cell r="B6000" t="str">
            <v>CORPORATION</v>
          </cell>
          <cell r="C6000" t="str">
            <v>Nova Jaya Epi Ferramentas &amp; Servicos Ltda</v>
          </cell>
          <cell r="D6000" t="str">
            <v>Nova Jaya Epi Ferramentas &amp; Servicos</v>
          </cell>
          <cell r="E6000" t="str">
            <v>BR_CNPJ</v>
          </cell>
          <cell r="F6000" t="str">
            <v>43.794.368/0001-81</v>
          </cell>
          <cell r="G6000" t="str">
            <v>TIRTA</v>
          </cell>
        </row>
        <row r="6001">
          <cell r="A6001">
            <v>45989</v>
          </cell>
          <cell r="B6001" t="str">
            <v>CORPORATION</v>
          </cell>
          <cell r="C6001" t="str">
            <v>Paulo Henrique Cerimeli 38658004830</v>
          </cell>
          <cell r="D6001" t="str">
            <v>Boxprice</v>
          </cell>
          <cell r="E6001" t="str">
            <v>BR_CNPJ</v>
          </cell>
          <cell r="F6001" t="str">
            <v>39.294.041/0001-73</v>
          </cell>
        </row>
        <row r="6002">
          <cell r="A6002">
            <v>45992</v>
          </cell>
          <cell r="B6002" t="str">
            <v>CORPORATION</v>
          </cell>
          <cell r="C6002" t="str">
            <v>Wellington Carlos Nobrega Da Silva 30556523806</v>
          </cell>
          <cell r="D6002" t="str">
            <v>Wcs Soldas Especiais Insumos &amp; Equipamentos</v>
          </cell>
          <cell r="E6002" t="str">
            <v>BR_CNPJ</v>
          </cell>
          <cell r="F6002" t="str">
            <v>26.135.390/0001-09</v>
          </cell>
        </row>
        <row r="6003">
          <cell r="A6003">
            <v>46008</v>
          </cell>
          <cell r="B6003" t="str">
            <v>CORPORATION</v>
          </cell>
          <cell r="C6003" t="str">
            <v>Alex Muniz Dos Reis 08514997670</v>
          </cell>
          <cell r="D6003" t="str">
            <v>Alex Muniz Dos Reis</v>
          </cell>
          <cell r="E6003" t="str">
            <v>BR_CNPJ</v>
          </cell>
          <cell r="F6003" t="str">
            <v>31.086.956/0001-81</v>
          </cell>
        </row>
        <row r="6004">
          <cell r="A6004">
            <v>46011</v>
          </cell>
          <cell r="B6004" t="str">
            <v>CORPORATION</v>
          </cell>
          <cell r="C6004" t="str">
            <v>Adervan Soares De Deus 11516499611</v>
          </cell>
          <cell r="D6004" t="str">
            <v>Agrofort Construcoes</v>
          </cell>
          <cell r="E6004" t="str">
            <v>BR_CNPJ</v>
          </cell>
          <cell r="F6004" t="str">
            <v>44.882.896/0001-55</v>
          </cell>
        </row>
        <row r="6005">
          <cell r="A6005">
            <v>46012</v>
          </cell>
          <cell r="B6005" t="str">
            <v>CORPORATION</v>
          </cell>
          <cell r="C6005" t="str">
            <v>Estoque Do Lojista Comercial Atacadista De Materiais Para Construcao Ltda</v>
          </cell>
          <cell r="D6005" t="str">
            <v>Estoque Do Lojista</v>
          </cell>
          <cell r="E6005" t="str">
            <v>BR_CNPJ</v>
          </cell>
          <cell r="F6005" t="str">
            <v>05.190.381/0002-13</v>
          </cell>
        </row>
        <row r="6006">
          <cell r="A6006">
            <v>46023</v>
          </cell>
          <cell r="B6006" t="str">
            <v>CORPORATION</v>
          </cell>
          <cell r="C6006" t="str">
            <v>Roniglayson Pereira Bezerra</v>
          </cell>
          <cell r="D6006" t="str">
            <v>L M Comercial De Ferramentas E Parafusos</v>
          </cell>
          <cell r="E6006" t="str">
            <v>BR_CNPJ</v>
          </cell>
          <cell r="F6006" t="str">
            <v>32.254.460/0001-32</v>
          </cell>
        </row>
        <row r="6007">
          <cell r="A6007">
            <v>46024</v>
          </cell>
          <cell r="B6007" t="str">
            <v>CORPORATION</v>
          </cell>
          <cell r="C6007" t="str">
            <v>Vmd - Maquinas E Ferramentas Ltda</v>
          </cell>
          <cell r="D6007" t="str">
            <v>Casa Do Soldador</v>
          </cell>
          <cell r="E6007" t="str">
            <v>BR_CNPJ</v>
          </cell>
          <cell r="F6007" t="str">
            <v>72.295.793/0004-77</v>
          </cell>
          <cell r="G6007" t="str">
            <v>CASA DO SOLDADOR</v>
          </cell>
        </row>
        <row r="6008">
          <cell r="A6008">
            <v>46027</v>
          </cell>
          <cell r="B6008" t="str">
            <v>CORPORATION</v>
          </cell>
          <cell r="C6008" t="str">
            <v>I9 Assessoria Materiais E Construcao Ltda.</v>
          </cell>
          <cell r="D6008" t="str">
            <v>I9 Assessoria, Materiais E Construcao</v>
          </cell>
          <cell r="E6008" t="str">
            <v>BR_CNPJ</v>
          </cell>
          <cell r="F6008" t="str">
            <v>12.725.715/0001-90</v>
          </cell>
        </row>
        <row r="6009">
          <cell r="A6009">
            <v>46039</v>
          </cell>
          <cell r="B6009" t="str">
            <v>CORPORATION</v>
          </cell>
          <cell r="C6009" t="str">
            <v>Parafusos Mundial Ltda</v>
          </cell>
          <cell r="D6009" t="str">
            <v>Mito Parafusos E Ferranges</v>
          </cell>
          <cell r="E6009" t="str">
            <v>BR_CNPJ</v>
          </cell>
          <cell r="F6009" t="str">
            <v>47.645.615/0001-39</v>
          </cell>
          <cell r="G6009" t="str">
            <v>FERRAGISTA MUNDIAL</v>
          </cell>
        </row>
        <row r="6010">
          <cell r="A6010">
            <v>46049</v>
          </cell>
          <cell r="B6010" t="str">
            <v>CORPORATION</v>
          </cell>
          <cell r="C6010" t="str">
            <v>Crz Ferramentas Ltda</v>
          </cell>
          <cell r="D6010" t="str">
            <v>Crz Ferramentas</v>
          </cell>
          <cell r="E6010" t="str">
            <v>BR_CNPJ</v>
          </cell>
          <cell r="F6010" t="str">
            <v>17.433.372/0001-04</v>
          </cell>
        </row>
        <row r="6011">
          <cell r="A6011">
            <v>46053</v>
          </cell>
          <cell r="B6011" t="str">
            <v>CORPORATION</v>
          </cell>
          <cell r="C6011" t="str">
            <v>L Fernandes Da Silva Ltda</v>
          </cell>
          <cell r="D6011" t="str">
            <v>Jl Parafusos</v>
          </cell>
          <cell r="E6011" t="str">
            <v>BR_CNPJ</v>
          </cell>
          <cell r="F6011" t="str">
            <v>11.078.956/0001-22</v>
          </cell>
        </row>
        <row r="6012">
          <cell r="A6012">
            <v>46061</v>
          </cell>
          <cell r="B6012" t="str">
            <v>CORPORATION</v>
          </cell>
          <cell r="C6012" t="str">
            <v>Palhinha Produtos Para Solda E Corte Ltda</v>
          </cell>
          <cell r="D6012" t="str">
            <v>Palhinha Soldas</v>
          </cell>
          <cell r="E6012" t="str">
            <v>BR_CNPJ</v>
          </cell>
          <cell r="F6012" t="str">
            <v>04.951.993/0001-38</v>
          </cell>
        </row>
        <row r="6013">
          <cell r="A6013">
            <v>46075</v>
          </cell>
          <cell r="B6013" t="str">
            <v>CORPORATION</v>
          </cell>
          <cell r="C6013" t="str">
            <v>Crescente Comercio E Represent De Ferragens Ltda</v>
          </cell>
          <cell r="D6013" t="str">
            <v>Parafuso &amp; Cia</v>
          </cell>
          <cell r="E6013" t="str">
            <v>BR_CNPJ</v>
          </cell>
          <cell r="F6013" t="str">
            <v>85.055.994/0001-04</v>
          </cell>
        </row>
        <row r="6014">
          <cell r="A6014">
            <v>46077</v>
          </cell>
          <cell r="B6014" t="str">
            <v>CORPORATION</v>
          </cell>
          <cell r="C6014" t="str">
            <v>M S S Santos Comercial De Ferramentas</v>
          </cell>
          <cell r="D6014" t="str">
            <v>Fermak</v>
          </cell>
          <cell r="E6014" t="str">
            <v>BR_CNPJ</v>
          </cell>
          <cell r="F6014" t="str">
            <v>27.080.516/0001-40</v>
          </cell>
        </row>
        <row r="6015">
          <cell r="A6015">
            <v>46078</v>
          </cell>
          <cell r="B6015" t="str">
            <v>CORPORATION</v>
          </cell>
          <cell r="C6015" t="str">
            <v>Mipe Supply Comercio De Suprimentos Ltda</v>
          </cell>
          <cell r="D6015" t="str">
            <v>Mipe Supply</v>
          </cell>
          <cell r="E6015" t="str">
            <v>BR_CNPJ</v>
          </cell>
          <cell r="F6015" t="str">
            <v>14.624.171/0001-04</v>
          </cell>
        </row>
        <row r="6016">
          <cell r="A6016">
            <v>46080</v>
          </cell>
          <cell r="B6016" t="str">
            <v>CORPORATION</v>
          </cell>
          <cell r="C6016" t="str">
            <v>Fermatec Com De Maquinas E Assistencia Tecnica Ltda</v>
          </cell>
          <cell r="D6016" t="str">
            <v>Fermatec Com De Maquinas E Assistencia Tecnica Ltda</v>
          </cell>
          <cell r="E6016" t="str">
            <v>BR_CNPJ</v>
          </cell>
          <cell r="F6016" t="str">
            <v>35.429.133/0001-62</v>
          </cell>
        </row>
        <row r="6017">
          <cell r="A6017">
            <v>46085</v>
          </cell>
          <cell r="B6017" t="str">
            <v>CORPORATION</v>
          </cell>
          <cell r="C6017" t="str">
            <v>Ckd Comercio Importacao E Exportacao Eireli</v>
          </cell>
          <cell r="D6017" t="str">
            <v>Ckd Comercio Importacao E Exportacao Eireli</v>
          </cell>
          <cell r="E6017" t="str">
            <v>BR_CNPJ</v>
          </cell>
          <cell r="F6017" t="str">
            <v>38.084.982/0001-10</v>
          </cell>
        </row>
        <row r="6018">
          <cell r="A6018">
            <v>46086</v>
          </cell>
          <cell r="B6018" t="str">
            <v>CORPORATION</v>
          </cell>
          <cell r="C6018" t="str">
            <v>Newtec Componentes Fixadores Ltda</v>
          </cell>
          <cell r="D6018" t="str">
            <v>Newtec</v>
          </cell>
          <cell r="E6018" t="str">
            <v>BR_CNPJ</v>
          </cell>
          <cell r="F6018" t="str">
            <v>04.613.802/0001-28</v>
          </cell>
        </row>
        <row r="6019">
          <cell r="A6019">
            <v>46107</v>
          </cell>
          <cell r="B6019" t="str">
            <v>CORPORATION</v>
          </cell>
          <cell r="C6019" t="str">
            <v>Parsolda Pecas E Servicos Ltda</v>
          </cell>
          <cell r="D6019" t="str">
            <v>Parsolda Pecas E Servicos</v>
          </cell>
          <cell r="E6019" t="str">
            <v>BR_CNPJ</v>
          </cell>
          <cell r="F6019" t="str">
            <v>55.944.024/0001-90</v>
          </cell>
        </row>
        <row r="6020">
          <cell r="A6020">
            <v>46110</v>
          </cell>
          <cell r="B6020" t="str">
            <v>CORPORATION</v>
          </cell>
          <cell r="C6020" t="str">
            <v>Izamaira Pereira Braga 04260427350</v>
          </cell>
          <cell r="D6020" t="str">
            <v>Izabraga Auto Pecas</v>
          </cell>
          <cell r="E6020" t="str">
            <v>BR_CNPJ</v>
          </cell>
          <cell r="F6020" t="str">
            <v>28.936.448/0001-30</v>
          </cell>
        </row>
        <row r="6021">
          <cell r="A6021">
            <v>46113</v>
          </cell>
          <cell r="B6021" t="str">
            <v>CORPORATION</v>
          </cell>
          <cell r="C6021" t="str">
            <v>Maziero Materiais De Construcao Ltda</v>
          </cell>
          <cell r="D6021" t="str">
            <v>Maziero Materiais De Construcao Ltda</v>
          </cell>
          <cell r="E6021" t="str">
            <v>BR_CNPJ</v>
          </cell>
          <cell r="F6021" t="str">
            <v>52.097.292/0001-26</v>
          </cell>
        </row>
        <row r="6022">
          <cell r="A6022">
            <v>46123</v>
          </cell>
          <cell r="B6022" t="str">
            <v>CORPORATION</v>
          </cell>
          <cell r="C6022" t="str">
            <v>Je Ferragens Ltda</v>
          </cell>
          <cell r="D6022" t="str">
            <v>Fermaq</v>
          </cell>
          <cell r="E6022" t="str">
            <v>BR_CNPJ</v>
          </cell>
          <cell r="F6022" t="str">
            <v>16.820.766/0001-52</v>
          </cell>
          <cell r="G6022" t="str">
            <v>FERMAQ</v>
          </cell>
        </row>
        <row r="6023">
          <cell r="A6023">
            <v>46138</v>
          </cell>
          <cell r="B6023" t="str">
            <v>CORPORATION</v>
          </cell>
          <cell r="C6023" t="str">
            <v>T. Da Costa Ferreira</v>
          </cell>
          <cell r="D6023" t="str">
            <v>T. Da Costa Ferreira</v>
          </cell>
          <cell r="E6023" t="str">
            <v>BR_CNPJ</v>
          </cell>
          <cell r="F6023" t="str">
            <v>13.346.993/0001-08</v>
          </cell>
          <cell r="G6023" t="str">
            <v>ARMAZEM UNIAO</v>
          </cell>
        </row>
        <row r="6024">
          <cell r="A6024">
            <v>46155</v>
          </cell>
          <cell r="B6024" t="str">
            <v>CORPORATION</v>
          </cell>
          <cell r="C6024" t="str">
            <v>Wrubber Comercio De Borrachas E Plasticos Ltda</v>
          </cell>
          <cell r="D6024" t="str">
            <v>Wrubber</v>
          </cell>
          <cell r="E6024" t="str">
            <v>BR_CNPJ</v>
          </cell>
          <cell r="F6024" t="str">
            <v>16.932.845/0001-55</v>
          </cell>
        </row>
        <row r="6025">
          <cell r="A6025">
            <v>46173</v>
          </cell>
          <cell r="B6025" t="str">
            <v>CORPORATION</v>
          </cell>
          <cell r="C6025" t="str">
            <v>Moraes Comercio De Produtos Veterinarios Ltda</v>
          </cell>
          <cell r="D6025" t="str">
            <v>Lajedo Agricola</v>
          </cell>
          <cell r="E6025" t="str">
            <v>BR_CNPJ</v>
          </cell>
          <cell r="F6025" t="str">
            <v>00.787.595/0001-77</v>
          </cell>
        </row>
        <row r="6026">
          <cell r="A6026">
            <v>46215</v>
          </cell>
          <cell r="B6026" t="str">
            <v>CORPORATION</v>
          </cell>
          <cell r="C6026" t="str">
            <v>Felipe De Castro Pasquotto 38567743869</v>
          </cell>
          <cell r="D6026" t="str">
            <v>Ref Store</v>
          </cell>
          <cell r="E6026" t="str">
            <v>BR_CNPJ</v>
          </cell>
          <cell r="F6026" t="str">
            <v>32.077.409/0001-00</v>
          </cell>
        </row>
        <row r="6027">
          <cell r="A6027">
            <v>46225</v>
          </cell>
          <cell r="B6027" t="str">
            <v>CORPORATION</v>
          </cell>
          <cell r="C6027" t="str">
            <v>Soparafuso Comercial Ltda</v>
          </cell>
          <cell r="D6027" t="str">
            <v>Soparafuso</v>
          </cell>
          <cell r="E6027" t="str">
            <v>BR_CNPJ</v>
          </cell>
          <cell r="F6027" t="str">
            <v>14.173.942/0001-86</v>
          </cell>
        </row>
        <row r="6028">
          <cell r="A6028">
            <v>46239</v>
          </cell>
          <cell r="B6028" t="str">
            <v>CORPORATION</v>
          </cell>
          <cell r="C6028" t="str">
            <v>Cooperativa Dos Plantadores De Cana Do Estado Sao Paulo</v>
          </cell>
          <cell r="D6028" t="str">
            <v>Coplacana (Santa Cruz)</v>
          </cell>
          <cell r="E6028" t="str">
            <v>BR_CNPJ</v>
          </cell>
          <cell r="F6028" t="str">
            <v>54.366.547/0024-20</v>
          </cell>
          <cell r="G6028" t="str">
            <v>COPLACANA</v>
          </cell>
        </row>
        <row r="6029">
          <cell r="A6029">
            <v>46242</v>
          </cell>
          <cell r="B6029" t="str">
            <v>CORPORATION</v>
          </cell>
          <cell r="C6029" t="str">
            <v>Morgana Rodrigues</v>
          </cell>
          <cell r="D6029" t="str">
            <v>Morgana Shop</v>
          </cell>
          <cell r="E6029" t="str">
            <v>BR_CNPJ</v>
          </cell>
          <cell r="F6029" t="str">
            <v>24.054.067/0001-77</v>
          </cell>
        </row>
        <row r="6030">
          <cell r="A6030">
            <v>46246</v>
          </cell>
          <cell r="B6030" t="str">
            <v>CORPORATION</v>
          </cell>
          <cell r="C6030" t="str">
            <v>Fv Rio Soldas Comercio E Manutencao De Maquinas E Equipamentos Eireli</v>
          </cell>
          <cell r="D6030" t="str">
            <v>Imperador Das Soldas</v>
          </cell>
          <cell r="E6030" t="str">
            <v>BR_CNPJ</v>
          </cell>
          <cell r="F6030" t="str">
            <v>33.896.187/0001-02</v>
          </cell>
        </row>
        <row r="6031">
          <cell r="A6031">
            <v>46251</v>
          </cell>
          <cell r="B6031" t="str">
            <v>CORPORATION</v>
          </cell>
          <cell r="C6031" t="str">
            <v>Lixafer Fornecedora Industrial Maquinas Ferramentas Exportacoes Ltda</v>
          </cell>
          <cell r="D6031" t="str">
            <v>Lixafer Fornecedora Industrial Maquinas Ferramentas Exportacoes Ltda</v>
          </cell>
          <cell r="E6031" t="str">
            <v>BR_CNPJ</v>
          </cell>
          <cell r="F6031" t="str">
            <v>49.811.078/0001-85</v>
          </cell>
        </row>
        <row r="6032">
          <cell r="A6032">
            <v>46265</v>
          </cell>
          <cell r="B6032" t="str">
            <v>CORPORATION</v>
          </cell>
          <cell r="C6032" t="str">
            <v>Constrular De Itatiaia Materiais De Construcao Ltda</v>
          </cell>
          <cell r="D6032" t="str">
            <v>Constrular</v>
          </cell>
          <cell r="E6032" t="str">
            <v>BR_CNPJ</v>
          </cell>
          <cell r="F6032" t="str">
            <v>10.414.500/0001-23</v>
          </cell>
        </row>
        <row r="6033">
          <cell r="A6033">
            <v>46268</v>
          </cell>
          <cell r="B6033" t="str">
            <v>CORPORATION</v>
          </cell>
          <cell r="C6033" t="str">
            <v>Comercio De Ferragens Andrade Ltda</v>
          </cell>
          <cell r="D6033" t="str">
            <v>Ferragista Andrade</v>
          </cell>
          <cell r="E6033" t="str">
            <v>BR_CNPJ</v>
          </cell>
          <cell r="F6033" t="str">
            <v>38.090.344/0001-01</v>
          </cell>
        </row>
        <row r="6034">
          <cell r="A6034">
            <v>46273</v>
          </cell>
          <cell r="B6034" t="str">
            <v>CORPORATION</v>
          </cell>
          <cell r="C6034" t="str">
            <v>J. R. A. N. Suprimentos Ltda</v>
          </cell>
          <cell r="D6034" t="str">
            <v>J G Suprimentos</v>
          </cell>
          <cell r="E6034" t="str">
            <v>BR_CNPJ</v>
          </cell>
          <cell r="F6034" t="str">
            <v>24.005.775/0001-18</v>
          </cell>
        </row>
        <row r="6035">
          <cell r="A6035">
            <v>46275</v>
          </cell>
          <cell r="B6035" t="str">
            <v>CORPORATION</v>
          </cell>
          <cell r="C6035" t="str">
            <v>Palma Comercio De Maquinas E Motores Ltda</v>
          </cell>
          <cell r="D6035" t="str">
            <v>Comam Maquinas E Motores</v>
          </cell>
          <cell r="E6035" t="str">
            <v>BR_CNPJ</v>
          </cell>
          <cell r="F6035" t="str">
            <v>24.552.855/0001-93</v>
          </cell>
        </row>
        <row r="6036">
          <cell r="A6036">
            <v>46283</v>
          </cell>
          <cell r="B6036" t="str">
            <v>CORPORATION</v>
          </cell>
          <cell r="C6036" t="str">
            <v>R. B. Coimbra Eireli</v>
          </cell>
          <cell r="D6036" t="str">
            <v>R. B. Coimbra-_x001F_ Am</v>
          </cell>
          <cell r="E6036" t="str">
            <v>BR_CNPJ</v>
          </cell>
          <cell r="F6036" t="str">
            <v>36.684.483/0001-38</v>
          </cell>
          <cell r="G6036" t="str">
            <v>R. B. COIMBRA</v>
          </cell>
        </row>
        <row r="6037">
          <cell r="A6037">
            <v>46286</v>
          </cell>
          <cell r="B6037" t="str">
            <v>CORPORATION</v>
          </cell>
          <cell r="C6037" t="str">
            <v>Amazon Compressores Comercio E Servicos De Equipamentos Ltda.</v>
          </cell>
          <cell r="D6037" t="str">
            <v>Amazon Compressores</v>
          </cell>
          <cell r="E6037" t="str">
            <v>BR_CNPJ</v>
          </cell>
          <cell r="F6037" t="str">
            <v>08.303.434/0001-72</v>
          </cell>
          <cell r="G6037" t="str">
            <v>AMAZON COMPRESSORES</v>
          </cell>
        </row>
        <row r="6038">
          <cell r="A6038">
            <v>46290</v>
          </cell>
          <cell r="B6038" t="str">
            <v>CORPORATION</v>
          </cell>
          <cell r="C6038" t="str">
            <v>Discher Maquinas E Ferramentas Eireli</v>
          </cell>
          <cell r="D6038" t="str">
            <v>Discher Maquinas</v>
          </cell>
          <cell r="E6038" t="str">
            <v>BR_CNPJ</v>
          </cell>
          <cell r="F6038" t="str">
            <v>21.164.087/0001-02</v>
          </cell>
        </row>
        <row r="6039">
          <cell r="A6039">
            <v>46296</v>
          </cell>
          <cell r="B6039" t="str">
            <v>CORPORATION</v>
          </cell>
          <cell r="C6039" t="str">
            <v>Wanberto Braga Paes Barreto 06284981449</v>
          </cell>
          <cell r="D6039" t="str">
            <v>Wb - Global Eletronicos,Maquinas E Ferramentas</v>
          </cell>
          <cell r="E6039" t="str">
            <v>BR_CNPJ</v>
          </cell>
          <cell r="F6039" t="str">
            <v>31.711.323/0001-17</v>
          </cell>
        </row>
        <row r="6040">
          <cell r="A6040">
            <v>46300</v>
          </cell>
          <cell r="B6040" t="str">
            <v>CORPORATION</v>
          </cell>
          <cell r="C6040" t="str">
            <v>Osmar Sperandio &amp; Cia Ltda</v>
          </cell>
          <cell r="D6040" t="str">
            <v>Deposito Parana</v>
          </cell>
          <cell r="E6040" t="str">
            <v>BR_CNPJ</v>
          </cell>
          <cell r="F6040" t="str">
            <v>13.644.656/0001-99</v>
          </cell>
        </row>
        <row r="6041">
          <cell r="A6041">
            <v>46303</v>
          </cell>
          <cell r="B6041" t="str">
            <v>CORPORATION</v>
          </cell>
          <cell r="C6041" t="str">
            <v>Brico Center Comercio E Construcoes Ltda</v>
          </cell>
          <cell r="D6041" t="str">
            <v>Brico</v>
          </cell>
          <cell r="E6041" t="str">
            <v>BR_CNPJ</v>
          </cell>
          <cell r="F6041" t="str">
            <v>22.882.486/0001-71</v>
          </cell>
        </row>
        <row r="6042">
          <cell r="A6042">
            <v>46305</v>
          </cell>
          <cell r="B6042" t="str">
            <v>CORPORATION</v>
          </cell>
          <cell r="C6042" t="str">
            <v>Perola Comercio De Tintas Ltda</v>
          </cell>
          <cell r="D6042" t="str">
            <v>Perola Comercio De Tintas Ltda</v>
          </cell>
          <cell r="E6042" t="str">
            <v>BR_CNPJ</v>
          </cell>
          <cell r="F6042" t="str">
            <v>08.782.388/0001-31</v>
          </cell>
        </row>
        <row r="6043">
          <cell r="A6043">
            <v>46313</v>
          </cell>
          <cell r="B6043" t="str">
            <v>CORPORATION</v>
          </cell>
          <cell r="C6043" t="str">
            <v>Nivaldo Ferreira Lima</v>
          </cell>
          <cell r="D6043" t="str">
            <v>Loc Service</v>
          </cell>
          <cell r="E6043" t="str">
            <v>BR_CNPJ</v>
          </cell>
          <cell r="F6043" t="str">
            <v>09.570.998/0001-34</v>
          </cell>
        </row>
        <row r="6044">
          <cell r="A6044">
            <v>46318</v>
          </cell>
          <cell r="B6044" t="str">
            <v>CORPORATION</v>
          </cell>
          <cell r="C6044" t="str">
            <v>Msc Air Comercial Ltda</v>
          </cell>
          <cell r="D6044" t="str">
            <v>Eletrolub -Eletrica Industrial E Lubrif.Especiais</v>
          </cell>
          <cell r="E6044" t="str">
            <v>BR_CNPJ</v>
          </cell>
          <cell r="F6044" t="str">
            <v>02.771.380/0001-93</v>
          </cell>
        </row>
        <row r="6045">
          <cell r="A6045">
            <v>46320</v>
          </cell>
          <cell r="B6045" t="str">
            <v>CORPORATION</v>
          </cell>
          <cell r="C6045" t="str">
            <v>Ana P. De Carvalho Estrutura Metalica</v>
          </cell>
          <cell r="D6045" t="str">
            <v>Ls Montagens</v>
          </cell>
          <cell r="E6045" t="str">
            <v>BR_CNPJ</v>
          </cell>
          <cell r="F6045" t="str">
            <v>21.169.376/0001-02</v>
          </cell>
        </row>
        <row r="6046">
          <cell r="A6046">
            <v>46335</v>
          </cell>
          <cell r="B6046" t="str">
            <v>CORPORATION</v>
          </cell>
          <cell r="C6046" t="str">
            <v>Es Comercio De Maquinas E Ferramentas Ltda</v>
          </cell>
          <cell r="D6046" t="str">
            <v>Es Comercio De Maquinas E Ferramentas Ltda</v>
          </cell>
          <cell r="E6046" t="str">
            <v>BR_CNPJ</v>
          </cell>
          <cell r="F6046" t="str">
            <v>18.972.499/0001-64</v>
          </cell>
        </row>
        <row r="6047">
          <cell r="A6047">
            <v>46338</v>
          </cell>
          <cell r="B6047" t="str">
            <v>CORPORATION</v>
          </cell>
          <cell r="C6047" t="str">
            <v>Wesley Cosme Silva Santos 36227890855</v>
          </cell>
          <cell r="D6047" t="str">
            <v>Wesley Cosme Silva Santos 36227890855</v>
          </cell>
          <cell r="E6047" t="str">
            <v>BR_CNPJ</v>
          </cell>
          <cell r="F6047" t="str">
            <v>46.578.363/0001-00</v>
          </cell>
        </row>
        <row r="6048">
          <cell r="A6048">
            <v>46342</v>
          </cell>
          <cell r="B6048" t="str">
            <v>CORPORATION</v>
          </cell>
          <cell r="C6048" t="str">
            <v>Parati Lubrificantes E Ferramentas Ltda</v>
          </cell>
          <cell r="D6048" t="str">
            <v>Parati Ferragens</v>
          </cell>
          <cell r="E6048" t="str">
            <v>BR_CNPJ</v>
          </cell>
          <cell r="F6048" t="str">
            <v>00.109.683/0001-10</v>
          </cell>
        </row>
        <row r="6049">
          <cell r="A6049">
            <v>46343</v>
          </cell>
          <cell r="B6049" t="str">
            <v>CORPORATION</v>
          </cell>
          <cell r="C6049" t="str">
            <v>Francisco Soares Pitangueiras</v>
          </cell>
          <cell r="D6049" t="str">
            <v>Comercio De Materiais P/ Construcao Sao Francisco</v>
          </cell>
          <cell r="E6049" t="str">
            <v>BR_CNPJ</v>
          </cell>
          <cell r="F6049" t="str">
            <v>04.201.206/0001-30</v>
          </cell>
        </row>
        <row r="6050">
          <cell r="A6050">
            <v>46345</v>
          </cell>
          <cell r="B6050" t="str">
            <v>CORPORATION</v>
          </cell>
          <cell r="C6050" t="str">
            <v>L A Da Silva Carneiro &amp; Cia Ltda</v>
          </cell>
          <cell r="D6050" t="str">
            <v>Goias Parafusos</v>
          </cell>
          <cell r="E6050" t="str">
            <v>BR_CNPJ</v>
          </cell>
          <cell r="F6050" t="str">
            <v>16.525.188/0001-21</v>
          </cell>
        </row>
        <row r="6051">
          <cell r="A6051">
            <v>46347</v>
          </cell>
          <cell r="B6051" t="str">
            <v>CORPORATION</v>
          </cell>
          <cell r="C6051" t="str">
            <v>Terramar Motores E Pecas Implementos Agricolas Ltda</v>
          </cell>
          <cell r="D6051" t="str">
            <v>Terramar Motores E Pecas Implementos Agricolas</v>
          </cell>
          <cell r="E6051" t="str">
            <v>BR_CNPJ</v>
          </cell>
          <cell r="F6051" t="str">
            <v>30.897.383/0001-03</v>
          </cell>
          <cell r="G6051" t="str">
            <v>TERRAMAR</v>
          </cell>
        </row>
        <row r="6052">
          <cell r="A6052">
            <v>46351</v>
          </cell>
          <cell r="B6052" t="str">
            <v>CORPORATION</v>
          </cell>
          <cell r="C6052" t="str">
            <v>Foxlight Eletrica E Distribuidora Ltda</v>
          </cell>
          <cell r="D6052" t="str">
            <v>Foxlight Eletrica E Distribuidora Ltda</v>
          </cell>
          <cell r="E6052" t="str">
            <v>BR_CNPJ</v>
          </cell>
          <cell r="F6052" t="str">
            <v>24.737.590/0001-06</v>
          </cell>
        </row>
        <row r="6053">
          <cell r="A6053">
            <v>46367</v>
          </cell>
          <cell r="B6053" t="str">
            <v>CORPORATION</v>
          </cell>
          <cell r="C6053" t="str">
            <v>Torres Construcao Industria E Comercio De Estruturas Metalicas Ltda</v>
          </cell>
          <cell r="D6053" t="str">
            <v>Psan Industria E Comercio De Estrutura Metalica</v>
          </cell>
          <cell r="E6053" t="str">
            <v>BR_CNPJ</v>
          </cell>
          <cell r="F6053" t="str">
            <v>37.899.851/0001-28</v>
          </cell>
          <cell r="G6053" t="str">
            <v>TORRES SANTANA</v>
          </cell>
        </row>
        <row r="6054">
          <cell r="A6054">
            <v>46377</v>
          </cell>
          <cell r="B6054" t="str">
            <v>CORPORATION</v>
          </cell>
          <cell r="C6054" t="str">
            <v>Gustavo De Toledo Braatz</v>
          </cell>
          <cell r="D6054" t="str">
            <v>Casa Dos Parafusos</v>
          </cell>
          <cell r="E6054" t="str">
            <v>BR_CNPJ</v>
          </cell>
          <cell r="F6054" t="str">
            <v>15.082.197/0001-22</v>
          </cell>
        </row>
        <row r="6055">
          <cell r="A6055">
            <v>46379</v>
          </cell>
          <cell r="B6055" t="str">
            <v>CORPORATION</v>
          </cell>
          <cell r="C6055" t="str">
            <v>Agronil Agronegocios Do Nordeste Ltda</v>
          </cell>
          <cell r="D6055" t="str">
            <v>Agronil</v>
          </cell>
          <cell r="E6055" t="str">
            <v>BR_CNPJ</v>
          </cell>
          <cell r="F6055" t="str">
            <v>06.198.068/0001-03</v>
          </cell>
          <cell r="G6055" t="str">
            <v>AGRONIL</v>
          </cell>
        </row>
        <row r="6056">
          <cell r="A6056">
            <v>46381</v>
          </cell>
          <cell r="B6056" t="str">
            <v>CORPORATION</v>
          </cell>
          <cell r="C6056" t="str">
            <v>Ferragens Costa Mandirituba Ltda</v>
          </cell>
          <cell r="D6056" t="str">
            <v>Ferragens Costa Mandirituba Ltda</v>
          </cell>
          <cell r="E6056" t="str">
            <v>BR_CNPJ</v>
          </cell>
          <cell r="F6056" t="str">
            <v>20.610.999/0001-06</v>
          </cell>
        </row>
        <row r="6057">
          <cell r="A6057">
            <v>46383</v>
          </cell>
          <cell r="B6057" t="str">
            <v>CORPORATION</v>
          </cell>
          <cell r="C6057" t="str">
            <v>Angel Ferramentas Ltda</v>
          </cell>
          <cell r="D6057" t="str">
            <v>Angel Ferramentas</v>
          </cell>
          <cell r="E6057" t="str">
            <v>BR_CNPJ</v>
          </cell>
          <cell r="F6057" t="str">
            <v>09.545.909/0001-08</v>
          </cell>
        </row>
        <row r="6058">
          <cell r="A6058">
            <v>46384</v>
          </cell>
          <cell r="B6058" t="str">
            <v>CORPORATION</v>
          </cell>
          <cell r="C6058" t="str">
            <v>46.465.339 Fabiana Micaela Soares</v>
          </cell>
          <cell r="D6058" t="str">
            <v>46.465.339 Fabiana Micaela Soares</v>
          </cell>
          <cell r="E6058" t="str">
            <v>BR_CNPJ</v>
          </cell>
          <cell r="F6058" t="str">
            <v>46.465.339/0001-64</v>
          </cell>
        </row>
        <row r="6059">
          <cell r="A6059">
            <v>46388</v>
          </cell>
          <cell r="B6059" t="str">
            <v>CORPORATION</v>
          </cell>
          <cell r="C6059" t="str">
            <v>Araujo Atacadista E Varegista Ltda</v>
          </cell>
          <cell r="D6059" t="str">
            <v>Ferragista Nacional</v>
          </cell>
          <cell r="E6059" t="str">
            <v>BR_CNPJ</v>
          </cell>
          <cell r="F6059" t="str">
            <v>28.398.854/0001-97</v>
          </cell>
        </row>
        <row r="6060">
          <cell r="A6060">
            <v>46391</v>
          </cell>
          <cell r="B6060" t="str">
            <v>CORPORATION</v>
          </cell>
          <cell r="C6060" t="str">
            <v>Dioney Almeida Da Silva &amp; Cia Ltda</v>
          </cell>
          <cell r="D6060" t="str">
            <v>Parafusos Bahia</v>
          </cell>
          <cell r="E6060" t="str">
            <v>BR_CNPJ</v>
          </cell>
          <cell r="F6060" t="str">
            <v>10.592.540/0001-65</v>
          </cell>
        </row>
        <row r="6061">
          <cell r="A6061">
            <v>46396</v>
          </cell>
          <cell r="B6061" t="str">
            <v>CORPORATION</v>
          </cell>
          <cell r="C6061" t="str">
            <v>Comercial Jose Dino De Material De Construcao Ltda</v>
          </cell>
          <cell r="D6061" t="str">
            <v>Comercial Jose Dino De Material De Construcao Ltda</v>
          </cell>
          <cell r="E6061" t="str">
            <v>BR_CNPJ</v>
          </cell>
          <cell r="F6061" t="str">
            <v>07.625.163/0002-90</v>
          </cell>
        </row>
        <row r="6062">
          <cell r="A6062">
            <v>46399</v>
          </cell>
          <cell r="B6062" t="str">
            <v>CORPORATION</v>
          </cell>
          <cell r="C6062" t="str">
            <v>Terraqua Comercio E Servicos De Equipamentos Agricolas Ltda</v>
          </cell>
          <cell r="D6062" t="str">
            <v>Terraqua</v>
          </cell>
          <cell r="E6062" t="str">
            <v>BR_CNPJ</v>
          </cell>
          <cell r="F6062" t="str">
            <v>12.340.333/0001-49</v>
          </cell>
        </row>
        <row r="6063">
          <cell r="A6063">
            <v>46402</v>
          </cell>
          <cell r="B6063" t="str">
            <v>CORPORATION</v>
          </cell>
          <cell r="C6063" t="str">
            <v>Jcs Comercial Soldas, Abrasivos E Epi S Eireli</v>
          </cell>
          <cell r="D6063" t="str">
            <v>Jcs Comercial Soldas, Abrasivos E Epi S Eireli</v>
          </cell>
          <cell r="E6063" t="str">
            <v>BR_CNPJ</v>
          </cell>
          <cell r="F6063" t="str">
            <v>33.967.136/0001-24</v>
          </cell>
        </row>
        <row r="6064">
          <cell r="A6064">
            <v>46405</v>
          </cell>
          <cell r="B6064" t="str">
            <v>CORPORATION</v>
          </cell>
          <cell r="C6064" t="str">
            <v>Comercial Senhor Do Bomfim Ltda</v>
          </cell>
          <cell r="D6064" t="str">
            <v>Senhor Do Bomfim Construcoes</v>
          </cell>
          <cell r="E6064" t="str">
            <v>BR_CNPJ</v>
          </cell>
          <cell r="F6064" t="str">
            <v>05.255.945/0001-78</v>
          </cell>
        </row>
        <row r="6065">
          <cell r="A6065">
            <v>46415</v>
          </cell>
          <cell r="B6065" t="str">
            <v>CORPORATION</v>
          </cell>
          <cell r="C6065" t="str">
            <v>Perin 4v Materiais De Construcao Ltda</v>
          </cell>
          <cell r="D6065" t="str">
            <v>Perin 4v Materiais De Construcao Ltda</v>
          </cell>
          <cell r="E6065" t="str">
            <v>BR_CNPJ</v>
          </cell>
          <cell r="F6065" t="str">
            <v>29.628.340/0001-43</v>
          </cell>
        </row>
        <row r="6066">
          <cell r="A6066">
            <v>46418</v>
          </cell>
          <cell r="B6066" t="str">
            <v>CORPORATION</v>
          </cell>
          <cell r="C6066" t="str">
            <v>Ferramentec Com.De Ferrag.Maq.Material De Construcao E Eletricos Ltda</v>
          </cell>
          <cell r="D6066" t="str">
            <v>Ferramentec Com.De Ferrag.Maq.Material De Construcao E Eletricos Ltda</v>
          </cell>
          <cell r="E6066" t="str">
            <v>BR_CNPJ</v>
          </cell>
          <cell r="F6066" t="str">
            <v>02.316.250/0001-60</v>
          </cell>
        </row>
        <row r="6067">
          <cell r="A6067">
            <v>46428</v>
          </cell>
          <cell r="B6067" t="str">
            <v>CORPORATION</v>
          </cell>
          <cell r="C6067" t="str">
            <v>Ferragista Siqueira Ltda</v>
          </cell>
          <cell r="D6067" t="str">
            <v>Ferragista Siqueira</v>
          </cell>
          <cell r="E6067" t="str">
            <v>BR_CNPJ</v>
          </cell>
          <cell r="F6067" t="str">
            <v>04.587.569/0001-56</v>
          </cell>
        </row>
        <row r="6068">
          <cell r="A6068">
            <v>46430</v>
          </cell>
          <cell r="B6068" t="str">
            <v>CORPORATION</v>
          </cell>
          <cell r="C6068" t="str">
            <v>Samyra M De Macedo Materiais De Construcoes Ltda</v>
          </cell>
          <cell r="D6068" t="str">
            <v>Sm Materiais De Construcao</v>
          </cell>
          <cell r="E6068" t="str">
            <v>BR_CNPJ</v>
          </cell>
          <cell r="F6068" t="str">
            <v>19.794.626/0001-45</v>
          </cell>
        </row>
        <row r="6069">
          <cell r="A6069">
            <v>46431</v>
          </cell>
          <cell r="B6069" t="str">
            <v>CORPORATION</v>
          </cell>
          <cell r="C6069" t="str">
            <v>Majufer Ferragens Ltda</v>
          </cell>
          <cell r="D6069" t="str">
            <v>Majufer</v>
          </cell>
          <cell r="E6069" t="str">
            <v>BR_CNPJ</v>
          </cell>
          <cell r="F6069" t="str">
            <v>35.611.377/0001-61</v>
          </cell>
        </row>
        <row r="6070">
          <cell r="A6070">
            <v>46432</v>
          </cell>
          <cell r="B6070" t="str">
            <v>CORPORATION</v>
          </cell>
          <cell r="C6070" t="str">
            <v>Impacto Comercio De Ferragens Eireli</v>
          </cell>
          <cell r="D6070" t="str">
            <v>Impacto Ferragens</v>
          </cell>
          <cell r="E6070" t="str">
            <v>BR_CNPJ</v>
          </cell>
          <cell r="F6070" t="str">
            <v>09.350.071/0001-99</v>
          </cell>
        </row>
        <row r="6071">
          <cell r="A6071">
            <v>46436</v>
          </cell>
          <cell r="B6071" t="str">
            <v>CORPORATION</v>
          </cell>
          <cell r="C6071" t="str">
            <v>Esqual Serralheira E Materiais Ltda</v>
          </cell>
          <cell r="D6071" t="str">
            <v>Esqual Serralheria</v>
          </cell>
          <cell r="E6071" t="str">
            <v>BR_CNPJ</v>
          </cell>
          <cell r="F6071" t="str">
            <v>31.453.939/0001-35</v>
          </cell>
        </row>
        <row r="6072">
          <cell r="A6072">
            <v>46443</v>
          </cell>
          <cell r="B6072" t="str">
            <v>CORPORATION</v>
          </cell>
          <cell r="C6072" t="str">
            <v>51.915.281 Gabrielly Martins Machado</v>
          </cell>
          <cell r="D6072" t="str">
            <v>Lm Maquinas E Ferramentas</v>
          </cell>
          <cell r="E6072" t="str">
            <v>BR_CNPJ</v>
          </cell>
          <cell r="F6072" t="str">
            <v>51.915.281/0001-43</v>
          </cell>
        </row>
        <row r="6073">
          <cell r="A6073">
            <v>46445</v>
          </cell>
          <cell r="B6073" t="str">
            <v>CORPORATION</v>
          </cell>
          <cell r="C6073" t="str">
            <v>Sentinela Do Vale Comercial Eireli</v>
          </cell>
          <cell r="D6073" t="str">
            <v>Sentinela Do Vale Comercial Eireli</v>
          </cell>
          <cell r="E6073" t="str">
            <v>BR_CNPJ</v>
          </cell>
          <cell r="F6073" t="str">
            <v>29.843.035/0001-74</v>
          </cell>
        </row>
        <row r="6074">
          <cell r="A6074">
            <v>46460</v>
          </cell>
          <cell r="B6074" t="str">
            <v>CORPORATION</v>
          </cell>
          <cell r="C6074" t="str">
            <v>Ideal Ferro E Aco Ltda</v>
          </cell>
          <cell r="D6074" t="str">
            <v>Ideal Ferro E Aco</v>
          </cell>
          <cell r="E6074" t="str">
            <v>BR_CNPJ</v>
          </cell>
          <cell r="F6074" t="str">
            <v>28.718.702/0001-24</v>
          </cell>
        </row>
        <row r="6075">
          <cell r="A6075">
            <v>46462</v>
          </cell>
          <cell r="B6075" t="str">
            <v>CORPORATION</v>
          </cell>
          <cell r="C6075" t="str">
            <v>Tec Solda Comercio De Pecas E Manutencao Ltda</v>
          </cell>
          <cell r="D6075" t="str">
            <v>Tech Solda</v>
          </cell>
          <cell r="E6075" t="str">
            <v>BR_CNPJ</v>
          </cell>
          <cell r="F6075" t="str">
            <v>13.701.885/0001-06</v>
          </cell>
        </row>
        <row r="6076">
          <cell r="A6076">
            <v>46464</v>
          </cell>
          <cell r="B6076" t="str">
            <v>CORPORATION</v>
          </cell>
          <cell r="C6076" t="str">
            <v>Mano Comercio De Parafusos E Ferramentas Ltda</v>
          </cell>
          <cell r="D6076" t="str">
            <v>Mano Parafusos E Ferramentas</v>
          </cell>
          <cell r="E6076" t="str">
            <v>BR_CNPJ</v>
          </cell>
          <cell r="F6076" t="str">
            <v>11.306.708/0001-91</v>
          </cell>
          <cell r="G6076" t="str">
            <v>MANO COMERCIO</v>
          </cell>
        </row>
        <row r="6077">
          <cell r="A6077">
            <v>46467</v>
          </cell>
          <cell r="B6077" t="str">
            <v>CORPORATION</v>
          </cell>
          <cell r="C6077" t="str">
            <v>Elizabeth Barbosa De Souza Silva</v>
          </cell>
          <cell r="D6077" t="str">
            <v>Whs Solucoes</v>
          </cell>
          <cell r="E6077" t="str">
            <v>BR_CNPJ</v>
          </cell>
          <cell r="F6077" t="str">
            <v>34.958.492/0001-44</v>
          </cell>
        </row>
        <row r="6078">
          <cell r="A6078">
            <v>46495</v>
          </cell>
          <cell r="B6078" t="str">
            <v>CORPORATION</v>
          </cell>
          <cell r="C6078" t="str">
            <v>Gurgelmix Maquinas E Ferramentas S.A.</v>
          </cell>
          <cell r="D6078" t="str">
            <v>Loja Do Mecanico (Belo Horizonte)</v>
          </cell>
          <cell r="E6078" t="str">
            <v>BR_CNPJ</v>
          </cell>
          <cell r="F6078" t="str">
            <v>29.302.348/0009-72</v>
          </cell>
          <cell r="G6078" t="str">
            <v>GURGEL</v>
          </cell>
        </row>
        <row r="6079">
          <cell r="A6079">
            <v>46496</v>
          </cell>
          <cell r="B6079" t="str">
            <v>CORPORATION</v>
          </cell>
          <cell r="C6079" t="str">
            <v>J E De Oliveira Nunes</v>
          </cell>
          <cell r="D6079" t="str">
            <v>J E De Oliveira Nunes</v>
          </cell>
          <cell r="E6079" t="str">
            <v>BR_CNPJ</v>
          </cell>
          <cell r="F6079" t="str">
            <v>34.021.640/0001-08</v>
          </cell>
          <cell r="G6079" t="str">
            <v>EMMI COMERCIO</v>
          </cell>
        </row>
        <row r="6080">
          <cell r="A6080">
            <v>46501</v>
          </cell>
          <cell r="B6080" t="str">
            <v>CORPORATION</v>
          </cell>
          <cell r="C6080" t="str">
            <v>Gurgelmix Maquinas E Ferramentas S.A.</v>
          </cell>
          <cell r="D6080" t="str">
            <v>Loja Do Mecanico (Franca Jd. Francano)</v>
          </cell>
          <cell r="E6080" t="str">
            <v>BR_CNPJ</v>
          </cell>
          <cell r="F6080" t="str">
            <v>29.302.348/0013-59</v>
          </cell>
          <cell r="G6080" t="str">
            <v>GURGEL</v>
          </cell>
        </row>
        <row r="6081">
          <cell r="A6081">
            <v>46502</v>
          </cell>
          <cell r="B6081" t="str">
            <v>CORPORATION</v>
          </cell>
          <cell r="C6081" t="str">
            <v>Agropecuaria 1 De Abril Ltda</v>
          </cell>
          <cell r="D6081" t="str">
            <v>1 De Abril</v>
          </cell>
          <cell r="E6081" t="str">
            <v>BR_CNPJ</v>
          </cell>
          <cell r="F6081" t="str">
            <v>59.426.228/0001-90</v>
          </cell>
        </row>
        <row r="6082">
          <cell r="A6082">
            <v>46503</v>
          </cell>
          <cell r="B6082" t="str">
            <v>CORPORATION</v>
          </cell>
          <cell r="C6082" t="str">
            <v>Comercial Marivitor Ltda</v>
          </cell>
          <cell r="D6082" t="str">
            <v>Comercial Marivitor</v>
          </cell>
          <cell r="E6082" t="str">
            <v>BR_CNPJ</v>
          </cell>
          <cell r="F6082" t="str">
            <v>07.590.559/0001-68</v>
          </cell>
        </row>
        <row r="6083">
          <cell r="A6083">
            <v>46504</v>
          </cell>
          <cell r="B6083" t="str">
            <v>CORPORATION</v>
          </cell>
          <cell r="C6083" t="str">
            <v>Gurgelmix Maquinas E Ferramentas S.A.</v>
          </cell>
          <cell r="D6083" t="str">
            <v>Loja Do Mecanico (Limeira)</v>
          </cell>
          <cell r="E6083" t="str">
            <v>BR_CNPJ</v>
          </cell>
          <cell r="F6083" t="str">
            <v>29.302.348/0011-97</v>
          </cell>
          <cell r="G6083" t="str">
            <v>GURGEL</v>
          </cell>
        </row>
        <row r="6084">
          <cell r="A6084">
            <v>46508</v>
          </cell>
          <cell r="B6084" t="str">
            <v>CORPORATION</v>
          </cell>
          <cell r="C6084" t="str">
            <v>Ferramentech Ferramentas E Equipamentos Eireli</v>
          </cell>
          <cell r="D6084" t="str">
            <v>Ferramentech</v>
          </cell>
          <cell r="E6084" t="str">
            <v>BR_CNPJ</v>
          </cell>
          <cell r="F6084" t="str">
            <v>19.544.638/0001-11</v>
          </cell>
        </row>
        <row r="6085">
          <cell r="A6085">
            <v>46510</v>
          </cell>
          <cell r="B6085" t="str">
            <v>CORPORATION</v>
          </cell>
          <cell r="C6085" t="str">
            <v>Gurgelmix Maquinas E Ferramentas S.A.</v>
          </cell>
          <cell r="D6085" t="str">
            <v>Loja Do Mecanico (Jundiai)</v>
          </cell>
          <cell r="E6085" t="str">
            <v>BR_CNPJ</v>
          </cell>
          <cell r="F6085" t="str">
            <v>29.302.348/0008-91</v>
          </cell>
          <cell r="G6085" t="str">
            <v>GURGEL</v>
          </cell>
        </row>
        <row r="6086">
          <cell r="A6086">
            <v>46511</v>
          </cell>
          <cell r="B6086" t="str">
            <v>CORPORATION</v>
          </cell>
          <cell r="C6086" t="str">
            <v>Monfer Comercio De Ferragens Ltda</v>
          </cell>
          <cell r="D6086" t="str">
            <v>Monfer Comercio De Ferragens Ltda</v>
          </cell>
          <cell r="E6086" t="str">
            <v>BR_CNPJ</v>
          </cell>
          <cell r="F6086" t="str">
            <v>82.656.711/0001-83</v>
          </cell>
        </row>
        <row r="6087">
          <cell r="A6087">
            <v>46514</v>
          </cell>
          <cell r="B6087" t="str">
            <v>CORPORATION</v>
          </cell>
          <cell r="C6087" t="str">
            <v>Soberana Equipamentos De Seguranca Ltda</v>
          </cell>
          <cell r="D6087" t="str">
            <v>Soberana</v>
          </cell>
          <cell r="E6087" t="str">
            <v>BR_CNPJ</v>
          </cell>
          <cell r="F6087" t="str">
            <v>01.265.864/0001-06</v>
          </cell>
        </row>
        <row r="6088">
          <cell r="A6088">
            <v>46515</v>
          </cell>
          <cell r="B6088" t="str">
            <v>CORPORATION</v>
          </cell>
          <cell r="C6088" t="str">
            <v>Vlb Comercio Varejista De Ferragens Ltda</v>
          </cell>
          <cell r="D6088" t="str">
            <v>Vlb Ferragens</v>
          </cell>
          <cell r="E6088" t="str">
            <v>BR_CNPJ</v>
          </cell>
          <cell r="F6088" t="str">
            <v>56.953.324/0001-07</v>
          </cell>
          <cell r="G6088" t="str">
            <v>M.M.</v>
          </cell>
        </row>
        <row r="6089">
          <cell r="A6089">
            <v>46521</v>
          </cell>
          <cell r="B6089" t="str">
            <v>CORPORATION</v>
          </cell>
          <cell r="C6089" t="str">
            <v>G.R. De Oliveira Agro-Ferragista</v>
          </cell>
          <cell r="D6089" t="str">
            <v>Agro Ferragista Triunfo</v>
          </cell>
          <cell r="E6089" t="str">
            <v>BR_CNPJ</v>
          </cell>
          <cell r="F6089" t="str">
            <v>10.494.249/0001-54</v>
          </cell>
        </row>
        <row r="6090">
          <cell r="A6090">
            <v>46525</v>
          </cell>
          <cell r="B6090" t="str">
            <v>CORPORATION</v>
          </cell>
          <cell r="C6090" t="str">
            <v>Gurgelmix Maquinas E Ferramentas S.A.</v>
          </cell>
          <cell r="D6090" t="str">
            <v>Loja Do Mecanico (Praia Grande)</v>
          </cell>
          <cell r="E6090" t="str">
            <v>BR_CNPJ</v>
          </cell>
          <cell r="F6090" t="str">
            <v>29.302.348/0015-10</v>
          </cell>
          <cell r="G6090" t="str">
            <v>GURGEL</v>
          </cell>
        </row>
        <row r="6091">
          <cell r="A6091">
            <v>46528</v>
          </cell>
          <cell r="B6091" t="str">
            <v>CORPORATION</v>
          </cell>
          <cell r="C6091" t="str">
            <v>Gurgelmix Maquinas E Ferramentas S.A.</v>
          </cell>
          <cell r="D6091" t="str">
            <v>Loja Do Mecanico (Ribeirão Preto Jd. América)</v>
          </cell>
          <cell r="E6091" t="str">
            <v>BR_CNPJ</v>
          </cell>
          <cell r="F6091" t="str">
            <v>29.302.348/0012-78</v>
          </cell>
          <cell r="G6091" t="str">
            <v>GURGEL</v>
          </cell>
        </row>
        <row r="6092">
          <cell r="A6092">
            <v>46530</v>
          </cell>
          <cell r="B6092" t="str">
            <v>CORPORATION</v>
          </cell>
          <cell r="C6092" t="str">
            <v>Ferol Ferramentas E Rolamentos Comercio E Importacao Ltda</v>
          </cell>
          <cell r="D6092" t="str">
            <v>Imcerol Solucoes Industriais</v>
          </cell>
          <cell r="E6092" t="str">
            <v>BR_CNPJ</v>
          </cell>
          <cell r="F6092" t="str">
            <v>33.763.091/0001-76</v>
          </cell>
        </row>
        <row r="6093">
          <cell r="A6093">
            <v>46540</v>
          </cell>
          <cell r="B6093" t="str">
            <v>CORPORATION</v>
          </cell>
          <cell r="C6093" t="str">
            <v>T D M Comercio E Acessorios De Calcados E Ferramentas Ltda</v>
          </cell>
          <cell r="D6093" t="str">
            <v>Protemaq</v>
          </cell>
          <cell r="E6093" t="str">
            <v>BR_CNPJ</v>
          </cell>
          <cell r="F6093" t="str">
            <v>24.795.159/0001-08</v>
          </cell>
        </row>
        <row r="6094">
          <cell r="A6094">
            <v>46548</v>
          </cell>
          <cell r="B6094" t="str">
            <v>CORPORATION</v>
          </cell>
          <cell r="C6094" t="str">
            <v>Ofemagri - Comercio De Pecas E Implementos Agricola Ltda</v>
          </cell>
          <cell r="D6094" t="str">
            <v>Tarfil</v>
          </cell>
          <cell r="E6094" t="str">
            <v>BR_CNPJ</v>
          </cell>
          <cell r="F6094" t="str">
            <v>04.813.967/0001-43</v>
          </cell>
        </row>
        <row r="6095">
          <cell r="A6095">
            <v>46551</v>
          </cell>
          <cell r="B6095" t="str">
            <v>CORPORATION</v>
          </cell>
          <cell r="C6095" t="str">
            <v>Ferragista Brasil Comercio De Ferro E Aco Ltda</v>
          </cell>
          <cell r="D6095" t="str">
            <v>Ferragista Brasil</v>
          </cell>
          <cell r="E6095" t="str">
            <v>BR_CNPJ</v>
          </cell>
          <cell r="F6095" t="str">
            <v>03.693.983/0001-87</v>
          </cell>
        </row>
        <row r="6096">
          <cell r="A6096">
            <v>46554</v>
          </cell>
          <cell r="B6096" t="str">
            <v>CORPORATION</v>
          </cell>
          <cell r="C6096" t="str">
            <v>Agromotores Irrigacao Maquinas E Servicos Ltda</v>
          </cell>
          <cell r="D6096" t="str">
            <v>Agromotores</v>
          </cell>
          <cell r="E6096" t="str">
            <v>BR_CNPJ</v>
          </cell>
          <cell r="F6096" t="str">
            <v>02.956.532/0001-22</v>
          </cell>
        </row>
        <row r="6097">
          <cell r="A6097">
            <v>46556</v>
          </cell>
          <cell r="B6097" t="str">
            <v>CORPORATION</v>
          </cell>
          <cell r="C6097" t="str">
            <v>G.O - Distribuidora De Ferramentas Ltda</v>
          </cell>
          <cell r="D6097" t="str">
            <v>Go - Ferramentas E Parafusos</v>
          </cell>
          <cell r="E6097" t="str">
            <v>BR_CNPJ</v>
          </cell>
          <cell r="F6097" t="str">
            <v>46.805.364/0001-40</v>
          </cell>
        </row>
        <row r="6098">
          <cell r="A6098">
            <v>46576</v>
          </cell>
          <cell r="B6098" t="str">
            <v>CORPORATION</v>
          </cell>
          <cell r="C6098" t="str">
            <v>Rui Soldas E Abrasivos Ltda</v>
          </cell>
          <cell r="D6098" t="str">
            <v>Rui Soldas E Abrasivos Ltda</v>
          </cell>
          <cell r="E6098" t="str">
            <v>BR_CNPJ</v>
          </cell>
          <cell r="F6098" t="str">
            <v>70.995.857/0001-74</v>
          </cell>
        </row>
        <row r="6099">
          <cell r="A6099">
            <v>46580</v>
          </cell>
          <cell r="B6099" t="str">
            <v>CORPORATION</v>
          </cell>
          <cell r="C6099" t="str">
            <v>Bom Corte Comercio E Afiacao De Ferramentas Ltda</v>
          </cell>
          <cell r="D6099" t="str">
            <v>Bom Corte Comercio E Afiacao</v>
          </cell>
          <cell r="E6099" t="str">
            <v>BR_CNPJ</v>
          </cell>
          <cell r="F6099" t="str">
            <v>01.468.083/0001-00</v>
          </cell>
        </row>
        <row r="6100">
          <cell r="A6100">
            <v>46582</v>
          </cell>
          <cell r="B6100" t="str">
            <v>CORPORATION</v>
          </cell>
          <cell r="C6100" t="str">
            <v>Classe Tools Comercio De Ferramentas Ltda</v>
          </cell>
          <cell r="D6100" t="str">
            <v>Classe Tools Comercio De Ferramentas Ltda</v>
          </cell>
          <cell r="E6100" t="str">
            <v>BR_CNPJ</v>
          </cell>
          <cell r="F6100" t="str">
            <v>08.519.827/0001-18</v>
          </cell>
        </row>
        <row r="6101">
          <cell r="A6101">
            <v>46591</v>
          </cell>
          <cell r="B6101" t="str">
            <v>CORPORATION</v>
          </cell>
          <cell r="C6101" t="str">
            <v>E. L. De Souza - Universal Ferragens</v>
          </cell>
          <cell r="D6101" t="str">
            <v>Universal Ferragens</v>
          </cell>
          <cell r="E6101" t="str">
            <v>BR_CNPJ</v>
          </cell>
          <cell r="F6101" t="str">
            <v>31.947.490/0001-61</v>
          </cell>
        </row>
        <row r="6102">
          <cell r="A6102">
            <v>46594</v>
          </cell>
          <cell r="B6102" t="str">
            <v>CORPORATION</v>
          </cell>
          <cell r="C6102" t="str">
            <v>Emporio Palotina Ltda</v>
          </cell>
          <cell r="D6102" t="str">
            <v>Emporio Palotina</v>
          </cell>
          <cell r="E6102" t="str">
            <v>BR_CNPJ</v>
          </cell>
          <cell r="F6102" t="str">
            <v>77.855.385/0005-27</v>
          </cell>
        </row>
        <row r="6103">
          <cell r="A6103">
            <v>46596</v>
          </cell>
          <cell r="B6103" t="str">
            <v>CORPORATION</v>
          </cell>
          <cell r="C6103" t="str">
            <v>Universo Dos Parafusos Ltda</v>
          </cell>
          <cell r="D6103" t="str">
            <v>Universo Dos Parafusos Ltda</v>
          </cell>
          <cell r="E6103" t="str">
            <v>BR_CNPJ</v>
          </cell>
          <cell r="F6103" t="str">
            <v>21.333.927/0001-13</v>
          </cell>
        </row>
        <row r="6104">
          <cell r="A6104">
            <v>46604</v>
          </cell>
          <cell r="B6104" t="str">
            <v>CORPORATION</v>
          </cell>
          <cell r="C6104" t="str">
            <v>Borleme Comercial Ltda</v>
          </cell>
          <cell r="D6104" t="str">
            <v>Borleme Comercial</v>
          </cell>
          <cell r="E6104" t="str">
            <v>BR_CNPJ</v>
          </cell>
          <cell r="F6104" t="str">
            <v>02.921.800/0001-70</v>
          </cell>
        </row>
        <row r="6105">
          <cell r="A6105">
            <v>46609</v>
          </cell>
          <cell r="B6105" t="str">
            <v>CORPORATION</v>
          </cell>
          <cell r="C6105" t="str">
            <v>Ferragista Pantanal Ltda</v>
          </cell>
          <cell r="D6105" t="str">
            <v>Ferragista Pantanal Ltda</v>
          </cell>
          <cell r="E6105" t="str">
            <v>BR_CNPJ</v>
          </cell>
          <cell r="F6105" t="str">
            <v>16.679.195/0001-88</v>
          </cell>
        </row>
        <row r="6106">
          <cell r="A6106">
            <v>46612</v>
          </cell>
          <cell r="B6106" t="str">
            <v>CORPORATION</v>
          </cell>
          <cell r="C6106" t="str">
            <v>Eletrica Ferragista Opcao Ltda</v>
          </cell>
          <cell r="D6106" t="str">
            <v>Ferragista Opcao</v>
          </cell>
          <cell r="E6106" t="str">
            <v>BR_CNPJ</v>
          </cell>
          <cell r="F6106" t="str">
            <v>32.821.046/0001-68</v>
          </cell>
          <cell r="G6106" t="str">
            <v>FERRAGISTA OPÇÃO</v>
          </cell>
        </row>
        <row r="6107">
          <cell r="A6107">
            <v>46617</v>
          </cell>
          <cell r="B6107" t="str">
            <v>CORPORATION</v>
          </cell>
          <cell r="C6107" t="str">
            <v>Trade Distribuicao De Agro Implementos E Ferramentas Eireli</v>
          </cell>
          <cell r="D6107" t="str">
            <v>Trade Distribuicao De Agro Implementos E Ferramentas Eireli</v>
          </cell>
          <cell r="E6107" t="str">
            <v>BR_CNPJ</v>
          </cell>
          <cell r="F6107" t="str">
            <v>32.293.824/0001-93</v>
          </cell>
        </row>
        <row r="6108">
          <cell r="A6108">
            <v>46642</v>
          </cell>
          <cell r="B6108" t="str">
            <v>CORPORATION</v>
          </cell>
          <cell r="C6108" t="str">
            <v>T. F. Pereira Ferragens</v>
          </cell>
          <cell r="D6108" t="str">
            <v>Fert Solda</v>
          </cell>
          <cell r="E6108" t="str">
            <v>BR_CNPJ</v>
          </cell>
          <cell r="F6108" t="str">
            <v>07.894.172/0001-03</v>
          </cell>
        </row>
        <row r="6109">
          <cell r="A6109">
            <v>46643</v>
          </cell>
          <cell r="B6109" t="str">
            <v>CORPORATION</v>
          </cell>
          <cell r="C6109" t="str">
            <v>Comercial Aco Fortaleza Ltda</v>
          </cell>
          <cell r="D6109" t="str">
            <v>Aco Fortaleza</v>
          </cell>
          <cell r="E6109" t="str">
            <v>BR_CNPJ</v>
          </cell>
          <cell r="F6109" t="str">
            <v>13.536.760/0001-60</v>
          </cell>
        </row>
        <row r="6110">
          <cell r="A6110">
            <v>46646</v>
          </cell>
          <cell r="B6110" t="str">
            <v>CORPORATION</v>
          </cell>
          <cell r="C6110" t="str">
            <v>Alessandro Aparecido Costa</v>
          </cell>
          <cell r="D6110" t="str">
            <v>Casa Pioneira</v>
          </cell>
          <cell r="E6110" t="str">
            <v>BR_CNPJ</v>
          </cell>
          <cell r="F6110" t="str">
            <v>23.254.967/0001-03</v>
          </cell>
        </row>
        <row r="6111">
          <cell r="A6111">
            <v>46648</v>
          </cell>
          <cell r="B6111" t="str">
            <v>CORPORATION</v>
          </cell>
          <cell r="C6111" t="str">
            <v>Big Maq Soldas Ltda</v>
          </cell>
          <cell r="D6111" t="str">
            <v>Big Maq Soldas Ltda</v>
          </cell>
          <cell r="E6111" t="str">
            <v>BR_CNPJ</v>
          </cell>
          <cell r="F6111" t="str">
            <v>47.889.427/0001-56</v>
          </cell>
        </row>
        <row r="6112">
          <cell r="A6112">
            <v>46649</v>
          </cell>
          <cell r="B6112" t="str">
            <v>CORPORATION</v>
          </cell>
          <cell r="C6112" t="str">
            <v>Mkar Comercio De Tintas E Ferramentas Eireli</v>
          </cell>
          <cell r="D6112" t="str">
            <v>Arte Color</v>
          </cell>
          <cell r="E6112" t="str">
            <v>BR_CNPJ</v>
          </cell>
          <cell r="F6112" t="str">
            <v>00.600.145/0001-23</v>
          </cell>
        </row>
        <row r="6113">
          <cell r="A6113">
            <v>46652</v>
          </cell>
          <cell r="B6113" t="str">
            <v>CORPORATION</v>
          </cell>
          <cell r="C6113" t="str">
            <v>Global Perfil Producao E Servicos Eireli</v>
          </cell>
          <cell r="D6113" t="str">
            <v>Global Perfil</v>
          </cell>
          <cell r="E6113" t="str">
            <v>BR_CNPJ</v>
          </cell>
          <cell r="F6113" t="str">
            <v>35.177.132/0001-78</v>
          </cell>
        </row>
        <row r="6114">
          <cell r="A6114">
            <v>46656</v>
          </cell>
          <cell r="B6114" t="str">
            <v>CORPORATION</v>
          </cell>
          <cell r="C6114" t="str">
            <v>Eletro Tecnica Chavenco Ltda</v>
          </cell>
          <cell r="D6114" t="str">
            <v>Eletro Tecnica Chavenco</v>
          </cell>
          <cell r="E6114" t="str">
            <v>BR_CNPJ</v>
          </cell>
          <cell r="F6114" t="str">
            <v>03.794.026/0001-47</v>
          </cell>
          <cell r="G6114" t="str">
            <v>CHAVENCO</v>
          </cell>
        </row>
        <row r="6115">
          <cell r="A6115">
            <v>46695</v>
          </cell>
          <cell r="B6115" t="str">
            <v>CORPORATION</v>
          </cell>
          <cell r="C6115" t="str">
            <v>Damiao, Lizotti &amp; Cia Ltda</v>
          </cell>
          <cell r="D6115" t="str">
            <v>Damizotti Comercial</v>
          </cell>
          <cell r="E6115" t="str">
            <v>BR_CNPJ</v>
          </cell>
          <cell r="F6115" t="str">
            <v>32.302.947/0001-43</v>
          </cell>
        </row>
        <row r="6116">
          <cell r="A6116">
            <v>46699</v>
          </cell>
          <cell r="B6116" t="str">
            <v>CORPORATION</v>
          </cell>
          <cell r="C6116" t="str">
            <v>L B Locacao E Suprimentos De Solda E Corte Ltda</v>
          </cell>
          <cell r="D6116" t="str">
            <v>L B Soldas</v>
          </cell>
          <cell r="E6116" t="str">
            <v>BR_CNPJ</v>
          </cell>
          <cell r="F6116" t="str">
            <v>21.903.086/0001-32</v>
          </cell>
        </row>
        <row r="6117">
          <cell r="A6117">
            <v>46711</v>
          </cell>
          <cell r="B6117" t="str">
            <v>CORPORATION</v>
          </cell>
          <cell r="C6117" t="str">
            <v>Aguiar Maquinas Ltda</v>
          </cell>
          <cell r="D6117" t="str">
            <v>Aguiar Maquinas</v>
          </cell>
          <cell r="E6117" t="str">
            <v>BR_CNPJ</v>
          </cell>
          <cell r="F6117" t="str">
            <v>02.961.458/0001-32</v>
          </cell>
          <cell r="G6117" t="str">
            <v>LEO MAQUINAS</v>
          </cell>
        </row>
        <row r="6118">
          <cell r="A6118">
            <v>46715</v>
          </cell>
          <cell r="B6118" t="str">
            <v>CORPORATION</v>
          </cell>
          <cell r="C6118" t="str">
            <v>Material De Construcao Brasil Leste Ltda</v>
          </cell>
          <cell r="D6118" t="str">
            <v>Ferragens Brasil Leste</v>
          </cell>
          <cell r="E6118" t="str">
            <v>BR_CNPJ</v>
          </cell>
          <cell r="F6118" t="str">
            <v>32.099.075/0001-68</v>
          </cell>
        </row>
        <row r="6119">
          <cell r="A6119">
            <v>46717</v>
          </cell>
          <cell r="B6119" t="str">
            <v>CORPORATION</v>
          </cell>
          <cell r="C6119" t="str">
            <v>Mabi Manutencao De Maquinas E Equipamentos Ltda</v>
          </cell>
          <cell r="D6119" t="str">
            <v>Campomaq Maquinas E Equipamentos</v>
          </cell>
          <cell r="E6119" t="str">
            <v>BR_CNPJ</v>
          </cell>
          <cell r="F6119" t="str">
            <v>17.894.499/0001-20</v>
          </cell>
        </row>
        <row r="6120">
          <cell r="A6120">
            <v>46721</v>
          </cell>
          <cell r="B6120" t="str">
            <v>CORPORATION</v>
          </cell>
          <cell r="C6120" t="str">
            <v>Mdc Distribuidora De Material De Construcao Ltda</v>
          </cell>
          <cell r="D6120" t="str">
            <v>Mdc Distribuidora (Ferreira Costa)</v>
          </cell>
          <cell r="E6120" t="str">
            <v>BR_CNPJ</v>
          </cell>
          <cell r="F6120" t="str">
            <v>34.380.141/0001-07</v>
          </cell>
          <cell r="G6120" t="str">
            <v>FERREIRA COSTA</v>
          </cell>
        </row>
        <row r="6121">
          <cell r="A6121">
            <v>46722</v>
          </cell>
          <cell r="B6121" t="str">
            <v>CORPORATION</v>
          </cell>
          <cell r="C6121" t="str">
            <v>Alb Incorporadora E Administradora De Bens Proprios Eireli</v>
          </cell>
          <cell r="D6121" t="str">
            <v>Alb Incorporadora E Administradora De Bens Proprios Eireli</v>
          </cell>
          <cell r="E6121" t="str">
            <v>BR_CNPJ</v>
          </cell>
          <cell r="F6121" t="str">
            <v>21.169.348/0004-20</v>
          </cell>
        </row>
        <row r="6122">
          <cell r="A6122">
            <v>46723</v>
          </cell>
          <cell r="B6122" t="str">
            <v>CORPORATION</v>
          </cell>
          <cell r="C6122" t="str">
            <v>Crs Comercio De Equipamentos De Protecao Individual Ltda</v>
          </cell>
          <cell r="D6122" t="str">
            <v>Mb Protecao</v>
          </cell>
          <cell r="E6122" t="str">
            <v>BR_CNPJ</v>
          </cell>
          <cell r="F6122" t="str">
            <v>13.345.167/0001-36</v>
          </cell>
        </row>
        <row r="6123">
          <cell r="A6123">
            <v>46724</v>
          </cell>
          <cell r="B6123" t="str">
            <v>CORPORATION</v>
          </cell>
          <cell r="C6123" t="str">
            <v>Fiel Comercial Importacao E Exportacao Ltda</v>
          </cell>
          <cell r="D6123" t="str">
            <v>Raca Motos</v>
          </cell>
          <cell r="E6123" t="str">
            <v>BR_CNPJ</v>
          </cell>
          <cell r="F6123" t="str">
            <v>13.705.226/0001-30</v>
          </cell>
        </row>
        <row r="6124">
          <cell r="A6124">
            <v>46727</v>
          </cell>
          <cell r="B6124" t="str">
            <v>CORPORATION</v>
          </cell>
          <cell r="C6124" t="str">
            <v>Gynfer Goiania Ferramentas E Acessorios Ltda</v>
          </cell>
          <cell r="D6124" t="str">
            <v>Gynfer Ferramentas</v>
          </cell>
          <cell r="E6124" t="str">
            <v>BR_CNPJ</v>
          </cell>
          <cell r="F6124" t="str">
            <v>08.985.849/0001-73</v>
          </cell>
        </row>
        <row r="6125">
          <cell r="A6125">
            <v>46728</v>
          </cell>
          <cell r="B6125" t="str">
            <v>CORPORATION</v>
          </cell>
          <cell r="C6125" t="str">
            <v>Centertec Negocios, Solucoes E Tecnologia Eireli</v>
          </cell>
          <cell r="D6125" t="str">
            <v>Centertec Negocios, Solucoes E Tecnologia Eireli</v>
          </cell>
          <cell r="E6125" t="str">
            <v>BR_CNPJ</v>
          </cell>
          <cell r="F6125" t="str">
            <v>01.157.868/0001-62</v>
          </cell>
        </row>
        <row r="6126">
          <cell r="A6126">
            <v>46731</v>
          </cell>
          <cell r="B6126" t="str">
            <v>CORPORATION</v>
          </cell>
          <cell r="C6126" t="str">
            <v>D. Lopes Bezerra Ltda</v>
          </cell>
          <cell r="D6126" t="str">
            <v>Casa Dos Parafusos</v>
          </cell>
          <cell r="E6126" t="str">
            <v>BR_CNPJ</v>
          </cell>
          <cell r="F6126" t="str">
            <v>25.983.472/0001-32</v>
          </cell>
          <cell r="G6126" t="str">
            <v>CS DOS PARAF PA</v>
          </cell>
        </row>
        <row r="6127">
          <cell r="A6127">
            <v>46743</v>
          </cell>
          <cell r="B6127" t="str">
            <v>CORPORATION</v>
          </cell>
          <cell r="C6127" t="str">
            <v>R N Alves Comercio</v>
          </cell>
          <cell r="D6127" t="str">
            <v>Materiais De Construcao Maranhao Do Sul</v>
          </cell>
          <cell r="E6127" t="str">
            <v>BR_CNPJ</v>
          </cell>
          <cell r="F6127" t="str">
            <v>63.540.041/0001-90</v>
          </cell>
        </row>
        <row r="6128">
          <cell r="A6128">
            <v>46746</v>
          </cell>
          <cell r="B6128" t="str">
            <v>CORPORATION</v>
          </cell>
          <cell r="C6128" t="str">
            <v>Arco De Pua Ltda</v>
          </cell>
          <cell r="D6128" t="str">
            <v>Arco De Pua</v>
          </cell>
          <cell r="E6128" t="str">
            <v>BR_CNPJ</v>
          </cell>
          <cell r="F6128" t="str">
            <v>11.436.686/0001-84</v>
          </cell>
          <cell r="G6128" t="str">
            <v>ARCO DE PUA</v>
          </cell>
        </row>
        <row r="6129">
          <cell r="A6129">
            <v>46750</v>
          </cell>
          <cell r="B6129" t="str">
            <v>CORPORATION</v>
          </cell>
          <cell r="C6129" t="str">
            <v>Juceli Dos Santos Silvano</v>
          </cell>
          <cell r="D6129" t="str">
            <v>Lumisul Lubrificantes</v>
          </cell>
          <cell r="E6129" t="str">
            <v>BR_CNPJ</v>
          </cell>
          <cell r="F6129" t="str">
            <v>24.354.907/0001-17</v>
          </cell>
        </row>
        <row r="6130">
          <cell r="A6130">
            <v>46763</v>
          </cell>
          <cell r="B6130" t="str">
            <v>CORPORATION</v>
          </cell>
          <cell r="C6130" t="str">
            <v>Mota &amp; Filhos Ltda</v>
          </cell>
          <cell r="D6130" t="str">
            <v>Mota &amp; Filhos Ltda</v>
          </cell>
          <cell r="E6130" t="str">
            <v>BR_CNPJ</v>
          </cell>
          <cell r="F6130" t="str">
            <v>12.041.869/0002-44</v>
          </cell>
        </row>
        <row r="6131">
          <cell r="A6131">
            <v>46767</v>
          </cell>
          <cell r="B6131" t="str">
            <v>CORPORATION</v>
          </cell>
          <cell r="C6131" t="str">
            <v>Hidroluz Multicoisas Materiais De Construcao Ltda</v>
          </cell>
          <cell r="D6131" t="str">
            <v>Hidroluz Multicoisas</v>
          </cell>
          <cell r="E6131" t="str">
            <v>BR_CNPJ</v>
          </cell>
          <cell r="F6131" t="str">
            <v>10.243.062/0001-88</v>
          </cell>
        </row>
        <row r="6132">
          <cell r="A6132">
            <v>46776</v>
          </cell>
          <cell r="B6132" t="str">
            <v>CORPORATION</v>
          </cell>
          <cell r="C6132" t="str">
            <v>Llb Comercio Varejista De Ferragens Ltda</v>
          </cell>
          <cell r="D6132" t="str">
            <v>Ferroforte</v>
          </cell>
          <cell r="E6132" t="str">
            <v>BR_CNPJ</v>
          </cell>
          <cell r="F6132" t="str">
            <v>18.963.683/0001-48</v>
          </cell>
        </row>
        <row r="6133">
          <cell r="A6133">
            <v>46782</v>
          </cell>
          <cell r="B6133" t="str">
            <v>CORPORATION</v>
          </cell>
          <cell r="C6133" t="str">
            <v>Gabriel Caruzo De Souza 13963059630</v>
          </cell>
          <cell r="D6133" t="str">
            <v>Gabriel Caruzo De Souza 13963059630</v>
          </cell>
          <cell r="E6133" t="str">
            <v>BR_CNPJ</v>
          </cell>
          <cell r="F6133" t="str">
            <v>32.399.661/0001-28</v>
          </cell>
        </row>
        <row r="6134">
          <cell r="A6134">
            <v>46787</v>
          </cell>
          <cell r="B6134" t="str">
            <v>CORPORATION</v>
          </cell>
          <cell r="C6134" t="str">
            <v>Ld Servicos E Manutencao Eireli</v>
          </cell>
          <cell r="D6134" t="str">
            <v>Ld Servicos</v>
          </cell>
          <cell r="E6134" t="str">
            <v>BR_CNPJ</v>
          </cell>
          <cell r="F6134" t="str">
            <v>24.287.118/0001-00</v>
          </cell>
        </row>
        <row r="6135">
          <cell r="A6135">
            <v>46798</v>
          </cell>
          <cell r="B6135" t="str">
            <v>CORPORATION</v>
          </cell>
          <cell r="C6135" t="str">
            <v>Eduardo Bittencourt Junior</v>
          </cell>
          <cell r="D6135" t="str">
            <v>Dufer</v>
          </cell>
          <cell r="E6135" t="str">
            <v>BR_CNPJ</v>
          </cell>
          <cell r="F6135" t="str">
            <v>07.689.440/0001-47</v>
          </cell>
        </row>
        <row r="6136">
          <cell r="A6136">
            <v>46799</v>
          </cell>
          <cell r="B6136" t="str">
            <v>CORPORATION</v>
          </cell>
          <cell r="C6136" t="str">
            <v>Metal Norte Comercio De Ferragens E Ferramentas Ltda</v>
          </cell>
          <cell r="D6136" t="str">
            <v>Ferramentas Rodrigues</v>
          </cell>
          <cell r="E6136" t="str">
            <v>BR_CNPJ</v>
          </cell>
          <cell r="F6136" t="str">
            <v>03.316.283/0001-73</v>
          </cell>
        </row>
        <row r="6137">
          <cell r="A6137">
            <v>46803</v>
          </cell>
          <cell r="B6137" t="str">
            <v>CORPORATION</v>
          </cell>
          <cell r="C6137" t="str">
            <v>Leroy Merlin Companhia Brasileira De Bricolagem</v>
          </cell>
          <cell r="D6137" t="str">
            <v>0062 Loja Baixada Santista</v>
          </cell>
          <cell r="E6137" t="str">
            <v>BR_CNPJ</v>
          </cell>
          <cell r="F6137" t="str">
            <v>01.438.784/0067-23</v>
          </cell>
          <cell r="G6137" t="str">
            <v>LEROY MERLIN</v>
          </cell>
        </row>
        <row r="6138">
          <cell r="A6138">
            <v>46806</v>
          </cell>
          <cell r="B6138" t="str">
            <v>CORPORATION</v>
          </cell>
          <cell r="C6138" t="str">
            <v>Thamires De Souza Campos</v>
          </cell>
          <cell r="D6138" t="str">
            <v>Digitek Tecnologia Integrada</v>
          </cell>
          <cell r="E6138" t="str">
            <v>BR_CNPJ</v>
          </cell>
          <cell r="F6138" t="str">
            <v>51.026.897/0001-63</v>
          </cell>
        </row>
        <row r="6139">
          <cell r="A6139">
            <v>46813</v>
          </cell>
          <cell r="B6139" t="str">
            <v>CORPORATION</v>
          </cell>
          <cell r="C6139" t="str">
            <v>Almam Comercial Ltda</v>
          </cell>
          <cell r="D6139" t="str">
            <v>Almam Representacoes</v>
          </cell>
          <cell r="E6139" t="str">
            <v>BR_CNPJ</v>
          </cell>
          <cell r="F6139" t="str">
            <v>28.330.312/0001-82</v>
          </cell>
        </row>
        <row r="6140">
          <cell r="A6140">
            <v>46816</v>
          </cell>
          <cell r="B6140" t="str">
            <v>CORPORATION</v>
          </cell>
          <cell r="C6140" t="str">
            <v>Fabiane Ferreira Batista Ferramentas</v>
          </cell>
          <cell r="D6140" t="str">
            <v>Fabiane Ferreira Batista Ferramentas</v>
          </cell>
          <cell r="E6140" t="str">
            <v>BR_CNPJ</v>
          </cell>
          <cell r="F6140" t="str">
            <v>13.359.061/0001-91</v>
          </cell>
        </row>
        <row r="6141">
          <cell r="A6141">
            <v>46834</v>
          </cell>
          <cell r="B6141" t="str">
            <v>CORPORATION</v>
          </cell>
          <cell r="C6141" t="str">
            <v>Ferragista Costa Ltda</v>
          </cell>
          <cell r="D6141" t="str">
            <v>Ferragista Costa</v>
          </cell>
          <cell r="E6141" t="str">
            <v>BR_CNPJ</v>
          </cell>
          <cell r="F6141" t="str">
            <v>20.151.521/0001-57</v>
          </cell>
        </row>
        <row r="6142">
          <cell r="A6142">
            <v>46839</v>
          </cell>
          <cell r="B6142" t="str">
            <v>CORPORATION</v>
          </cell>
          <cell r="C6142" t="str">
            <v>Fermazi Comercial De Ferragens Ltda</v>
          </cell>
          <cell r="D6142" t="str">
            <v>Fermazi Comercial De Ferragens Ltda</v>
          </cell>
          <cell r="E6142" t="str">
            <v>BR_CNPJ</v>
          </cell>
          <cell r="F6142" t="str">
            <v>03.610.041/0001-98</v>
          </cell>
        </row>
        <row r="6143">
          <cell r="A6143">
            <v>46840</v>
          </cell>
          <cell r="B6143" t="str">
            <v>CORPORATION</v>
          </cell>
          <cell r="C6143" t="str">
            <v>Mercado Das Ferramentas Ltda</v>
          </cell>
          <cell r="D6143" t="str">
            <v>Mercado Das Ferramentas</v>
          </cell>
          <cell r="E6143" t="str">
            <v>BR_CNPJ</v>
          </cell>
          <cell r="F6143" t="str">
            <v>21.592.306/0001-54</v>
          </cell>
          <cell r="G6143" t="str">
            <v>MERCADO GO</v>
          </cell>
        </row>
        <row r="6144">
          <cell r="A6144">
            <v>46842</v>
          </cell>
          <cell r="B6144" t="str">
            <v>CORPORATION</v>
          </cell>
          <cell r="C6144" t="str">
            <v>Alves &amp; Rivas Ltda</v>
          </cell>
          <cell r="D6144" t="str">
            <v>Ferragista Veneza</v>
          </cell>
          <cell r="E6144" t="str">
            <v>BR_CNPJ</v>
          </cell>
          <cell r="F6144" t="str">
            <v>19.687.525/0001-75</v>
          </cell>
        </row>
        <row r="6145">
          <cell r="A6145">
            <v>46845</v>
          </cell>
          <cell r="B6145" t="str">
            <v>CORPORATION</v>
          </cell>
          <cell r="C6145" t="str">
            <v>Planalto Borrachas Ltda</v>
          </cell>
          <cell r="D6145" t="str">
            <v>Planalto Borrachas, Ferragens E Ferramentas</v>
          </cell>
          <cell r="E6145" t="str">
            <v>BR_CNPJ</v>
          </cell>
          <cell r="F6145" t="str">
            <v>27.724.010/0001-26</v>
          </cell>
        </row>
        <row r="6146">
          <cell r="A6146">
            <v>46854</v>
          </cell>
          <cell r="B6146" t="str">
            <v>CORPORATION</v>
          </cell>
          <cell r="C6146" t="str">
            <v>Incorzul Comercio De Ferragens Ltda</v>
          </cell>
          <cell r="D6146" t="str">
            <v>Incorzul</v>
          </cell>
          <cell r="E6146" t="str">
            <v>BR_CNPJ</v>
          </cell>
          <cell r="F6146" t="str">
            <v>80.685.381/0001-29</v>
          </cell>
        </row>
        <row r="6147">
          <cell r="A6147">
            <v>46857</v>
          </cell>
          <cell r="B6147" t="str">
            <v>CORPORATION</v>
          </cell>
          <cell r="C6147" t="str">
            <v>Automania Auto Pecas E Acessorios Ltda</v>
          </cell>
          <cell r="D6147" t="str">
            <v>Automania Auto Pecas E Acessorios Ltda</v>
          </cell>
          <cell r="E6147" t="str">
            <v>BR_CNPJ</v>
          </cell>
          <cell r="F6147" t="str">
            <v>05.997.722/0001-86</v>
          </cell>
        </row>
        <row r="6148">
          <cell r="A6148">
            <v>46873</v>
          </cell>
          <cell r="B6148" t="str">
            <v>CORPORATION</v>
          </cell>
          <cell r="C6148" t="str">
            <v>Oficina Paraiso Ltda</v>
          </cell>
          <cell r="D6148" t="str">
            <v>Oficina Paraiso (Bucar)</v>
          </cell>
          <cell r="E6148" t="str">
            <v>BR_CNPJ</v>
          </cell>
          <cell r="F6148" t="str">
            <v>48.445.192/0001-76</v>
          </cell>
          <cell r="G6148" t="str">
            <v>BUCAR</v>
          </cell>
        </row>
        <row r="6149">
          <cell r="A6149">
            <v>46886</v>
          </cell>
          <cell r="B6149" t="str">
            <v>CORPORATION</v>
          </cell>
          <cell r="C6149" t="str">
            <v>Metalforte Industria Metalurgica Ltda</v>
          </cell>
          <cell r="D6149" t="str">
            <v>Metalforte Industria Metalurgica Ltda</v>
          </cell>
          <cell r="E6149" t="str">
            <v>BR_CNPJ</v>
          </cell>
          <cell r="F6149" t="str">
            <v>02.109.049/0001-02</v>
          </cell>
        </row>
        <row r="6150">
          <cell r="A6150">
            <v>46895</v>
          </cell>
          <cell r="B6150" t="str">
            <v>CORPORATION</v>
          </cell>
          <cell r="C6150" t="str">
            <v>Fabio Junior Barbosa 09147690739</v>
          </cell>
          <cell r="D6150" t="str">
            <v>Soldaprime</v>
          </cell>
          <cell r="E6150" t="str">
            <v>BR_CNPJ</v>
          </cell>
          <cell r="F6150" t="str">
            <v>36.690.340/0001-39</v>
          </cell>
        </row>
        <row r="6151">
          <cell r="A6151">
            <v>46913</v>
          </cell>
          <cell r="B6151" t="str">
            <v>CORPORATION</v>
          </cell>
          <cell r="C6151" t="str">
            <v>Luiza Modena Barcarolo Comercio</v>
          </cell>
          <cell r="D6151" t="str">
            <v>Fermaqsul</v>
          </cell>
          <cell r="E6151" t="str">
            <v>BR_CNPJ</v>
          </cell>
          <cell r="F6151" t="str">
            <v>36.431.014/0001-07</v>
          </cell>
        </row>
        <row r="6152">
          <cell r="A6152">
            <v>46918</v>
          </cell>
          <cell r="B6152" t="str">
            <v>CORPORATION</v>
          </cell>
          <cell r="C6152" t="str">
            <v>Mogiaco Comercial Ltda</v>
          </cell>
          <cell r="D6152" t="str">
            <v>Mogiaco</v>
          </cell>
          <cell r="E6152" t="str">
            <v>BR_CNPJ</v>
          </cell>
          <cell r="F6152" t="str">
            <v>03.456.496/0001-09</v>
          </cell>
        </row>
        <row r="6153">
          <cell r="A6153">
            <v>46919</v>
          </cell>
          <cell r="B6153" t="str">
            <v>CORPORATION</v>
          </cell>
          <cell r="C6153" t="str">
            <v>Metal Rapido Comercio De Ferro E Aco Eireli</v>
          </cell>
          <cell r="D6153" t="str">
            <v>Metal Rapido</v>
          </cell>
          <cell r="E6153" t="str">
            <v>BR_CNPJ</v>
          </cell>
          <cell r="F6153" t="str">
            <v>32.214.456/0001-40</v>
          </cell>
          <cell r="G6153" t="str">
            <v>METAL RAPIDO</v>
          </cell>
        </row>
        <row r="6154">
          <cell r="A6154">
            <v>46923</v>
          </cell>
          <cell r="B6154" t="str">
            <v>CORPORATION</v>
          </cell>
          <cell r="C6154" t="str">
            <v>Nacional Borracha Ltda</v>
          </cell>
          <cell r="D6154" t="str">
            <v>Nacional Borracha</v>
          </cell>
          <cell r="E6154" t="str">
            <v>BR_CNPJ</v>
          </cell>
          <cell r="F6154" t="str">
            <v>25.004.292/0001-61</v>
          </cell>
        </row>
        <row r="6155">
          <cell r="A6155">
            <v>46926</v>
          </cell>
          <cell r="B6155" t="str">
            <v>CORPORATION</v>
          </cell>
          <cell r="C6155" t="str">
            <v>A.T.O Borrachas Maquinas E Ferramentas Eireli</v>
          </cell>
          <cell r="D6155" t="str">
            <v>A.T.O Borrachas Maquinas E Ferramentas</v>
          </cell>
          <cell r="E6155" t="str">
            <v>BR_CNPJ</v>
          </cell>
          <cell r="F6155" t="str">
            <v>24.359.670/0001-67</v>
          </cell>
        </row>
        <row r="6156">
          <cell r="A6156">
            <v>46942</v>
          </cell>
          <cell r="B6156" t="str">
            <v>CORPORATION</v>
          </cell>
          <cell r="C6156" t="str">
            <v>Gislene Carvalho Flochat 22962823858</v>
          </cell>
          <cell r="D6156" t="str">
            <v>D&amp;G Ferragens E Acessorios Em Geral</v>
          </cell>
          <cell r="E6156" t="str">
            <v>BR_CNPJ</v>
          </cell>
          <cell r="F6156" t="str">
            <v>35.260.574/0001-83</v>
          </cell>
        </row>
        <row r="6157">
          <cell r="A6157">
            <v>46955</v>
          </cell>
          <cell r="B6157" t="str">
            <v>CORPORATION</v>
          </cell>
          <cell r="C6157" t="str">
            <v>F.F. Lima Parafusos E Ferramentas</v>
          </cell>
          <cell r="D6157" t="str">
            <v>Vr Parafusos E Ferramentas</v>
          </cell>
          <cell r="E6157" t="str">
            <v>BR_CNPJ</v>
          </cell>
          <cell r="F6157" t="str">
            <v>30.961.214/0001-95</v>
          </cell>
        </row>
        <row r="6158">
          <cell r="A6158">
            <v>46963</v>
          </cell>
          <cell r="B6158" t="str">
            <v>CORPORATION</v>
          </cell>
          <cell r="C6158" t="str">
            <v>Zc Rolamentos Ltda</v>
          </cell>
          <cell r="D6158" t="str">
            <v>Zc Rolamentos</v>
          </cell>
          <cell r="E6158" t="str">
            <v>BR_CNPJ</v>
          </cell>
          <cell r="F6158" t="str">
            <v>44.864.572/0001-94</v>
          </cell>
        </row>
        <row r="6159">
          <cell r="A6159">
            <v>46971</v>
          </cell>
          <cell r="B6159" t="str">
            <v>CORPORATION</v>
          </cell>
          <cell r="C6159" t="str">
            <v>Vasta Ferramentas Ltda</v>
          </cell>
          <cell r="D6159" t="str">
            <v>Vasta Ferragens E Ferramentas</v>
          </cell>
          <cell r="E6159" t="str">
            <v>BR_CNPJ</v>
          </cell>
          <cell r="F6159" t="str">
            <v>23.349.272/0001-05</v>
          </cell>
        </row>
        <row r="6160">
          <cell r="A6160">
            <v>46977</v>
          </cell>
          <cell r="B6160" t="str">
            <v>CORPORATION</v>
          </cell>
          <cell r="C6160" t="str">
            <v>Comercial Grapa Ltda</v>
          </cell>
          <cell r="D6160" t="str">
            <v>Grapa Ferros E Ferragens</v>
          </cell>
          <cell r="E6160" t="str">
            <v>BR_CNPJ</v>
          </cell>
          <cell r="F6160" t="str">
            <v>72.983.315/0001-07</v>
          </cell>
        </row>
        <row r="6161">
          <cell r="A6161">
            <v>46980</v>
          </cell>
          <cell r="B6161" t="str">
            <v>CORPORATION</v>
          </cell>
          <cell r="C6161" t="str">
            <v>Andre Alves Dos Santos</v>
          </cell>
          <cell r="D6161" t="str">
            <v>Roncon Ferramentas</v>
          </cell>
          <cell r="E6161" t="str">
            <v>BR_CNPJ</v>
          </cell>
          <cell r="F6161" t="str">
            <v>34.262.500/0001-13</v>
          </cell>
        </row>
        <row r="6162">
          <cell r="A6162">
            <v>46983</v>
          </cell>
          <cell r="B6162" t="str">
            <v>CORPORATION</v>
          </cell>
          <cell r="C6162" t="str">
            <v>Gasperin - Industria E Comercio De Ferragens Ltda</v>
          </cell>
          <cell r="D6162" t="str">
            <v>Gasperin Industria E Comercio De Ferragens</v>
          </cell>
          <cell r="E6162" t="str">
            <v>BR_CNPJ</v>
          </cell>
          <cell r="F6162" t="str">
            <v>14.330.342/0001-84</v>
          </cell>
        </row>
        <row r="6163">
          <cell r="A6163">
            <v>46992</v>
          </cell>
          <cell r="B6163" t="str">
            <v>CORPORATION</v>
          </cell>
          <cell r="C6163" t="str">
            <v>J Cardoso Sousa Eireli</v>
          </cell>
          <cell r="D6163" t="str">
            <v>Kelly Construcoes</v>
          </cell>
          <cell r="E6163" t="str">
            <v>BR_CNPJ</v>
          </cell>
          <cell r="F6163" t="str">
            <v>11.005.261/0001-10</v>
          </cell>
        </row>
        <row r="6164">
          <cell r="A6164">
            <v>46994</v>
          </cell>
          <cell r="B6164" t="str">
            <v>CORPORATION</v>
          </cell>
          <cell r="C6164" t="str">
            <v>B G Comercio De Soldas E Ferramentas Ltda</v>
          </cell>
          <cell r="D6164" t="str">
            <v>B G Comercio De Soldas E Ferramentas Ltda</v>
          </cell>
          <cell r="E6164" t="str">
            <v>BR_CNPJ</v>
          </cell>
          <cell r="F6164" t="str">
            <v>03.465.237/0001-36</v>
          </cell>
        </row>
        <row r="6165">
          <cell r="A6165">
            <v>46996</v>
          </cell>
          <cell r="B6165" t="str">
            <v>CORPORATION</v>
          </cell>
          <cell r="C6165" t="str">
            <v>Nunes Ferragens Ltda</v>
          </cell>
          <cell r="D6165" t="str">
            <v>Nunes Ferragens</v>
          </cell>
          <cell r="E6165" t="str">
            <v>BR_CNPJ</v>
          </cell>
          <cell r="F6165" t="str">
            <v>29.353.385/0001-52</v>
          </cell>
          <cell r="G6165" t="str">
            <v>NUNES FERRAGENS</v>
          </cell>
        </row>
        <row r="6166">
          <cell r="A6166">
            <v>46997</v>
          </cell>
          <cell r="B6166" t="str">
            <v>CORPORATION</v>
          </cell>
          <cell r="C6166" t="str">
            <v>Campo Forte Maquinas E Ferramentas Ltda</v>
          </cell>
          <cell r="D6166" t="str">
            <v>Campo Forte Maquinas E Ferramentas Ltda</v>
          </cell>
          <cell r="E6166" t="str">
            <v>BR_CNPJ</v>
          </cell>
          <cell r="F6166" t="str">
            <v>22.125.970/0001-56</v>
          </cell>
        </row>
        <row r="6167">
          <cell r="A6167">
            <v>46999</v>
          </cell>
          <cell r="B6167" t="str">
            <v>CORPORATION</v>
          </cell>
          <cell r="C6167" t="str">
            <v>Lema Ferramentas E Epis Ltda</v>
          </cell>
          <cell r="D6167" t="str">
            <v>Lema Epis</v>
          </cell>
          <cell r="E6167" t="str">
            <v>BR_CNPJ</v>
          </cell>
          <cell r="F6167" t="str">
            <v>29.207.408/0001-10</v>
          </cell>
          <cell r="G6167" t="str">
            <v>ELETROSOLDAS</v>
          </cell>
        </row>
        <row r="6168">
          <cell r="A6168">
            <v>47003</v>
          </cell>
          <cell r="B6168" t="str">
            <v>CORPORATION</v>
          </cell>
          <cell r="C6168" t="str">
            <v>Alexandre Goncalves Ramos - Ferramentas</v>
          </cell>
          <cell r="D6168" t="str">
            <v>Tonifix</v>
          </cell>
          <cell r="E6168" t="str">
            <v>BR_CNPJ</v>
          </cell>
          <cell r="F6168" t="str">
            <v>06.875.093/0001-84</v>
          </cell>
        </row>
        <row r="6169">
          <cell r="A6169">
            <v>47007</v>
          </cell>
          <cell r="B6169" t="str">
            <v>CORPORATION</v>
          </cell>
          <cell r="C6169" t="str">
            <v>V. B. R. Bussom</v>
          </cell>
          <cell r="D6169" t="str">
            <v>Medshop</v>
          </cell>
          <cell r="E6169" t="str">
            <v>BR_CNPJ</v>
          </cell>
          <cell r="F6169" t="str">
            <v>08.402.706/0001-91</v>
          </cell>
        </row>
        <row r="6170">
          <cell r="A6170">
            <v>47010</v>
          </cell>
          <cell r="B6170" t="str">
            <v>CORPORATION</v>
          </cell>
          <cell r="C6170" t="str">
            <v>Anderson Christensem Pereira Ferramentas</v>
          </cell>
          <cell r="D6170" t="str">
            <v>A.C.P Ferramentas</v>
          </cell>
          <cell r="E6170" t="str">
            <v>BR_CNPJ</v>
          </cell>
          <cell r="F6170" t="str">
            <v>04.974.038/0001-16</v>
          </cell>
        </row>
        <row r="6171">
          <cell r="A6171">
            <v>47015</v>
          </cell>
          <cell r="B6171" t="str">
            <v>CORPORATION</v>
          </cell>
          <cell r="C6171" t="str">
            <v>Tork Tools Comercial Ltda</v>
          </cell>
          <cell r="D6171" t="str">
            <v>Tork Tools Comercial Ltda</v>
          </cell>
          <cell r="E6171" t="str">
            <v>BR_CNPJ</v>
          </cell>
          <cell r="F6171" t="str">
            <v>09.337.774/0001-87</v>
          </cell>
        </row>
        <row r="6172">
          <cell r="A6172">
            <v>47017</v>
          </cell>
          <cell r="B6172" t="str">
            <v>CORPORATION</v>
          </cell>
          <cell r="C6172" t="str">
            <v>J.C. Borges Comercio Ltda</v>
          </cell>
          <cell r="D6172" t="str">
            <v>Dismavel Casa &amp; Construcao</v>
          </cell>
          <cell r="E6172" t="str">
            <v>BR_CNPJ</v>
          </cell>
          <cell r="F6172" t="str">
            <v>23.504.738/0001-91</v>
          </cell>
        </row>
        <row r="6173">
          <cell r="A6173">
            <v>47019</v>
          </cell>
          <cell r="B6173" t="str">
            <v>CORPORATION</v>
          </cell>
          <cell r="C6173" t="str">
            <v>Colombo &amp; Colombo Ltda</v>
          </cell>
          <cell r="D6173" t="str">
            <v>Colimel</v>
          </cell>
          <cell r="E6173" t="str">
            <v>BR_CNPJ</v>
          </cell>
          <cell r="F6173" t="str">
            <v>32.989.568/0001-73</v>
          </cell>
        </row>
        <row r="6174">
          <cell r="A6174">
            <v>47022</v>
          </cell>
          <cell r="B6174" t="str">
            <v>CORPORATION</v>
          </cell>
          <cell r="C6174" t="str">
            <v>Barbosa E Rodrigues Ltda</v>
          </cell>
          <cell r="D6174" t="str">
            <v>A Pantera</v>
          </cell>
          <cell r="E6174" t="str">
            <v>BR_CNPJ</v>
          </cell>
          <cell r="F6174" t="str">
            <v>01.424.738/0001-49</v>
          </cell>
        </row>
        <row r="6175">
          <cell r="A6175">
            <v>47033</v>
          </cell>
          <cell r="B6175" t="str">
            <v>CORPORATION</v>
          </cell>
          <cell r="C6175" t="str">
            <v>Carpau Produtos Agropecuarios Ltda</v>
          </cell>
          <cell r="D6175" t="str">
            <v>Carpau</v>
          </cell>
          <cell r="E6175" t="str">
            <v>BR_CNPJ</v>
          </cell>
          <cell r="F6175" t="str">
            <v>08.887.033/0001-07</v>
          </cell>
        </row>
        <row r="6176">
          <cell r="A6176">
            <v>47036</v>
          </cell>
          <cell r="B6176" t="str">
            <v>CORPORATION</v>
          </cell>
          <cell r="C6176" t="str">
            <v>Ferragens Sao Paulo Ltda</v>
          </cell>
          <cell r="D6176" t="str">
            <v>Comercial De Ferragens Sao Paulo</v>
          </cell>
          <cell r="E6176" t="str">
            <v>BR_CNPJ</v>
          </cell>
          <cell r="F6176" t="str">
            <v>02.489.240/0001-27</v>
          </cell>
        </row>
        <row r="6177">
          <cell r="A6177">
            <v>47039</v>
          </cell>
          <cell r="B6177" t="str">
            <v>CORPORATION</v>
          </cell>
          <cell r="C6177" t="str">
            <v>Ferro E Aco Noroeste Ltda</v>
          </cell>
          <cell r="D6177" t="str">
            <v>Ferro E Aco Noroeste</v>
          </cell>
          <cell r="E6177" t="str">
            <v>BR_CNPJ</v>
          </cell>
          <cell r="F6177" t="str">
            <v>28.387.422/0001-80</v>
          </cell>
        </row>
        <row r="6178">
          <cell r="A6178">
            <v>47043</v>
          </cell>
          <cell r="B6178" t="str">
            <v>CORPORATION</v>
          </cell>
          <cell r="C6178" t="str">
            <v>Luciana D. R. Arnholdo &amp; Cia Ltda</v>
          </cell>
          <cell r="D6178" t="str">
            <v>Casa Da Borracha E Ferramentas</v>
          </cell>
          <cell r="E6178" t="str">
            <v>BR_CNPJ</v>
          </cell>
          <cell r="F6178" t="str">
            <v>02.713.359/0001-31</v>
          </cell>
        </row>
        <row r="6179">
          <cell r="A6179">
            <v>47053</v>
          </cell>
          <cell r="B6179" t="str">
            <v>CORPORATION</v>
          </cell>
          <cell r="C6179" t="str">
            <v>Hiperlar Utilidades Eireli</v>
          </cell>
          <cell r="D6179" t="str">
            <v>Centro Das Ferramentas</v>
          </cell>
          <cell r="E6179" t="str">
            <v>BR_CNPJ</v>
          </cell>
          <cell r="F6179" t="str">
            <v>23.423.934/0001-31</v>
          </cell>
          <cell r="G6179" t="str">
            <v>CENTRO DAS FERRAMENTAS</v>
          </cell>
        </row>
        <row r="6180">
          <cell r="A6180">
            <v>47058</v>
          </cell>
          <cell r="B6180" t="str">
            <v>CORPORATION</v>
          </cell>
          <cell r="C6180" t="str">
            <v>Casa Do Soldador Ltda</v>
          </cell>
          <cell r="D6180" t="str">
            <v>Casa Do Soldador Ltda</v>
          </cell>
          <cell r="E6180" t="str">
            <v>BR_CNPJ</v>
          </cell>
          <cell r="F6180" t="str">
            <v>02.344.660/0001-15</v>
          </cell>
          <cell r="G6180" t="str">
            <v>CASA DO SOLDADOR</v>
          </cell>
        </row>
        <row r="6181">
          <cell r="A6181">
            <v>47075</v>
          </cell>
          <cell r="B6181" t="str">
            <v>CORPORATION</v>
          </cell>
          <cell r="C6181" t="str">
            <v>Progresso Maquinas Ltda</v>
          </cell>
          <cell r="D6181" t="str">
            <v>Centro Das Ferramentas</v>
          </cell>
          <cell r="E6181" t="str">
            <v>BR_CNPJ</v>
          </cell>
          <cell r="F6181" t="str">
            <v>43.287.748/0001-20</v>
          </cell>
          <cell r="G6181" t="str">
            <v>CENTRO DAS FERRAMENTAS</v>
          </cell>
        </row>
        <row r="6182">
          <cell r="A6182">
            <v>47081</v>
          </cell>
          <cell r="B6182" t="str">
            <v>CORPORATION</v>
          </cell>
          <cell r="C6182" t="str">
            <v>Pacol - Locacao E Comercio De Maquinas Ltda</v>
          </cell>
          <cell r="D6182" t="str">
            <v>Pacol</v>
          </cell>
          <cell r="E6182" t="str">
            <v>BR_CNPJ</v>
          </cell>
          <cell r="F6182" t="str">
            <v>06.010.117/0001-32</v>
          </cell>
        </row>
        <row r="6183">
          <cell r="A6183">
            <v>47085</v>
          </cell>
          <cell r="B6183" t="str">
            <v>CORPORATION</v>
          </cell>
          <cell r="C6183" t="str">
            <v>Chapada Ferragens Ltda</v>
          </cell>
          <cell r="D6183" t="str">
            <v>Chapada Ferragens</v>
          </cell>
          <cell r="E6183" t="str">
            <v>BR_CNPJ</v>
          </cell>
          <cell r="F6183" t="str">
            <v>51.503.810/0001-00</v>
          </cell>
        </row>
        <row r="6184">
          <cell r="A6184">
            <v>47088</v>
          </cell>
          <cell r="B6184" t="str">
            <v>CORPORATION</v>
          </cell>
          <cell r="C6184" t="str">
            <v>Raquel Taverna Coradin Ltda</v>
          </cell>
          <cell r="D6184" t="str">
            <v>Coradin Reciclagens</v>
          </cell>
          <cell r="E6184" t="str">
            <v>BR_CNPJ</v>
          </cell>
          <cell r="F6184" t="str">
            <v>17.704.417/0001-38</v>
          </cell>
        </row>
        <row r="6185">
          <cell r="A6185">
            <v>47089</v>
          </cell>
          <cell r="B6185" t="str">
            <v>CORPORATION</v>
          </cell>
          <cell r="C6185" t="str">
            <v>Cenci E Gregory Ltda</v>
          </cell>
          <cell r="D6185" t="str">
            <v>T. C. M. Ferragens</v>
          </cell>
          <cell r="E6185" t="str">
            <v>BR_CNPJ</v>
          </cell>
          <cell r="F6185" t="str">
            <v>03.130.205/0001-80</v>
          </cell>
        </row>
        <row r="6186">
          <cell r="A6186">
            <v>47092</v>
          </cell>
          <cell r="B6186" t="str">
            <v>CORPORATION</v>
          </cell>
          <cell r="C6186" t="str">
            <v>S. T. P. Comercio De Ferramentas Ltda</v>
          </cell>
          <cell r="D6186" t="str">
            <v>Promaq Ferramentas</v>
          </cell>
          <cell r="E6186" t="str">
            <v>BR_CNPJ</v>
          </cell>
          <cell r="F6186" t="str">
            <v>13.809.515/0001-89</v>
          </cell>
        </row>
        <row r="6187">
          <cell r="A6187">
            <v>47100</v>
          </cell>
          <cell r="B6187" t="str">
            <v>CORPORATION</v>
          </cell>
          <cell r="C6187" t="str">
            <v>Policia Militar Do Estado De Sao Paulo</v>
          </cell>
          <cell r="D6187" t="str">
            <v>Cpi-9 (10° Batalhao De Acoes Especiais De Policia)</v>
          </cell>
          <cell r="E6187" t="str">
            <v>BR_CNPJ</v>
          </cell>
          <cell r="F6187" t="str">
            <v>04.198.514/0127-56</v>
          </cell>
        </row>
        <row r="6188">
          <cell r="A6188">
            <v>47101</v>
          </cell>
          <cell r="B6188" t="str">
            <v>CORPORATION</v>
          </cell>
          <cell r="C6188" t="str">
            <v>Nsg Comercio Ltda</v>
          </cell>
          <cell r="D6188" t="str">
            <v>Construforte Madeira E Construcao</v>
          </cell>
          <cell r="E6188" t="str">
            <v>BR_CNPJ</v>
          </cell>
          <cell r="F6188" t="str">
            <v>44.092.291/0002-41</v>
          </cell>
        </row>
        <row r="6189">
          <cell r="A6189">
            <v>47103</v>
          </cell>
          <cell r="B6189" t="str">
            <v>CORPORATION</v>
          </cell>
          <cell r="C6189" t="str">
            <v>Carla Andreia De Oliveira Dos Santos 05356278314</v>
          </cell>
          <cell r="D6189" t="str">
            <v>Centro Eletrico Ferramental</v>
          </cell>
          <cell r="E6189" t="str">
            <v>BR_CNPJ</v>
          </cell>
          <cell r="F6189" t="str">
            <v>29.969.643/0001-20</v>
          </cell>
        </row>
        <row r="6190">
          <cell r="A6190">
            <v>47113</v>
          </cell>
          <cell r="B6190" t="str">
            <v>CORPORATION</v>
          </cell>
          <cell r="C6190" t="str">
            <v>Comercio De Pecas Eurotec Ltda</v>
          </cell>
          <cell r="D6190" t="str">
            <v>Eurotec Distribuidora</v>
          </cell>
          <cell r="E6190" t="str">
            <v>BR_CNPJ</v>
          </cell>
          <cell r="F6190" t="str">
            <v>04.294.624/0001-10</v>
          </cell>
        </row>
        <row r="6191">
          <cell r="A6191">
            <v>47114</v>
          </cell>
          <cell r="B6191" t="str">
            <v>CORPORATION</v>
          </cell>
          <cell r="C6191" t="str">
            <v>Lm Motores E Locacao Ltda</v>
          </cell>
          <cell r="D6191" t="str">
            <v>Leste Motores E Locacao</v>
          </cell>
          <cell r="E6191" t="str">
            <v>BR_CNPJ</v>
          </cell>
          <cell r="F6191" t="str">
            <v>55.007.292/0001-86</v>
          </cell>
          <cell r="G6191" t="str">
            <v>LESTE MOTORES</v>
          </cell>
        </row>
        <row r="6192">
          <cell r="A6192">
            <v>47115</v>
          </cell>
          <cell r="B6192" t="str">
            <v>CORPORATION</v>
          </cell>
          <cell r="C6192" t="str">
            <v>S.Pereira Loja De Informatica Ltda</v>
          </cell>
          <cell r="D6192" t="str">
            <v>A S Informatica</v>
          </cell>
          <cell r="E6192" t="str">
            <v>BR_CNPJ</v>
          </cell>
          <cell r="F6192" t="str">
            <v>18.520.824/0001-58</v>
          </cell>
        </row>
        <row r="6193">
          <cell r="A6193">
            <v>47119</v>
          </cell>
          <cell r="B6193" t="str">
            <v>CORPORATION</v>
          </cell>
          <cell r="C6193" t="str">
            <v>Nova Opcao Ferragista Ltda</v>
          </cell>
          <cell r="D6193" t="str">
            <v>Ferragista Opcao</v>
          </cell>
          <cell r="E6193" t="str">
            <v>BR_CNPJ</v>
          </cell>
          <cell r="F6193" t="str">
            <v>31.371.015/0001-90</v>
          </cell>
        </row>
        <row r="6194">
          <cell r="A6194">
            <v>47126</v>
          </cell>
          <cell r="B6194" t="str">
            <v>CORPORATION</v>
          </cell>
          <cell r="C6194" t="str">
            <v>Amanda Acacio Marques</v>
          </cell>
          <cell r="D6194" t="str">
            <v>Leve Ja</v>
          </cell>
          <cell r="E6194" t="str">
            <v>BR_CNPJ</v>
          </cell>
          <cell r="F6194" t="str">
            <v>30.116.900/0001-60</v>
          </cell>
        </row>
        <row r="6195">
          <cell r="A6195">
            <v>47132</v>
          </cell>
          <cell r="B6195" t="str">
            <v>CORPORATION</v>
          </cell>
          <cell r="C6195" t="str">
            <v>Sant'Ana Construcao Civil E Artefatos De Cimento Ltda</v>
          </cell>
          <cell r="D6195" t="str">
            <v>Santana Materiais De Construcao</v>
          </cell>
          <cell r="E6195" t="str">
            <v>BR_CNPJ</v>
          </cell>
          <cell r="F6195" t="str">
            <v>03.442.182/0001-49</v>
          </cell>
        </row>
        <row r="6196">
          <cell r="A6196">
            <v>47137</v>
          </cell>
          <cell r="B6196" t="str">
            <v>CORPORATION</v>
          </cell>
          <cell r="C6196" t="str">
            <v>Fabyo Regio De Sousa Bastos</v>
          </cell>
          <cell r="D6196" t="str">
            <v>Fabinoxx</v>
          </cell>
          <cell r="E6196" t="str">
            <v>BR_CNPJ</v>
          </cell>
          <cell r="F6196" t="str">
            <v>14.652.079/0001-40</v>
          </cell>
        </row>
        <row r="6197">
          <cell r="A6197">
            <v>47143</v>
          </cell>
          <cell r="B6197" t="str">
            <v>CORPORATION</v>
          </cell>
          <cell r="C6197" t="str">
            <v>Agromarina Eireli</v>
          </cell>
          <cell r="D6197" t="str">
            <v>Agro Marina</v>
          </cell>
          <cell r="E6197" t="str">
            <v>BR_CNPJ</v>
          </cell>
          <cell r="F6197" t="str">
            <v>00.109.283/0001-04</v>
          </cell>
        </row>
        <row r="6198">
          <cell r="A6198">
            <v>47144</v>
          </cell>
          <cell r="B6198" t="str">
            <v>CORPORATION</v>
          </cell>
          <cell r="C6198" t="str">
            <v>Nortt Comercio De Ferragens E Ferramentas Ltda</v>
          </cell>
          <cell r="D6198" t="str">
            <v>Parafuzou</v>
          </cell>
          <cell r="E6198" t="str">
            <v>BR_CNPJ</v>
          </cell>
          <cell r="F6198" t="str">
            <v>47.251.508/0001-26</v>
          </cell>
        </row>
        <row r="6199">
          <cell r="A6199">
            <v>47146</v>
          </cell>
          <cell r="B6199" t="str">
            <v>CORPORATION</v>
          </cell>
          <cell r="C6199" t="str">
            <v>Az Ferragista - Eireli</v>
          </cell>
          <cell r="D6199" t="str">
            <v>Az Ferragista</v>
          </cell>
          <cell r="E6199" t="str">
            <v>BR_CNPJ</v>
          </cell>
          <cell r="F6199" t="str">
            <v>27.466.939/0001-00</v>
          </cell>
        </row>
        <row r="6200">
          <cell r="A6200">
            <v>47153</v>
          </cell>
          <cell r="B6200" t="str">
            <v>CORPORATION</v>
          </cell>
          <cell r="C6200" t="str">
            <v>Deposito De Materiais De Construcao Campo Verde Ltda</v>
          </cell>
          <cell r="D6200" t="str">
            <v>Campo Verde Casa E Construcao</v>
          </cell>
          <cell r="E6200" t="str">
            <v>BR_CNPJ</v>
          </cell>
          <cell r="F6200" t="str">
            <v>06.065.605/0001-47</v>
          </cell>
        </row>
        <row r="6201">
          <cell r="A6201">
            <v>47157</v>
          </cell>
          <cell r="B6201" t="str">
            <v>CORPORATION</v>
          </cell>
          <cell r="C6201" t="str">
            <v>Antel Industria E Comercio Ltda</v>
          </cell>
          <cell r="D6201" t="str">
            <v>Antel</v>
          </cell>
          <cell r="E6201" t="str">
            <v>BR_CNPJ</v>
          </cell>
          <cell r="F6201" t="str">
            <v>04.486.244/0001-87</v>
          </cell>
        </row>
        <row r="6202">
          <cell r="A6202">
            <v>47158</v>
          </cell>
          <cell r="B6202" t="str">
            <v>CORPORATION</v>
          </cell>
          <cell r="C6202" t="str">
            <v>Jose De Brito Araujo Eireli</v>
          </cell>
          <cell r="D6202" t="str">
            <v>Metalurgica Bom Preco</v>
          </cell>
          <cell r="E6202" t="str">
            <v>BR_CNPJ</v>
          </cell>
          <cell r="F6202" t="str">
            <v>38.178.664/0001-18</v>
          </cell>
          <cell r="G6202" t="str">
            <v>BOM PREÇO</v>
          </cell>
        </row>
        <row r="6203">
          <cell r="A6203">
            <v>47160</v>
          </cell>
          <cell r="B6203" t="str">
            <v>CORPORATION</v>
          </cell>
          <cell r="C6203" t="str">
            <v>T C G Senna Lopes &amp; Cia Ltda</v>
          </cell>
          <cell r="D6203" t="str">
            <v>Universal Parafusos</v>
          </cell>
          <cell r="E6203" t="str">
            <v>BR_CNPJ</v>
          </cell>
          <cell r="F6203" t="str">
            <v>07.563.973/0001-88</v>
          </cell>
        </row>
        <row r="6204">
          <cell r="A6204">
            <v>47187</v>
          </cell>
          <cell r="B6204" t="str">
            <v>CORPORATION</v>
          </cell>
          <cell r="C6204" t="str">
            <v>Edson A M Luiz &amp; Cia Ltda</v>
          </cell>
          <cell r="D6204" t="str">
            <v>Edson A M Luiz &amp; Cia Ltda</v>
          </cell>
          <cell r="E6204" t="str">
            <v>BR_CNPJ</v>
          </cell>
          <cell r="F6204" t="str">
            <v>55.774.301/0001-64</v>
          </cell>
        </row>
        <row r="6205">
          <cell r="A6205">
            <v>47211</v>
          </cell>
          <cell r="B6205" t="str">
            <v>CORPORATION</v>
          </cell>
          <cell r="C6205" t="str">
            <v>Gofer Comercio De Ferro Eireli</v>
          </cell>
          <cell r="D6205" t="str">
            <v>Gofer</v>
          </cell>
          <cell r="E6205" t="str">
            <v>BR_CNPJ</v>
          </cell>
          <cell r="F6205" t="str">
            <v>31.226.674/0001-32</v>
          </cell>
        </row>
        <row r="6206">
          <cell r="A6206">
            <v>47213</v>
          </cell>
          <cell r="B6206" t="str">
            <v>CORPORATION</v>
          </cell>
          <cell r="C6206" t="str">
            <v>Joi Comercio De Ferro E Aco Ltda</v>
          </cell>
          <cell r="D6206" t="str">
            <v>Stampafer Sc</v>
          </cell>
          <cell r="E6206" t="str">
            <v>BR_CNPJ</v>
          </cell>
          <cell r="F6206" t="str">
            <v>36.654.159/0001-77</v>
          </cell>
          <cell r="G6206" t="str">
            <v>STAMPAFER</v>
          </cell>
        </row>
        <row r="6207">
          <cell r="A6207">
            <v>47215</v>
          </cell>
          <cell r="B6207" t="str">
            <v>CORPORATION</v>
          </cell>
          <cell r="C6207" t="str">
            <v>Danilo Araujo Macedo - Ferragista Macedo</v>
          </cell>
          <cell r="D6207" t="str">
            <v>Ferragista Macedo</v>
          </cell>
          <cell r="E6207" t="str">
            <v>BR_CNPJ</v>
          </cell>
          <cell r="F6207" t="str">
            <v>24.139.938/0001-55</v>
          </cell>
        </row>
        <row r="6208">
          <cell r="A6208">
            <v>47218</v>
          </cell>
          <cell r="B6208" t="str">
            <v>CORPORATION</v>
          </cell>
          <cell r="C6208" t="str">
            <v>Antonio Ribeiro Da Silva 78283639315</v>
          </cell>
          <cell r="D6208" t="str">
            <v>Antonio Ribeiro Da Silva 78283639315</v>
          </cell>
          <cell r="E6208" t="str">
            <v>BR_CNPJ</v>
          </cell>
          <cell r="F6208" t="str">
            <v>36.314.070/0001-61</v>
          </cell>
        </row>
        <row r="6209">
          <cell r="A6209">
            <v>47221</v>
          </cell>
          <cell r="B6209" t="str">
            <v>CORPORATION</v>
          </cell>
          <cell r="C6209" t="str">
            <v>H S Santos Comercio</v>
          </cell>
          <cell r="D6209" t="str">
            <v>H S Santos Comercio</v>
          </cell>
          <cell r="E6209" t="str">
            <v>BR_CNPJ</v>
          </cell>
          <cell r="F6209" t="str">
            <v>39.148.277/0001-00</v>
          </cell>
        </row>
        <row r="6210">
          <cell r="A6210">
            <v>47223</v>
          </cell>
          <cell r="B6210" t="str">
            <v>CORPORATION</v>
          </cell>
          <cell r="C6210" t="str">
            <v>Werner &amp; Cia Ltda</v>
          </cell>
          <cell r="D6210" t="str">
            <v>Cometa Pecas Agricolas</v>
          </cell>
          <cell r="E6210" t="str">
            <v>BR_CNPJ</v>
          </cell>
          <cell r="F6210" t="str">
            <v>37.430.329/0001-00</v>
          </cell>
        </row>
        <row r="6211">
          <cell r="A6211">
            <v>47224</v>
          </cell>
          <cell r="B6211" t="str">
            <v>CORPORATION</v>
          </cell>
          <cell r="C6211" t="str">
            <v>Casa Da Lavoura De Tarumirim Ltda</v>
          </cell>
          <cell r="D6211" t="str">
            <v>Casa Da Lavoura De Tarumirim Ltda</v>
          </cell>
          <cell r="E6211" t="str">
            <v>BR_CNPJ</v>
          </cell>
          <cell r="F6211" t="str">
            <v>86.391.950/0001-00</v>
          </cell>
        </row>
        <row r="6212">
          <cell r="A6212">
            <v>47226</v>
          </cell>
          <cell r="B6212" t="str">
            <v>CORPORATION</v>
          </cell>
          <cell r="C6212" t="str">
            <v>Agromang - Comercio De Ferragens E Ferramentas Ltda</v>
          </cell>
          <cell r="D6212" t="str">
            <v>Agromang</v>
          </cell>
          <cell r="E6212" t="str">
            <v>BR_CNPJ</v>
          </cell>
          <cell r="F6212" t="str">
            <v>08.888.708/0001-32</v>
          </cell>
        </row>
        <row r="6213">
          <cell r="A6213">
            <v>47227</v>
          </cell>
          <cell r="B6213" t="str">
            <v>CORPORATION</v>
          </cell>
          <cell r="C6213" t="str">
            <v>Adelia Maria De Melo Bordone</v>
          </cell>
          <cell r="D6213" t="str">
            <v>Torloc Locacoes</v>
          </cell>
          <cell r="E6213" t="str">
            <v>BR_CNPJ</v>
          </cell>
          <cell r="F6213" t="str">
            <v>14.717.134/0001-32</v>
          </cell>
        </row>
        <row r="6214">
          <cell r="A6214">
            <v>47231</v>
          </cell>
          <cell r="B6214" t="str">
            <v>CORPORATION</v>
          </cell>
          <cell r="C6214" t="str">
            <v>Zaildo Antonio</v>
          </cell>
          <cell r="D6214" t="str">
            <v>Comercial 2000</v>
          </cell>
          <cell r="E6214" t="str">
            <v>BR_CNPJ</v>
          </cell>
          <cell r="F6214" t="str">
            <v>03.661.671/0001-91</v>
          </cell>
          <cell r="G6214" t="str">
            <v>Comercial 2000</v>
          </cell>
        </row>
        <row r="6215">
          <cell r="A6215">
            <v>47234</v>
          </cell>
          <cell r="B6215" t="str">
            <v>CORPORATION</v>
          </cell>
          <cell r="C6215" t="str">
            <v>Macosfal Material De Construcao Sao Francisco Ltda</v>
          </cell>
          <cell r="D6215" t="str">
            <v>Macosfal</v>
          </cell>
          <cell r="E6215" t="str">
            <v>BR_CNPJ</v>
          </cell>
          <cell r="F6215" t="str">
            <v>00.807.404/0001-91</v>
          </cell>
        </row>
        <row r="6216">
          <cell r="A6216">
            <v>47235</v>
          </cell>
          <cell r="B6216" t="str">
            <v>CORPORATION</v>
          </cell>
          <cell r="C6216" t="str">
            <v>Nadaleto, Chrispim &amp; Cia. Ltda</v>
          </cell>
          <cell r="D6216" t="str">
            <v>Comaq</v>
          </cell>
          <cell r="E6216" t="str">
            <v>BR_CNPJ</v>
          </cell>
          <cell r="F6216" t="str">
            <v>03.428.632/0001-49</v>
          </cell>
        </row>
        <row r="6217">
          <cell r="A6217">
            <v>47237</v>
          </cell>
          <cell r="B6217" t="str">
            <v>CORPORATION</v>
          </cell>
          <cell r="C6217" t="str">
            <v>Material Para Construcao Jaragua Ltda</v>
          </cell>
          <cell r="D6217" t="str">
            <v>Macosfal</v>
          </cell>
          <cell r="E6217" t="str">
            <v>BR_CNPJ</v>
          </cell>
          <cell r="F6217" t="str">
            <v>06.344.077/0001-65</v>
          </cell>
        </row>
        <row r="6218">
          <cell r="A6218">
            <v>47239</v>
          </cell>
          <cell r="B6218" t="str">
            <v>CORPORATION</v>
          </cell>
          <cell r="C6218" t="str">
            <v>Casa Dos Parafusos Maquinas E Ferramentas Ltda</v>
          </cell>
          <cell r="D6218" t="str">
            <v>Casa Dos Parafusos Maquinas E Ferramentas</v>
          </cell>
          <cell r="E6218" t="str">
            <v>BR_CNPJ</v>
          </cell>
          <cell r="F6218" t="str">
            <v>55.811.314/0001-66</v>
          </cell>
          <cell r="G6218" t="str">
            <v>CS DOS PARAF PA</v>
          </cell>
        </row>
        <row r="6219">
          <cell r="A6219">
            <v>47240</v>
          </cell>
          <cell r="B6219" t="str">
            <v>CORPORATION</v>
          </cell>
          <cell r="C6219" t="str">
            <v>Lednilson De Oliveira Ferramentas</v>
          </cell>
          <cell r="D6219" t="str">
            <v>Lele Ferramentas</v>
          </cell>
          <cell r="E6219" t="str">
            <v>BR_CNPJ</v>
          </cell>
          <cell r="F6219" t="str">
            <v>12.244.060/0001-39</v>
          </cell>
        </row>
        <row r="6220">
          <cell r="A6220">
            <v>47244</v>
          </cell>
          <cell r="B6220" t="str">
            <v>CORPORATION</v>
          </cell>
          <cell r="C6220" t="str">
            <v>Ana Lucia Da Silva Ferramentas</v>
          </cell>
          <cell r="D6220" t="str">
            <v>L A Ferramentas</v>
          </cell>
          <cell r="E6220" t="str">
            <v>BR_CNPJ</v>
          </cell>
          <cell r="F6220" t="str">
            <v>21.316.330/0001-60</v>
          </cell>
        </row>
        <row r="6221">
          <cell r="A6221">
            <v>47247</v>
          </cell>
          <cell r="B6221" t="str">
            <v>CORPORATION</v>
          </cell>
          <cell r="C6221" t="str">
            <v>Emporio Flavao Eireli</v>
          </cell>
          <cell r="D6221" t="str">
            <v>Flavao Emporio Da Construcao</v>
          </cell>
          <cell r="E6221" t="str">
            <v>BR_CNPJ</v>
          </cell>
          <cell r="F6221" t="str">
            <v>36.232.193/0001-53</v>
          </cell>
        </row>
        <row r="6222">
          <cell r="A6222">
            <v>47258</v>
          </cell>
          <cell r="B6222" t="str">
            <v>CORPORATION</v>
          </cell>
          <cell r="C6222" t="str">
            <v>S. G. Nunes Comercio E Locacao</v>
          </cell>
          <cell r="D6222" t="str">
            <v>Lider Maquinas E Ferramentas</v>
          </cell>
          <cell r="E6222" t="str">
            <v>BR_CNPJ</v>
          </cell>
          <cell r="F6222" t="str">
            <v>10.289.111/0001-13</v>
          </cell>
        </row>
        <row r="6223">
          <cell r="A6223">
            <v>47263</v>
          </cell>
          <cell r="B6223" t="str">
            <v>CORPORATION</v>
          </cell>
          <cell r="C6223" t="str">
            <v>T Soledade Silva Comercio</v>
          </cell>
          <cell r="D6223" t="str">
            <v>Guto Construcoes</v>
          </cell>
          <cell r="E6223" t="str">
            <v>BR_CNPJ</v>
          </cell>
          <cell r="F6223" t="str">
            <v>23.497.062/0001-56</v>
          </cell>
        </row>
        <row r="6224">
          <cell r="A6224">
            <v>47281</v>
          </cell>
          <cell r="B6224" t="str">
            <v>CORPORATION</v>
          </cell>
          <cell r="C6224" t="str">
            <v>Allan Vinicius Pereira Gabriel Lopes Do Val 07415828720</v>
          </cell>
          <cell r="D6224" t="str">
            <v>Allan Bazar</v>
          </cell>
          <cell r="E6224" t="str">
            <v>BR_CNPJ</v>
          </cell>
          <cell r="F6224" t="str">
            <v>14.337.599/0001-68</v>
          </cell>
        </row>
        <row r="6225">
          <cell r="A6225">
            <v>47284</v>
          </cell>
          <cell r="B6225" t="str">
            <v>CORPORATION</v>
          </cell>
          <cell r="C6225" t="str">
            <v>Wenderson Lopes Veras</v>
          </cell>
          <cell r="D6225" t="str">
            <v>Casa Das Bombas</v>
          </cell>
          <cell r="E6225" t="str">
            <v>BR_CNPJ</v>
          </cell>
          <cell r="F6225" t="str">
            <v>50.997.291/0001-02</v>
          </cell>
        </row>
        <row r="6226">
          <cell r="A6226">
            <v>47286</v>
          </cell>
          <cell r="B6226" t="str">
            <v>CORPORATION</v>
          </cell>
          <cell r="C6226" t="str">
            <v>Valler Agronegocios Ltda</v>
          </cell>
          <cell r="D6226" t="str">
            <v>Valler Agronegocios Ltda</v>
          </cell>
          <cell r="E6226" t="str">
            <v>BR_CNPJ</v>
          </cell>
          <cell r="F6226" t="str">
            <v>20.677.196/0001-60</v>
          </cell>
        </row>
        <row r="6227">
          <cell r="A6227">
            <v>47288</v>
          </cell>
          <cell r="B6227" t="str">
            <v>CORPORATION</v>
          </cell>
          <cell r="C6227" t="str">
            <v>Maria Margarete Pereira Barbosa 03637621673</v>
          </cell>
          <cell r="D6227" t="str">
            <v>Casa De Ferragem E De Racao</v>
          </cell>
          <cell r="E6227" t="str">
            <v>BR_CNPJ</v>
          </cell>
          <cell r="F6227" t="str">
            <v>37.553.056/0001-83</v>
          </cell>
        </row>
        <row r="6228">
          <cell r="A6228">
            <v>47291</v>
          </cell>
          <cell r="B6228" t="str">
            <v>CORPORATION</v>
          </cell>
          <cell r="C6228" t="str">
            <v>Led'S Materiais Eletricos Ltda</v>
          </cell>
          <cell r="D6228" t="str">
            <v>Leds Eletrica Em Geral</v>
          </cell>
          <cell r="E6228" t="str">
            <v>BR_CNPJ</v>
          </cell>
          <cell r="F6228" t="str">
            <v>14.101.815/0001-71</v>
          </cell>
        </row>
        <row r="6229">
          <cell r="A6229">
            <v>47292</v>
          </cell>
          <cell r="B6229" t="str">
            <v>CORPORATION</v>
          </cell>
          <cell r="C6229" t="str">
            <v>Agilmar Ferreira Pinto</v>
          </cell>
          <cell r="D6229" t="str">
            <v>Ferpes Distribuidora E Loja Agricola</v>
          </cell>
          <cell r="E6229" t="str">
            <v>BR_CNPJ</v>
          </cell>
          <cell r="F6229" t="str">
            <v>11.006.769/0001-33</v>
          </cell>
        </row>
        <row r="6230">
          <cell r="A6230">
            <v>47294</v>
          </cell>
          <cell r="B6230" t="str">
            <v>CORPORATION</v>
          </cell>
          <cell r="C6230" t="str">
            <v>Le Petit Solucoes E Servicos Ltda</v>
          </cell>
          <cell r="D6230" t="str">
            <v>Le Petit Solucoes E Servicos Ltda</v>
          </cell>
          <cell r="E6230" t="str">
            <v>BR_CNPJ</v>
          </cell>
          <cell r="F6230" t="str">
            <v>48.167.071/0001-00</v>
          </cell>
        </row>
        <row r="6231">
          <cell r="A6231">
            <v>47295</v>
          </cell>
          <cell r="B6231" t="str">
            <v>CORPORATION</v>
          </cell>
          <cell r="C6231" t="str">
            <v>Katia Aparecida De Carvalho Santos Carapicuiba</v>
          </cell>
          <cell r="D6231" t="str">
            <v>Katia Aparecida De Carvalho Santos Carapicuiba</v>
          </cell>
          <cell r="E6231" t="str">
            <v>BR_CNPJ</v>
          </cell>
          <cell r="F6231" t="str">
            <v>04.406.213/0001-79</v>
          </cell>
        </row>
        <row r="6232">
          <cell r="A6232">
            <v>47299</v>
          </cell>
          <cell r="B6232" t="str">
            <v>CORPORATION</v>
          </cell>
          <cell r="C6232" t="str">
            <v>Sport Center Lopes Eireli</v>
          </cell>
          <cell r="D6232" t="str">
            <v>Sport Center Lopes Eireli</v>
          </cell>
          <cell r="E6232" t="str">
            <v>BR_CNPJ</v>
          </cell>
          <cell r="F6232" t="str">
            <v>60.212.792/0001-90</v>
          </cell>
        </row>
        <row r="6233">
          <cell r="A6233">
            <v>47300</v>
          </cell>
          <cell r="B6233" t="str">
            <v>CORPORATION</v>
          </cell>
          <cell r="C6233" t="str">
            <v>Tiago - Mangueiras E Conexoes Ltda</v>
          </cell>
          <cell r="D6233" t="str">
            <v>Tiago - Mangueiras E Conexoes Ltda</v>
          </cell>
          <cell r="E6233" t="str">
            <v>BR_CNPJ</v>
          </cell>
          <cell r="F6233" t="str">
            <v>20.913.157/0001-15</v>
          </cell>
        </row>
        <row r="6234">
          <cell r="A6234">
            <v>47325</v>
          </cell>
          <cell r="B6234" t="str">
            <v>CORPORATION</v>
          </cell>
          <cell r="C6234" t="str">
            <v>Glc Maquinas E Ferramentas Ltda</v>
          </cell>
          <cell r="D6234" t="str">
            <v>Canfer Maquinas E Ferramentas</v>
          </cell>
          <cell r="E6234" t="str">
            <v>BR_CNPJ</v>
          </cell>
          <cell r="F6234" t="str">
            <v>81.390.619/0002-32</v>
          </cell>
        </row>
        <row r="6235">
          <cell r="A6235">
            <v>47326</v>
          </cell>
          <cell r="B6235" t="str">
            <v>CORPORATION</v>
          </cell>
          <cell r="C6235" t="str">
            <v>Air Planet Gases Ltda</v>
          </cell>
          <cell r="D6235" t="str">
            <v>Air Planet (Multsoldas)</v>
          </cell>
          <cell r="E6235" t="str">
            <v>BR_CNPJ</v>
          </cell>
          <cell r="F6235" t="str">
            <v>29.554.651/0001-05</v>
          </cell>
          <cell r="G6235" t="str">
            <v>MULTSOLDAS GASES</v>
          </cell>
        </row>
        <row r="6236">
          <cell r="A6236">
            <v>47337</v>
          </cell>
          <cell r="B6236" t="str">
            <v>CORPORATION</v>
          </cell>
          <cell r="C6236" t="str">
            <v>Fermad Ferragens E Madeiras Eireli</v>
          </cell>
          <cell r="D6236" t="str">
            <v>Fermad</v>
          </cell>
          <cell r="E6236" t="str">
            <v>BR_CNPJ</v>
          </cell>
          <cell r="F6236" t="str">
            <v>28.949.130/0001-94</v>
          </cell>
        </row>
        <row r="6237">
          <cell r="A6237">
            <v>47340</v>
          </cell>
          <cell r="B6237" t="str">
            <v>CORPORATION</v>
          </cell>
          <cell r="C6237" t="str">
            <v>Lider Comercio E Atacado De Ferragens E Ferramentas Eireli</v>
          </cell>
          <cell r="D6237" t="str">
            <v>Lider Ferramentas</v>
          </cell>
          <cell r="E6237" t="str">
            <v>BR_CNPJ</v>
          </cell>
          <cell r="F6237" t="str">
            <v>39.382.373/0001-00</v>
          </cell>
        </row>
        <row r="6238">
          <cell r="A6238">
            <v>47343</v>
          </cell>
          <cell r="B6238" t="str">
            <v>CORPORATION</v>
          </cell>
          <cell r="C6238" t="str">
            <v>Jd De Souza Comercio E Servicos</v>
          </cell>
          <cell r="D6238" t="str">
            <v>Inova Tratores</v>
          </cell>
          <cell r="E6238" t="str">
            <v>BR_CNPJ</v>
          </cell>
          <cell r="F6238" t="str">
            <v>28.900.236/0001-01</v>
          </cell>
        </row>
        <row r="6239">
          <cell r="A6239">
            <v>47344</v>
          </cell>
          <cell r="B6239" t="str">
            <v>CORPORATION</v>
          </cell>
          <cell r="C6239" t="str">
            <v>Eliezer Wilian Gonzaga</v>
          </cell>
          <cell r="D6239" t="str">
            <v>Hidraucenter</v>
          </cell>
          <cell r="E6239" t="str">
            <v>BR_CNPJ</v>
          </cell>
          <cell r="F6239" t="str">
            <v>12.106.028/0001-97</v>
          </cell>
        </row>
        <row r="6240">
          <cell r="A6240">
            <v>47349</v>
          </cell>
          <cell r="B6240" t="str">
            <v>CORPORATION</v>
          </cell>
          <cell r="C6240" t="str">
            <v>Acarve Comercio E Licitacoes Eireli</v>
          </cell>
          <cell r="D6240" t="str">
            <v>Acarve Comercio E Licitacoes</v>
          </cell>
          <cell r="E6240" t="str">
            <v>BR_CNPJ</v>
          </cell>
          <cell r="F6240" t="str">
            <v>35.764.167/0001-03</v>
          </cell>
        </row>
        <row r="6241">
          <cell r="A6241">
            <v>47361</v>
          </cell>
          <cell r="B6241" t="str">
            <v>CORPORATION</v>
          </cell>
          <cell r="C6241" t="str">
            <v>Maria Do Carmo Soares &amp; Cia Ltda</v>
          </cell>
          <cell r="D6241" t="str">
            <v>O Baratao Ferromar</v>
          </cell>
          <cell r="E6241" t="str">
            <v>BR_CNPJ</v>
          </cell>
          <cell r="F6241" t="str">
            <v>05.745.727/0001-11</v>
          </cell>
        </row>
        <row r="6242">
          <cell r="A6242">
            <v>47364</v>
          </cell>
          <cell r="B6242" t="str">
            <v>CORPORATION</v>
          </cell>
          <cell r="C6242" t="str">
            <v>Comercial I9 Ltda</v>
          </cell>
          <cell r="D6242" t="str">
            <v>Comercial I9</v>
          </cell>
          <cell r="E6242" t="str">
            <v>BR_CNPJ</v>
          </cell>
          <cell r="F6242" t="str">
            <v>51.633.784/0001-26</v>
          </cell>
        </row>
        <row r="6243">
          <cell r="A6243">
            <v>47374</v>
          </cell>
          <cell r="B6243" t="str">
            <v>CORPORATION</v>
          </cell>
          <cell r="C6243" t="str">
            <v>Total Soldas E Gases Ltda</v>
          </cell>
          <cell r="D6243" t="str">
            <v>Total Soldas</v>
          </cell>
          <cell r="E6243" t="str">
            <v>BR_CNPJ</v>
          </cell>
          <cell r="F6243" t="str">
            <v>01.985.818/0001-73</v>
          </cell>
        </row>
        <row r="6244">
          <cell r="A6244">
            <v>47381</v>
          </cell>
          <cell r="B6244" t="str">
            <v>CORPORATION</v>
          </cell>
          <cell r="C6244" t="str">
            <v>L&amp;G Comerio De Maquinas E Equipamentos Ltda</v>
          </cell>
          <cell r="D6244" t="str">
            <v>Baratao Pecas, Acessorios E Ferramentas</v>
          </cell>
          <cell r="E6244" t="str">
            <v>BR_CNPJ</v>
          </cell>
          <cell r="F6244" t="str">
            <v>33.944.098/0001-94</v>
          </cell>
        </row>
        <row r="6245">
          <cell r="A6245">
            <v>47396</v>
          </cell>
          <cell r="B6245" t="str">
            <v>CORPORATION</v>
          </cell>
          <cell r="C6245" t="str">
            <v>Rusti Moveis E Decoracao Ltda</v>
          </cell>
          <cell r="D6245" t="str">
            <v>Legacy Incorporadora</v>
          </cell>
          <cell r="E6245" t="str">
            <v>BR_CNPJ</v>
          </cell>
          <cell r="F6245" t="str">
            <v>35.686.593/0001-76</v>
          </cell>
        </row>
        <row r="6246">
          <cell r="A6246">
            <v>47400</v>
          </cell>
          <cell r="B6246" t="str">
            <v>CORPORATION</v>
          </cell>
          <cell r="C6246" t="str">
            <v>Vilmar Antonio De Lima</v>
          </cell>
          <cell r="D6246" t="str">
            <v>Ferragista Lima Alvarenga</v>
          </cell>
          <cell r="E6246" t="str">
            <v>BR_CNPJ</v>
          </cell>
          <cell r="F6246" t="str">
            <v>24.416.246/0001-07</v>
          </cell>
          <cell r="G6246" t="str">
            <v>FERRAGISTA LIMA ALVARENGA</v>
          </cell>
        </row>
        <row r="6247">
          <cell r="A6247">
            <v>47403</v>
          </cell>
          <cell r="B6247" t="str">
            <v>CORPORATION</v>
          </cell>
          <cell r="C6247" t="str">
            <v>Alcantara E Fonseca Comercio De Ferragens Ltda</v>
          </cell>
          <cell r="D6247" t="str">
            <v>Centro Oeste Parafusos</v>
          </cell>
          <cell r="E6247" t="str">
            <v>BR_CNPJ</v>
          </cell>
          <cell r="F6247" t="str">
            <v>10.670.267/0001-40</v>
          </cell>
          <cell r="G6247" t="str">
            <v>CENTRO OESTE</v>
          </cell>
        </row>
        <row r="6248">
          <cell r="A6248">
            <v>47407</v>
          </cell>
          <cell r="B6248" t="str">
            <v>CORPORATION</v>
          </cell>
          <cell r="C6248" t="str">
            <v>D. Zimmer Ltda</v>
          </cell>
          <cell r="D6248" t="str">
            <v>Central Agricola Eletrica Materiais</v>
          </cell>
          <cell r="E6248" t="str">
            <v>BR_CNPJ</v>
          </cell>
          <cell r="F6248" t="str">
            <v>05.097.060/0001-98</v>
          </cell>
        </row>
        <row r="6249">
          <cell r="A6249">
            <v>47408</v>
          </cell>
          <cell r="B6249" t="str">
            <v>CORPORATION</v>
          </cell>
          <cell r="C6249" t="str">
            <v>Mns Comércio De Cereais E Insumos Agropecuários Ltda</v>
          </cell>
          <cell r="D6249" t="str">
            <v>Mns Comércio De Cereais E Insumos Agropecuários Ltda</v>
          </cell>
          <cell r="E6249" t="str">
            <v>BR_CNPJ</v>
          </cell>
          <cell r="F6249" t="str">
            <v>22.553.404/0001-45</v>
          </cell>
        </row>
        <row r="6250">
          <cell r="A6250">
            <v>47410</v>
          </cell>
          <cell r="B6250" t="str">
            <v>CORPORATION</v>
          </cell>
          <cell r="C6250" t="str">
            <v>Eltec Engenharia Industria E Comercio Ltda</v>
          </cell>
          <cell r="D6250" t="str">
            <v>Casa Do Eletricista</v>
          </cell>
          <cell r="E6250" t="str">
            <v>BR_CNPJ</v>
          </cell>
          <cell r="F6250" t="str">
            <v>25.189.180/0002-03</v>
          </cell>
        </row>
        <row r="6251">
          <cell r="A6251">
            <v>47411</v>
          </cell>
          <cell r="B6251" t="str">
            <v>CORPORATION</v>
          </cell>
          <cell r="C6251" t="str">
            <v>Cisel Comercial Ltda</v>
          </cell>
          <cell r="D6251" t="str">
            <v>Cisel Comercial</v>
          </cell>
          <cell r="E6251" t="str">
            <v>BR_CNPJ</v>
          </cell>
          <cell r="F6251" t="str">
            <v>52.554.870/0001-06</v>
          </cell>
        </row>
        <row r="6252">
          <cell r="A6252">
            <v>47416</v>
          </cell>
          <cell r="B6252" t="str">
            <v>CORPORATION</v>
          </cell>
          <cell r="C6252" t="str">
            <v>E. P. Da Silva Industria E Comercio Ltda</v>
          </cell>
          <cell r="D6252" t="str">
            <v>Ferraco Industria E Comercio</v>
          </cell>
          <cell r="E6252" t="str">
            <v>BR_CNPJ</v>
          </cell>
          <cell r="F6252" t="str">
            <v>08.850.642/0001-91</v>
          </cell>
        </row>
        <row r="6253">
          <cell r="A6253">
            <v>47426</v>
          </cell>
          <cell r="B6253" t="str">
            <v>CORPORATION</v>
          </cell>
          <cell r="C6253" t="str">
            <v>Amazon Servicos De Varejo Do Brasil Ltda</v>
          </cell>
          <cell r="D6253" t="str">
            <v>Grus Amazon</v>
          </cell>
          <cell r="E6253" t="str">
            <v>BR_CNPJ</v>
          </cell>
          <cell r="F6253" t="str">
            <v>15.436.940/0003-67</v>
          </cell>
          <cell r="G6253" t="str">
            <v>AMAZON</v>
          </cell>
        </row>
        <row r="6254">
          <cell r="A6254">
            <v>47427</v>
          </cell>
          <cell r="B6254" t="str">
            <v>CORPORATION</v>
          </cell>
          <cell r="C6254" t="str">
            <v>William Rodrigo De Oliveira Vieira Ltda</v>
          </cell>
          <cell r="D6254" t="str">
            <v>W R Industria De Aluminio E Derivados</v>
          </cell>
          <cell r="E6254" t="str">
            <v>BR_CNPJ</v>
          </cell>
          <cell r="F6254" t="str">
            <v>36.123.702/0001-00</v>
          </cell>
          <cell r="G6254" t="str">
            <v>LARA JAMILLE</v>
          </cell>
        </row>
        <row r="6255">
          <cell r="A6255">
            <v>47430</v>
          </cell>
          <cell r="B6255" t="str">
            <v>CORPORATION</v>
          </cell>
          <cell r="C6255" t="str">
            <v>Amazon Servicos De Varejo Do Brasil Ltda.</v>
          </cell>
          <cell r="D6255" t="str">
            <v>Xbra Amazon</v>
          </cell>
          <cell r="E6255" t="str">
            <v>BR_CNPJ</v>
          </cell>
          <cell r="F6255" t="str">
            <v>15.436.940/0004-48</v>
          </cell>
          <cell r="G6255" t="str">
            <v>AMAZON</v>
          </cell>
        </row>
        <row r="6256">
          <cell r="A6256">
            <v>47437</v>
          </cell>
          <cell r="B6256" t="str">
            <v>CORPORATION</v>
          </cell>
          <cell r="C6256" t="str">
            <v>Iris Sousa Silva 47.693.158</v>
          </cell>
          <cell r="D6256" t="str">
            <v>Abrasivos Brasil</v>
          </cell>
          <cell r="E6256" t="str">
            <v>BR_CNPJ</v>
          </cell>
          <cell r="F6256" t="str">
            <v>47.693.158/0001-58</v>
          </cell>
        </row>
        <row r="6257">
          <cell r="A6257">
            <v>47455</v>
          </cell>
          <cell r="B6257" t="str">
            <v>CORPORATION</v>
          </cell>
          <cell r="C6257" t="str">
            <v>Sinopar Parafusos E Ferramentas Ltda</v>
          </cell>
          <cell r="D6257" t="str">
            <v>Sinopar Parafusos E Ferramentas</v>
          </cell>
          <cell r="E6257" t="str">
            <v>BR_CNPJ</v>
          </cell>
          <cell r="F6257" t="str">
            <v>31.015.584/0001-00</v>
          </cell>
        </row>
        <row r="6258">
          <cell r="A6258">
            <v>47466</v>
          </cell>
          <cell r="B6258" t="str">
            <v>CORPORATION</v>
          </cell>
          <cell r="C6258" t="str">
            <v>Rodero Pintura Eletrostatica Ltda</v>
          </cell>
          <cell r="D6258" t="str">
            <v>Rodero Pintura Eletrostatica Ltda</v>
          </cell>
          <cell r="E6258" t="str">
            <v>BR_CNPJ</v>
          </cell>
          <cell r="F6258" t="str">
            <v>11.635.936/0001-05</v>
          </cell>
        </row>
        <row r="6259">
          <cell r="A6259">
            <v>47473</v>
          </cell>
          <cell r="B6259" t="str">
            <v>CORPORATION</v>
          </cell>
          <cell r="C6259" t="str">
            <v>Vila Velha Maquinas E Equipamentos Ltda</v>
          </cell>
          <cell r="D6259" t="str">
            <v>Vila Velha Maquinas</v>
          </cell>
          <cell r="E6259" t="str">
            <v>BR_CNPJ</v>
          </cell>
          <cell r="F6259" t="str">
            <v>29.218.063/0001-09</v>
          </cell>
        </row>
        <row r="6260">
          <cell r="A6260">
            <v>47475</v>
          </cell>
          <cell r="B6260" t="str">
            <v>CORPORATION</v>
          </cell>
          <cell r="C6260" t="str">
            <v>Amazon Servicos De Varejo Do Brasil Ltda.</v>
          </cell>
          <cell r="D6260" t="str">
            <v>Xbrt Amazon</v>
          </cell>
          <cell r="E6260" t="str">
            <v>BR_CNPJ</v>
          </cell>
          <cell r="F6260" t="str">
            <v>15.436.940/0008-71</v>
          </cell>
          <cell r="G6260" t="str">
            <v>AMAZON</v>
          </cell>
        </row>
        <row r="6261">
          <cell r="A6261">
            <v>47493</v>
          </cell>
          <cell r="B6261" t="str">
            <v>CORPORATION</v>
          </cell>
          <cell r="C6261" t="str">
            <v>Mercado Da Solda Comercio De Abrasivos Ltda</v>
          </cell>
          <cell r="D6261" t="str">
            <v>Mercado Da Solda</v>
          </cell>
          <cell r="E6261" t="str">
            <v>BR_CNPJ</v>
          </cell>
          <cell r="F6261" t="str">
            <v>37.312.521/0001-94</v>
          </cell>
        </row>
        <row r="6262">
          <cell r="A6262">
            <v>47495</v>
          </cell>
          <cell r="B6262" t="str">
            <v>CORPORATION</v>
          </cell>
          <cell r="C6262" t="str">
            <v>F. L. R. Vieira</v>
          </cell>
          <cell r="D6262" t="str">
            <v>Sos Dos Serralheiros</v>
          </cell>
          <cell r="E6262" t="str">
            <v>BR_CNPJ</v>
          </cell>
          <cell r="F6262" t="str">
            <v>35.648.671/0001-48</v>
          </cell>
          <cell r="G6262" t="str">
            <v>S. H. Vieira</v>
          </cell>
        </row>
        <row r="6263">
          <cell r="A6263">
            <v>47509</v>
          </cell>
          <cell r="B6263" t="str">
            <v>CORPORATION</v>
          </cell>
          <cell r="C6263" t="str">
            <v>D Rodrigues De Oliveira</v>
          </cell>
          <cell r="D6263" t="str">
            <v>Shop Do Trabalhador</v>
          </cell>
          <cell r="E6263" t="str">
            <v>BR_CNPJ</v>
          </cell>
          <cell r="F6263" t="str">
            <v>11.156.457/0001-06</v>
          </cell>
        </row>
        <row r="6264">
          <cell r="A6264">
            <v>47511</v>
          </cell>
          <cell r="B6264" t="str">
            <v>CORPORATION</v>
          </cell>
          <cell r="C6264" t="str">
            <v>Disfer Comercio E Distribuicao De Ferramentas Ltda</v>
          </cell>
          <cell r="D6264" t="str">
            <v>Disfer</v>
          </cell>
          <cell r="E6264" t="str">
            <v>BR_CNPJ</v>
          </cell>
          <cell r="F6264" t="str">
            <v>17.232.930/0001-73</v>
          </cell>
        </row>
        <row r="6265">
          <cell r="A6265">
            <v>47513</v>
          </cell>
          <cell r="B6265" t="str">
            <v>CORPORATION</v>
          </cell>
          <cell r="C6265" t="str">
            <v>Ackilpox Ltda</v>
          </cell>
          <cell r="D6265" t="str">
            <v>Ackilpox</v>
          </cell>
          <cell r="E6265" t="str">
            <v>BR_CNPJ</v>
          </cell>
          <cell r="F6265" t="str">
            <v>21.315.227/0001-04</v>
          </cell>
        </row>
        <row r="6266">
          <cell r="A6266">
            <v>47516</v>
          </cell>
          <cell r="B6266" t="str">
            <v>CORPORATION</v>
          </cell>
          <cell r="C6266" t="str">
            <v>Claudio Hickmann</v>
          </cell>
          <cell r="D6266" t="str">
            <v>Assistência Técnica Santa Cruz</v>
          </cell>
          <cell r="E6266" t="str">
            <v>BR_CNPJ</v>
          </cell>
          <cell r="F6266" t="str">
            <v>12.340.250/0001-50</v>
          </cell>
          <cell r="G6266" t="str">
            <v>MAKINASUL</v>
          </cell>
        </row>
        <row r="6267">
          <cell r="A6267">
            <v>47517</v>
          </cell>
          <cell r="B6267" t="str">
            <v>CORPORATION</v>
          </cell>
          <cell r="C6267" t="str">
            <v>Eletromax 25 De Agosto Ltda</v>
          </cell>
          <cell r="D6267" t="str">
            <v>Eletromax 25</v>
          </cell>
          <cell r="E6267" t="str">
            <v>BR_CNPJ</v>
          </cell>
          <cell r="F6267" t="str">
            <v>13.080.862/0001-13</v>
          </cell>
        </row>
        <row r="6268">
          <cell r="A6268">
            <v>47521</v>
          </cell>
          <cell r="B6268" t="str">
            <v>CORPORATION</v>
          </cell>
          <cell r="C6268" t="str">
            <v>Parafusonorte Comercio De Ferragens Ltda</v>
          </cell>
          <cell r="D6268" t="str">
            <v>Parafusonorte Comercio De Ferragens Ltda</v>
          </cell>
          <cell r="E6268" t="str">
            <v>BR_CNPJ</v>
          </cell>
          <cell r="F6268" t="str">
            <v>19.784.104/0001-62</v>
          </cell>
        </row>
        <row r="6269">
          <cell r="A6269">
            <v>47522</v>
          </cell>
          <cell r="B6269" t="str">
            <v>CORPORATION</v>
          </cell>
          <cell r="C6269" t="str">
            <v>Hidrochagas Comercio E Servicos Ltda</v>
          </cell>
          <cell r="D6269" t="str">
            <v>Hidrochagas Comercio E Servicos Ltda</v>
          </cell>
          <cell r="E6269" t="str">
            <v>BR_CNPJ</v>
          </cell>
          <cell r="F6269" t="str">
            <v>39.691.956/0001-12</v>
          </cell>
          <cell r="G6269" t="str">
            <v>HIDROCHAGAS</v>
          </cell>
        </row>
        <row r="6270">
          <cell r="A6270">
            <v>47526</v>
          </cell>
          <cell r="B6270" t="str">
            <v>CORPORATION</v>
          </cell>
          <cell r="C6270" t="str">
            <v>Brasil Sul Ferragens Ltda</v>
          </cell>
          <cell r="D6270" t="str">
            <v>Brasil Sul Ferragens</v>
          </cell>
          <cell r="E6270" t="str">
            <v>BR_CNPJ</v>
          </cell>
          <cell r="F6270" t="str">
            <v>16.839.050/0001-05</v>
          </cell>
        </row>
        <row r="6271">
          <cell r="A6271">
            <v>47530</v>
          </cell>
          <cell r="B6271" t="str">
            <v>CORPORATION</v>
          </cell>
          <cell r="C6271" t="str">
            <v>C.G Parafusos Ltda</v>
          </cell>
          <cell r="D6271" t="str">
            <v>C.G Parafusos Maquinas E Ferramentas</v>
          </cell>
          <cell r="E6271" t="str">
            <v>BR_CNPJ</v>
          </cell>
          <cell r="F6271" t="str">
            <v>02.961.823/0001-09</v>
          </cell>
        </row>
        <row r="6272">
          <cell r="A6272">
            <v>47542</v>
          </cell>
          <cell r="B6272" t="str">
            <v>CORPORATION</v>
          </cell>
          <cell r="C6272" t="str">
            <v>Casa Do Arame Aracatuba Ferragens E Ferramentas Ltda</v>
          </cell>
          <cell r="D6272" t="str">
            <v>Casa Do Arame Aracatuba Ferragens E Ferramentas Ltda</v>
          </cell>
          <cell r="E6272" t="str">
            <v>BR_CNPJ</v>
          </cell>
          <cell r="F6272" t="str">
            <v>02.426.170/0001-68</v>
          </cell>
        </row>
        <row r="6273">
          <cell r="A6273">
            <v>47547</v>
          </cell>
          <cell r="B6273" t="str">
            <v>CORPORATION</v>
          </cell>
          <cell r="C6273" t="str">
            <v>Leila Muchail Furlani 34054049672</v>
          </cell>
          <cell r="D6273" t="str">
            <v>Homeavi</v>
          </cell>
          <cell r="E6273" t="str">
            <v>BR_CNPJ</v>
          </cell>
          <cell r="F6273" t="str">
            <v>36.443.925/0001-54</v>
          </cell>
        </row>
        <row r="6274">
          <cell r="A6274">
            <v>47555</v>
          </cell>
          <cell r="B6274" t="str">
            <v>CORPORATION</v>
          </cell>
          <cell r="C6274" t="str">
            <v>Ferramental Brasil-Maquinas E Ferramentas Ltda</v>
          </cell>
          <cell r="D6274" t="str">
            <v>Ferramental Brasil-Maquinas E Ferramentas Ltda</v>
          </cell>
          <cell r="E6274" t="str">
            <v>BR_CNPJ</v>
          </cell>
          <cell r="F6274" t="str">
            <v>61.030.342/0001-49</v>
          </cell>
        </row>
        <row r="6275">
          <cell r="A6275">
            <v>47557</v>
          </cell>
          <cell r="B6275" t="str">
            <v>CORPORATION</v>
          </cell>
          <cell r="C6275" t="str">
            <v>Amazonia Agropecuaria Limitada</v>
          </cell>
          <cell r="D6275" t="str">
            <v>Mercado Rural</v>
          </cell>
          <cell r="E6275" t="str">
            <v>BR_CNPJ</v>
          </cell>
          <cell r="F6275" t="str">
            <v>43.853.492/0001-70</v>
          </cell>
        </row>
        <row r="6276">
          <cell r="A6276">
            <v>47560</v>
          </cell>
          <cell r="B6276" t="str">
            <v>CORPORATION</v>
          </cell>
          <cell r="C6276" t="str">
            <v>Guacu Parafusos Comercio De Ferramentas Ltda</v>
          </cell>
          <cell r="D6276" t="str">
            <v>Guacu Parafusos Comercio De Ferramentas Ltda</v>
          </cell>
          <cell r="E6276" t="str">
            <v>BR_CNPJ</v>
          </cell>
          <cell r="F6276" t="str">
            <v>07.818.013/0004-64</v>
          </cell>
          <cell r="G6276" t="str">
            <v>GUACU PARAFUSOS</v>
          </cell>
        </row>
        <row r="6277">
          <cell r="A6277">
            <v>47563</v>
          </cell>
          <cell r="B6277" t="str">
            <v>CORPORATION</v>
          </cell>
          <cell r="C6277" t="str">
            <v>Guacu Parafusos Comercio De Ferramentas Ltda</v>
          </cell>
          <cell r="D6277" t="str">
            <v>Guacu Parafusos</v>
          </cell>
          <cell r="E6277" t="str">
            <v>BR_CNPJ</v>
          </cell>
          <cell r="F6277" t="str">
            <v>07.818.013/0002-00</v>
          </cell>
          <cell r="G6277" t="str">
            <v>GUACU PARAFUSOS</v>
          </cell>
        </row>
        <row r="6278">
          <cell r="A6278">
            <v>47565</v>
          </cell>
          <cell r="B6278" t="str">
            <v>CORPORATION</v>
          </cell>
          <cell r="C6278" t="str">
            <v>Kessia Dos Santos Araujo Silva</v>
          </cell>
          <cell r="D6278" t="str">
            <v>A Casa Da Mangueira E Conexoes</v>
          </cell>
          <cell r="E6278" t="str">
            <v>BR_CNPJ</v>
          </cell>
          <cell r="F6278" t="str">
            <v>42.758.612/0001-98</v>
          </cell>
        </row>
        <row r="6279">
          <cell r="A6279">
            <v>47573</v>
          </cell>
          <cell r="B6279" t="str">
            <v>CORPORATION</v>
          </cell>
          <cell r="C6279" t="str">
            <v>Mdias Comercio De Ferramentas Ltda</v>
          </cell>
          <cell r="D6279" t="str">
            <v>Mdias Ferramentas</v>
          </cell>
          <cell r="E6279" t="str">
            <v>BR_CNPJ</v>
          </cell>
          <cell r="F6279" t="str">
            <v>17.825.372/0001-50</v>
          </cell>
        </row>
        <row r="6280">
          <cell r="A6280">
            <v>47578</v>
          </cell>
          <cell r="B6280" t="str">
            <v>CORPORATION</v>
          </cell>
          <cell r="C6280" t="str">
            <v>Cooperativa Dos Plantadores De Cana Do Estado Sao Paulo</v>
          </cell>
          <cell r="D6280" t="str">
            <v>Cooplacana (Itapetininga)</v>
          </cell>
          <cell r="E6280" t="str">
            <v>BR_CNPJ</v>
          </cell>
          <cell r="F6280" t="str">
            <v>54.366.547/0034-00</v>
          </cell>
          <cell r="G6280" t="str">
            <v>COPLACANA</v>
          </cell>
        </row>
        <row r="6281">
          <cell r="A6281">
            <v>47579</v>
          </cell>
          <cell r="B6281" t="str">
            <v>CORPORATION</v>
          </cell>
          <cell r="C6281" t="str">
            <v>Sirso Aparecido De Souza 27886612825</v>
          </cell>
          <cell r="D6281" t="str">
            <v>Destak Hidrosouza</v>
          </cell>
          <cell r="E6281" t="str">
            <v>BR_CNPJ</v>
          </cell>
          <cell r="F6281" t="str">
            <v>35.507.868/0001-67</v>
          </cell>
        </row>
        <row r="6282">
          <cell r="A6282">
            <v>47582</v>
          </cell>
          <cell r="B6282" t="str">
            <v>CORPORATION</v>
          </cell>
          <cell r="C6282" t="str">
            <v>Helena J Da Silva</v>
          </cell>
          <cell r="D6282" t="str">
            <v>J Eletrodos</v>
          </cell>
          <cell r="E6282" t="str">
            <v>BR_CNPJ</v>
          </cell>
          <cell r="F6282" t="str">
            <v>17.110.849/0001-10</v>
          </cell>
        </row>
        <row r="6283">
          <cell r="A6283">
            <v>47588</v>
          </cell>
          <cell r="B6283" t="str">
            <v>CORPORATION</v>
          </cell>
          <cell r="C6283" t="str">
            <v>Ribeiro De Padua Ferragens Ltda</v>
          </cell>
          <cell r="D6283" t="str">
            <v>Ferragista Canaa</v>
          </cell>
          <cell r="E6283" t="str">
            <v>BR_CNPJ</v>
          </cell>
          <cell r="F6283" t="str">
            <v>26.162.190/0001-37</v>
          </cell>
        </row>
        <row r="6284">
          <cell r="A6284">
            <v>47593</v>
          </cell>
          <cell r="B6284" t="str">
            <v>CORPORATION</v>
          </cell>
          <cell r="C6284" t="str">
            <v>Impacto Ferro E Aco Eireli</v>
          </cell>
          <cell r="D6284" t="str">
            <v>Impacto Ferragens</v>
          </cell>
          <cell r="E6284" t="str">
            <v>BR_CNPJ</v>
          </cell>
          <cell r="F6284" t="str">
            <v>33.062.651/0001-65</v>
          </cell>
        </row>
        <row r="6285">
          <cell r="A6285">
            <v>47600</v>
          </cell>
          <cell r="B6285" t="str">
            <v>CORPORATION</v>
          </cell>
          <cell r="C6285" t="str">
            <v>Agripecas Maquinas E Pecas Agricolas Ltda</v>
          </cell>
          <cell r="D6285" t="str">
            <v>Agripecas Maquinas E Pecas Agricolas</v>
          </cell>
          <cell r="E6285" t="str">
            <v>BR_CNPJ</v>
          </cell>
          <cell r="F6285" t="str">
            <v>02.213.597/0006-92</v>
          </cell>
        </row>
        <row r="6286">
          <cell r="A6286">
            <v>47608</v>
          </cell>
          <cell r="B6286" t="str">
            <v>CORPORATION</v>
          </cell>
          <cell r="C6286" t="str">
            <v>Novapecascap Industria , Comercio E Importacao De Auto Pecas E Eletronicos Ltda</v>
          </cell>
          <cell r="D6286" t="str">
            <v>Novapecascap Industria</v>
          </cell>
          <cell r="E6286" t="str">
            <v>BR_CNPJ</v>
          </cell>
          <cell r="F6286" t="str">
            <v>35.645.544/0001-95</v>
          </cell>
          <cell r="G6286" t="str">
            <v>SCAP PEÇAS</v>
          </cell>
        </row>
        <row r="6287">
          <cell r="A6287">
            <v>47619</v>
          </cell>
          <cell r="B6287" t="str">
            <v>CORPORATION</v>
          </cell>
          <cell r="C6287" t="str">
            <v>Casa Do Serralheiro Sbo Ltda</v>
          </cell>
          <cell r="D6287" t="str">
            <v>Casa Do Serralheiro</v>
          </cell>
          <cell r="E6287" t="str">
            <v>BR_CNPJ</v>
          </cell>
          <cell r="F6287" t="str">
            <v>48.863.222/0001-64</v>
          </cell>
          <cell r="G6287" t="str">
            <v>CASA DO SERRALHEIRO</v>
          </cell>
        </row>
        <row r="6288">
          <cell r="A6288">
            <v>47623</v>
          </cell>
          <cell r="B6288" t="str">
            <v>CORPORATION</v>
          </cell>
          <cell r="C6288" t="str">
            <v>Carlos Henrique Da Costa Duarte Eireli</v>
          </cell>
          <cell r="D6288" t="str">
            <v>Hd Equipamentos</v>
          </cell>
          <cell r="E6288" t="str">
            <v>BR_CNPJ</v>
          </cell>
          <cell r="F6288" t="str">
            <v>37.572.428/0001-19</v>
          </cell>
        </row>
        <row r="6289">
          <cell r="A6289">
            <v>47633</v>
          </cell>
          <cell r="B6289" t="str">
            <v>CORPORATION</v>
          </cell>
          <cell r="C6289" t="str">
            <v>Elias Comercio De Ferramentas Ltda</v>
          </cell>
          <cell r="D6289" t="str">
            <v>Elias Comercio De Ferramentas Ltda</v>
          </cell>
          <cell r="E6289" t="str">
            <v>BR_CNPJ</v>
          </cell>
          <cell r="F6289" t="str">
            <v>57.762.874/0001-01</v>
          </cell>
        </row>
        <row r="6290">
          <cell r="A6290">
            <v>47639</v>
          </cell>
          <cell r="B6290" t="str">
            <v>CORPORATION</v>
          </cell>
          <cell r="C6290" t="str">
            <v>Compar Comercio De Parafusos E Ferragens Ltda</v>
          </cell>
          <cell r="D6290" t="str">
            <v>Compar Comercio De Parafusos E Ferragens</v>
          </cell>
          <cell r="E6290" t="str">
            <v>BR_CNPJ</v>
          </cell>
          <cell r="F6290" t="str">
            <v>07.924.922/0001-34</v>
          </cell>
        </row>
        <row r="6291">
          <cell r="A6291">
            <v>47640</v>
          </cell>
          <cell r="B6291" t="str">
            <v>CORPORATION</v>
          </cell>
          <cell r="C6291" t="str">
            <v>D F Da Silva Comercio</v>
          </cell>
          <cell r="D6291" t="str">
            <v>Distribuidora Portuguesa</v>
          </cell>
          <cell r="E6291" t="str">
            <v>BR_CNPJ</v>
          </cell>
          <cell r="F6291" t="str">
            <v>83.587.857/0001-87</v>
          </cell>
        </row>
        <row r="6292">
          <cell r="A6292">
            <v>47644</v>
          </cell>
          <cell r="B6292" t="str">
            <v>CORPORATION</v>
          </cell>
          <cell r="C6292" t="str">
            <v>Moacir Trugillo &amp; Cia Ltda</v>
          </cell>
          <cell r="D6292" t="str">
            <v>Mt Funilaria E Mecnica Industrial</v>
          </cell>
          <cell r="E6292" t="str">
            <v>BR_CNPJ</v>
          </cell>
          <cell r="F6292" t="str">
            <v>73.800.518/0001-83</v>
          </cell>
        </row>
        <row r="6293">
          <cell r="A6293">
            <v>47653</v>
          </cell>
          <cell r="B6293" t="str">
            <v>CORPORATION</v>
          </cell>
          <cell r="C6293" t="str">
            <v>Souza &amp; Bispo Ferramentas Eletricas Ltda</v>
          </cell>
          <cell r="D6293" t="str">
            <v>S B Ferramentas</v>
          </cell>
          <cell r="E6293" t="str">
            <v>BR_CNPJ</v>
          </cell>
          <cell r="F6293" t="str">
            <v>18.604.775/0001-31</v>
          </cell>
        </row>
        <row r="6294">
          <cell r="A6294">
            <v>47654</v>
          </cell>
          <cell r="B6294" t="str">
            <v>CORPORATION</v>
          </cell>
          <cell r="C6294" t="str">
            <v>S.B. Comercio De Bombas E Assistencia Ltda</v>
          </cell>
          <cell r="D6294" t="str">
            <v>Bombas S B</v>
          </cell>
          <cell r="E6294" t="str">
            <v>BR_CNPJ</v>
          </cell>
          <cell r="F6294" t="str">
            <v>46.407.565/0001-99</v>
          </cell>
        </row>
        <row r="6295">
          <cell r="A6295">
            <v>47656</v>
          </cell>
          <cell r="B6295" t="str">
            <v>CORPORATION</v>
          </cell>
          <cell r="C6295" t="str">
            <v>Porto 8 - Material Eletrico E Hidraulico Ltda</v>
          </cell>
          <cell r="D6295" t="str">
            <v>Os Gigantes</v>
          </cell>
          <cell r="E6295" t="str">
            <v>BR_CNPJ</v>
          </cell>
          <cell r="F6295" t="str">
            <v>28.840.946/0001-85</v>
          </cell>
          <cell r="G6295" t="str">
            <v>GIGANTE</v>
          </cell>
        </row>
        <row r="6296">
          <cell r="A6296">
            <v>47658</v>
          </cell>
          <cell r="B6296" t="str">
            <v>CORPORATION</v>
          </cell>
          <cell r="C6296" t="str">
            <v>Lauxen Comercio De Ferragens Ltda</v>
          </cell>
          <cell r="D6296" t="str">
            <v>Lauxen</v>
          </cell>
          <cell r="E6296" t="str">
            <v>BR_CNPJ</v>
          </cell>
          <cell r="F6296" t="str">
            <v>11.892.123/0002-81</v>
          </cell>
        </row>
        <row r="6297">
          <cell r="A6297">
            <v>47661</v>
          </cell>
          <cell r="B6297" t="str">
            <v>CORPORATION</v>
          </cell>
          <cell r="C6297" t="str">
            <v>Maquitintas Comercio De Tintas Eireli</v>
          </cell>
          <cell r="D6297" t="str">
            <v>Maquitintas</v>
          </cell>
          <cell r="E6297" t="str">
            <v>BR_CNPJ</v>
          </cell>
          <cell r="F6297" t="str">
            <v>08.187.870/0001-23</v>
          </cell>
        </row>
        <row r="6298">
          <cell r="A6298">
            <v>47664</v>
          </cell>
          <cell r="B6298" t="str">
            <v>CORPORATION</v>
          </cell>
          <cell r="C6298" t="str">
            <v>O V H Da Silva Materias Para Solda</v>
          </cell>
          <cell r="D6298" t="str">
            <v>H Weld Comercio E Servicos</v>
          </cell>
          <cell r="E6298" t="str">
            <v>BR_CNPJ</v>
          </cell>
          <cell r="F6298" t="str">
            <v>33.681.399/0001-72</v>
          </cell>
        </row>
        <row r="6299">
          <cell r="A6299">
            <v>47667</v>
          </cell>
          <cell r="B6299" t="str">
            <v>CORPORATION</v>
          </cell>
          <cell r="C6299" t="str">
            <v>Alugamaq - Locacao E Servicos Ltda</v>
          </cell>
          <cell r="D6299" t="str">
            <v>Alugamaq</v>
          </cell>
          <cell r="E6299" t="str">
            <v>BR_CNPJ</v>
          </cell>
          <cell r="F6299" t="str">
            <v>09.056.635/0001-85</v>
          </cell>
          <cell r="G6299" t="str">
            <v>BRINEL CE</v>
          </cell>
        </row>
        <row r="6300">
          <cell r="A6300">
            <v>47674</v>
          </cell>
          <cell r="B6300" t="str">
            <v>CORPORATION</v>
          </cell>
          <cell r="C6300" t="str">
            <v>Luma Parafusos E Ferramentas Ltda</v>
          </cell>
          <cell r="D6300" t="str">
            <v>Luma Parafusos E Ferramentas Ltda</v>
          </cell>
          <cell r="E6300" t="str">
            <v>BR_CNPJ</v>
          </cell>
          <cell r="F6300" t="str">
            <v>17.310.232/0001-49</v>
          </cell>
        </row>
        <row r="6301">
          <cell r="A6301">
            <v>47677</v>
          </cell>
          <cell r="B6301" t="str">
            <v>CORPORATION</v>
          </cell>
          <cell r="C6301" t="str">
            <v>Jf Soldas E Epi Ltda</v>
          </cell>
          <cell r="D6301" t="str">
            <v>Jf Soldas E Epi</v>
          </cell>
          <cell r="E6301" t="str">
            <v>BR_CNPJ</v>
          </cell>
          <cell r="F6301" t="str">
            <v>13.731.366/0001-82</v>
          </cell>
        </row>
        <row r="6302">
          <cell r="A6302">
            <v>47680</v>
          </cell>
          <cell r="B6302" t="str">
            <v>CORPORATION</v>
          </cell>
          <cell r="C6302" t="str">
            <v>Formato Ferragens E Materiais Ltda</v>
          </cell>
          <cell r="D6302" t="str">
            <v>Formato Ferragista</v>
          </cell>
          <cell r="E6302" t="str">
            <v>BR_CNPJ</v>
          </cell>
          <cell r="F6302" t="str">
            <v>05.049.237/0001-80</v>
          </cell>
        </row>
        <row r="6303">
          <cell r="A6303">
            <v>47681</v>
          </cell>
          <cell r="B6303" t="str">
            <v>CORPORATION</v>
          </cell>
          <cell r="C6303" t="str">
            <v>Nobrepap Comercio Atacadista Em Geral Ltda</v>
          </cell>
          <cell r="D6303" t="str">
            <v>Nobrepap Comercio Atacadista Em Geral Ltda</v>
          </cell>
          <cell r="E6303" t="str">
            <v>BR_CNPJ</v>
          </cell>
          <cell r="F6303" t="str">
            <v>04.858.891/0001-72</v>
          </cell>
          <cell r="G6303" t="str">
            <v>GIGANTE</v>
          </cell>
        </row>
        <row r="6304">
          <cell r="A6304">
            <v>47720</v>
          </cell>
          <cell r="B6304" t="str">
            <v>CORPORATION</v>
          </cell>
          <cell r="C6304" t="str">
            <v>So Rolamentos Ltda</v>
          </cell>
          <cell r="D6304" t="str">
            <v>Casa Dos Rolamentos</v>
          </cell>
          <cell r="E6304" t="str">
            <v>BR_CNPJ</v>
          </cell>
          <cell r="F6304" t="str">
            <v>35.157.114/0001-24</v>
          </cell>
        </row>
        <row r="6305">
          <cell r="A6305">
            <v>47739</v>
          </cell>
          <cell r="B6305" t="str">
            <v>CORPORATION</v>
          </cell>
          <cell r="C6305" t="str">
            <v>Kurumiya Comercio De Ferragens Ltda</v>
          </cell>
          <cell r="D6305" t="str">
            <v>Kurumiya Ferragens E Locacoes</v>
          </cell>
          <cell r="E6305" t="str">
            <v>BR_CNPJ</v>
          </cell>
          <cell r="F6305" t="str">
            <v>11.894.140/0001-77</v>
          </cell>
        </row>
        <row r="6306">
          <cell r="A6306">
            <v>47743</v>
          </cell>
          <cell r="B6306" t="str">
            <v>CORPORATION</v>
          </cell>
          <cell r="C6306" t="str">
            <v>Lojao Paraiba Comercial Da Construcao Ltda</v>
          </cell>
          <cell r="D6306" t="str">
            <v>Lojao Paraiba</v>
          </cell>
          <cell r="E6306" t="str">
            <v>BR_CNPJ</v>
          </cell>
          <cell r="F6306" t="str">
            <v>12.664.596/0001-03</v>
          </cell>
        </row>
        <row r="6307">
          <cell r="A6307">
            <v>47744</v>
          </cell>
          <cell r="B6307" t="str">
            <v>CORPORATION</v>
          </cell>
          <cell r="C6307" t="str">
            <v>Kuaze Tudo Comercio Ltda</v>
          </cell>
          <cell r="D6307" t="str">
            <v>Kuaze Tudo</v>
          </cell>
          <cell r="E6307" t="str">
            <v>BR_CNPJ</v>
          </cell>
          <cell r="F6307" t="str">
            <v>21.019.893/0001-97</v>
          </cell>
        </row>
        <row r="6308">
          <cell r="A6308">
            <v>47751</v>
          </cell>
          <cell r="B6308" t="str">
            <v>CORPORATION</v>
          </cell>
          <cell r="C6308" t="str">
            <v>Mercantil Uniao Comercio De Materiais Para Manutencao Industrial Ltda</v>
          </cell>
          <cell r="D6308" t="str">
            <v>Uniao Manutencao Industrial</v>
          </cell>
          <cell r="E6308" t="str">
            <v>BR_CNPJ</v>
          </cell>
          <cell r="F6308" t="str">
            <v>08.142.906/0001-52</v>
          </cell>
        </row>
        <row r="6309">
          <cell r="A6309">
            <v>47760</v>
          </cell>
          <cell r="B6309" t="str">
            <v>CORPORATION</v>
          </cell>
          <cell r="C6309" t="str">
            <v>Betel Casa E Construcao Ltda</v>
          </cell>
          <cell r="D6309" t="str">
            <v>Betel Casa E Construcao</v>
          </cell>
          <cell r="E6309" t="str">
            <v>BR_CNPJ</v>
          </cell>
          <cell r="F6309" t="str">
            <v>18.245.513/0001-28</v>
          </cell>
        </row>
        <row r="6310">
          <cell r="A6310">
            <v>47769</v>
          </cell>
          <cell r="B6310" t="str">
            <v>CORPORATION</v>
          </cell>
          <cell r="C6310" t="str">
            <v>N.F. Leite - Materiais Para Construcao</v>
          </cell>
          <cell r="D6310" t="str">
            <v>Ideal Materiais Para Construcao</v>
          </cell>
          <cell r="E6310" t="str">
            <v>BR_CNPJ</v>
          </cell>
          <cell r="F6310" t="str">
            <v>07.554.152/0001-85</v>
          </cell>
        </row>
        <row r="6311">
          <cell r="A6311">
            <v>47771</v>
          </cell>
          <cell r="B6311" t="str">
            <v>CORPORATION</v>
          </cell>
          <cell r="C6311" t="str">
            <v>Ciadiesel Bombas Injetoras Ltda</v>
          </cell>
          <cell r="D6311" t="str">
            <v>Bombas Diesel Cianorte</v>
          </cell>
          <cell r="E6311" t="str">
            <v>BR_CNPJ</v>
          </cell>
          <cell r="F6311" t="str">
            <v>82.007.279/0001-08</v>
          </cell>
        </row>
        <row r="6312">
          <cell r="A6312">
            <v>47772</v>
          </cell>
          <cell r="B6312" t="str">
            <v>CORPORATION</v>
          </cell>
          <cell r="C6312" t="str">
            <v>Rl Comercio Eletronico Ltda.</v>
          </cell>
          <cell r="D6312" t="str">
            <v>Oferta Magazine</v>
          </cell>
          <cell r="E6312" t="str">
            <v>BR_CNPJ</v>
          </cell>
          <cell r="F6312" t="str">
            <v>31.690.580/0001-10</v>
          </cell>
        </row>
        <row r="6313">
          <cell r="A6313">
            <v>47774</v>
          </cell>
          <cell r="B6313" t="str">
            <v>CORPORATION</v>
          </cell>
          <cell r="C6313" t="str">
            <v>Jocilene Da Silva Santos 00719728037</v>
          </cell>
          <cell r="D6313" t="str">
            <v>Acn Toolstore</v>
          </cell>
          <cell r="E6313" t="str">
            <v>BR_CNPJ</v>
          </cell>
          <cell r="F6313" t="str">
            <v>39.499.961/0001-28</v>
          </cell>
          <cell r="G6313" t="str">
            <v>ACN TOOLS</v>
          </cell>
        </row>
        <row r="6314">
          <cell r="A6314">
            <v>47776</v>
          </cell>
          <cell r="B6314" t="str">
            <v>CORPORATION</v>
          </cell>
          <cell r="C6314" t="str">
            <v>Casa Moreira Ferragens E Ferramentas Ltda</v>
          </cell>
          <cell r="D6314" t="str">
            <v>Casa Moreira Ferragens E Ferramentas Ltda</v>
          </cell>
          <cell r="E6314" t="str">
            <v>BR_CNPJ</v>
          </cell>
          <cell r="F6314" t="str">
            <v>44.413.502/0001-10</v>
          </cell>
        </row>
        <row r="6315">
          <cell r="A6315">
            <v>47788</v>
          </cell>
          <cell r="B6315" t="str">
            <v>CORPORATION</v>
          </cell>
          <cell r="C6315" t="str">
            <v>Alemao Comercial De Parafusos Ltda</v>
          </cell>
          <cell r="D6315" t="str">
            <v>Alemao Comercial De Parafusos Ltda</v>
          </cell>
          <cell r="E6315" t="str">
            <v>BR_CNPJ</v>
          </cell>
          <cell r="F6315" t="str">
            <v>39.641.030/0001-12</v>
          </cell>
        </row>
        <row r="6316">
          <cell r="A6316">
            <v>47794</v>
          </cell>
          <cell r="B6316" t="str">
            <v>CORPORATION</v>
          </cell>
          <cell r="C6316" t="str">
            <v>Looz Comercio De Iluminacao Ltda</v>
          </cell>
          <cell r="D6316" t="str">
            <v>Looz Comercio De Iluminacao Ltda</v>
          </cell>
          <cell r="E6316" t="str">
            <v>BR_CNPJ</v>
          </cell>
          <cell r="F6316" t="str">
            <v>44.643.318/0001-66</v>
          </cell>
        </row>
        <row r="6317">
          <cell r="A6317">
            <v>47795</v>
          </cell>
          <cell r="B6317" t="str">
            <v>CORPORATION</v>
          </cell>
          <cell r="C6317" t="str">
            <v>Imperio Comercio E Servicos De Maquinas E Ferramentas Para Jardinagem Ltda</v>
          </cell>
          <cell r="D6317" t="str">
            <v>Imperio Maquinas E Ferramentas Para Jardinagem</v>
          </cell>
          <cell r="E6317" t="str">
            <v>BR_CNPJ</v>
          </cell>
          <cell r="F6317" t="str">
            <v>13.747.566/0001-23</v>
          </cell>
        </row>
        <row r="6318">
          <cell r="A6318">
            <v>47796</v>
          </cell>
          <cell r="B6318" t="str">
            <v>CORPORATION</v>
          </cell>
          <cell r="C6318" t="str">
            <v>Barbosa E Barbosa Material De Construcao Ltda</v>
          </cell>
          <cell r="D6318" t="str">
            <v>Deposito Soles</v>
          </cell>
          <cell r="E6318" t="str">
            <v>BR_CNPJ</v>
          </cell>
          <cell r="F6318" t="str">
            <v>17.414.125/0001-60</v>
          </cell>
        </row>
        <row r="6319">
          <cell r="A6319">
            <v>47798</v>
          </cell>
          <cell r="B6319" t="str">
            <v>CORPORATION</v>
          </cell>
          <cell r="C6319" t="str">
            <v>J. Carvalho Garcia Eireli</v>
          </cell>
          <cell r="D6319" t="str">
            <v>Ferragista Espanhol</v>
          </cell>
          <cell r="E6319" t="str">
            <v>BR_CNPJ</v>
          </cell>
          <cell r="F6319" t="str">
            <v>24.450.921/0001-14</v>
          </cell>
        </row>
        <row r="6320">
          <cell r="A6320">
            <v>47800</v>
          </cell>
          <cell r="B6320" t="str">
            <v>CORPORATION</v>
          </cell>
          <cell r="C6320" t="str">
            <v>Vanderly Miguel Da Silva &amp; Cia Ltda</v>
          </cell>
          <cell r="D6320" t="str">
            <v>Comercial De Ferragens Silva</v>
          </cell>
          <cell r="E6320" t="str">
            <v>BR_CNPJ</v>
          </cell>
          <cell r="F6320" t="str">
            <v>32.938.383/0001-30</v>
          </cell>
        </row>
        <row r="6321">
          <cell r="A6321">
            <v>47801</v>
          </cell>
          <cell r="B6321" t="str">
            <v>CORPORATION</v>
          </cell>
          <cell r="C6321" t="str">
            <v>Ferragista Atacadao Dos Parafusos Ltda.</v>
          </cell>
          <cell r="D6321" t="str">
            <v>Ferragista Atacadao Dos Parafusos</v>
          </cell>
          <cell r="E6321" t="str">
            <v>BR_CNPJ</v>
          </cell>
          <cell r="F6321" t="str">
            <v>36.587.610/0001-80</v>
          </cell>
        </row>
        <row r="6322">
          <cell r="A6322">
            <v>47814</v>
          </cell>
          <cell r="B6322" t="str">
            <v>CORPORATION</v>
          </cell>
          <cell r="C6322" t="str">
            <v>Araujo E Oliveira Ferragista Ltda</v>
          </cell>
          <cell r="D6322" t="str">
            <v>Araujo Ferragens</v>
          </cell>
          <cell r="E6322" t="str">
            <v>BR_CNPJ</v>
          </cell>
          <cell r="F6322" t="str">
            <v>28.754.797/0001-31</v>
          </cell>
        </row>
        <row r="6323">
          <cell r="A6323">
            <v>47815</v>
          </cell>
          <cell r="B6323" t="str">
            <v>CORPORATION</v>
          </cell>
          <cell r="C6323" t="str">
            <v>Comafe - Comercio De Couros Maquinas E Ferramentas Ltda</v>
          </cell>
          <cell r="D6323" t="str">
            <v>Loja Ene Esse</v>
          </cell>
          <cell r="E6323" t="str">
            <v>BR_CNPJ</v>
          </cell>
          <cell r="F6323" t="str">
            <v>09.007.389/0001-71</v>
          </cell>
        </row>
        <row r="6324">
          <cell r="A6324">
            <v>47822</v>
          </cell>
          <cell r="B6324" t="str">
            <v>CORPORATION</v>
          </cell>
          <cell r="C6324" t="str">
            <v>Eletro Nacional Comercio E Representacoes Ltda</v>
          </cell>
          <cell r="D6324" t="str">
            <v>Eletro Nacional</v>
          </cell>
          <cell r="E6324" t="str">
            <v>BR_CNPJ</v>
          </cell>
          <cell r="F6324" t="str">
            <v>78.324.316/0001-26</v>
          </cell>
        </row>
        <row r="6325">
          <cell r="A6325">
            <v>47828</v>
          </cell>
          <cell r="B6325" t="str">
            <v>CORPORATION</v>
          </cell>
          <cell r="C6325" t="str">
            <v>V Kistemacher</v>
          </cell>
          <cell r="D6325" t="str">
            <v>Jamari Maquinas</v>
          </cell>
          <cell r="E6325" t="str">
            <v>BR_CNPJ</v>
          </cell>
          <cell r="F6325" t="str">
            <v>06.881.518/0001-68</v>
          </cell>
        </row>
        <row r="6326">
          <cell r="A6326">
            <v>47838</v>
          </cell>
          <cell r="B6326" t="str">
            <v>CORPORATION</v>
          </cell>
          <cell r="C6326" t="str">
            <v>Plus Solucoes Em Ferramentas Ltda</v>
          </cell>
          <cell r="D6326" t="str">
            <v>Plus Solucoes Em Ferramentas Ltda</v>
          </cell>
          <cell r="E6326" t="str">
            <v>BR_CNPJ</v>
          </cell>
          <cell r="F6326" t="str">
            <v>12.440.036/0001-75</v>
          </cell>
        </row>
        <row r="6327">
          <cell r="A6327">
            <v>47842</v>
          </cell>
          <cell r="B6327" t="str">
            <v>CORPORATION</v>
          </cell>
          <cell r="C6327" t="str">
            <v>E.C.G. Estevam</v>
          </cell>
          <cell r="D6327" t="str">
            <v>Ln Representacoes</v>
          </cell>
          <cell r="E6327" t="str">
            <v>BR_CNPJ</v>
          </cell>
          <cell r="F6327" t="str">
            <v>19.122.685/0001-77</v>
          </cell>
        </row>
        <row r="6328">
          <cell r="A6328">
            <v>47854</v>
          </cell>
          <cell r="B6328" t="str">
            <v>CORPORATION</v>
          </cell>
          <cell r="C6328" t="str">
            <v>Mns Representacoes Eireli</v>
          </cell>
          <cell r="D6328" t="str">
            <v>Mns Ferramentas</v>
          </cell>
          <cell r="E6328" t="str">
            <v>BR_CNPJ</v>
          </cell>
          <cell r="F6328" t="str">
            <v>31.552.402/0001-22</v>
          </cell>
        </row>
        <row r="6329">
          <cell r="A6329">
            <v>47855</v>
          </cell>
          <cell r="B6329" t="str">
            <v>CORPORATION</v>
          </cell>
          <cell r="C6329" t="str">
            <v>Diafer Ltda</v>
          </cell>
          <cell r="D6329" t="str">
            <v>Diafer Ponta Grossa</v>
          </cell>
          <cell r="E6329" t="str">
            <v>BR_CNPJ</v>
          </cell>
          <cell r="F6329" t="str">
            <v>04.798.677/0009-25</v>
          </cell>
          <cell r="G6329" t="str">
            <v>DIAFER</v>
          </cell>
        </row>
        <row r="6330">
          <cell r="A6330">
            <v>47874</v>
          </cell>
          <cell r="B6330" t="str">
            <v>CORPORATION</v>
          </cell>
          <cell r="C6330" t="str">
            <v>Cardoso Ferramentas Ltda</v>
          </cell>
          <cell r="D6330" t="str">
            <v>Cardoso Ferramentas</v>
          </cell>
          <cell r="E6330" t="str">
            <v>BR_CNPJ</v>
          </cell>
          <cell r="F6330" t="str">
            <v>30.232.710/0001-08</v>
          </cell>
        </row>
        <row r="6331">
          <cell r="A6331">
            <v>47875</v>
          </cell>
          <cell r="B6331" t="str">
            <v>CORPORATION</v>
          </cell>
          <cell r="C6331" t="str">
            <v>Sia Parafusos E Ferramentas Ltda</v>
          </cell>
          <cell r="D6331" t="str">
            <v>Sia Parafusos</v>
          </cell>
          <cell r="E6331" t="str">
            <v>BR_CNPJ</v>
          </cell>
          <cell r="F6331" t="str">
            <v>05.902.751/0001-17</v>
          </cell>
        </row>
        <row r="6332">
          <cell r="A6332">
            <v>47876</v>
          </cell>
          <cell r="B6332" t="str">
            <v>CORPORATION</v>
          </cell>
          <cell r="C6332" t="str">
            <v>Marco Aurelio Nogelino De Souza Equipamentos</v>
          </cell>
          <cell r="D6332" t="str">
            <v>Marcos Ferramentas</v>
          </cell>
          <cell r="E6332" t="str">
            <v>BR_CNPJ</v>
          </cell>
          <cell r="F6332" t="str">
            <v>48.051.538/0001-51</v>
          </cell>
        </row>
        <row r="6333">
          <cell r="A6333">
            <v>47880</v>
          </cell>
          <cell r="B6333" t="str">
            <v>CORPORATION</v>
          </cell>
          <cell r="C6333" t="str">
            <v>Equiparts Comercio E Equipamentos Ltda</v>
          </cell>
          <cell r="D6333" t="str">
            <v>Equiparts</v>
          </cell>
          <cell r="E6333" t="str">
            <v>BR_CNPJ</v>
          </cell>
          <cell r="F6333" t="str">
            <v>19.625.745/0001-74</v>
          </cell>
        </row>
        <row r="6334">
          <cell r="A6334">
            <v>47891</v>
          </cell>
          <cell r="B6334" t="str">
            <v>CORPORATION</v>
          </cell>
          <cell r="C6334" t="str">
            <v>Blindbox Comercio De Vidros E Ferramentas Ltda</v>
          </cell>
          <cell r="D6334" t="str">
            <v>Blindbox Servicos</v>
          </cell>
          <cell r="E6334" t="str">
            <v>BR_CNPJ</v>
          </cell>
          <cell r="F6334" t="str">
            <v>34.243.736/0001-02</v>
          </cell>
        </row>
        <row r="6335">
          <cell r="A6335">
            <v>47893</v>
          </cell>
          <cell r="B6335" t="str">
            <v>CORPORATION</v>
          </cell>
          <cell r="C6335" t="str">
            <v>Acos Paulista Ltda</v>
          </cell>
          <cell r="D6335" t="str">
            <v>Acos Paulista</v>
          </cell>
          <cell r="E6335" t="str">
            <v>BR_CNPJ</v>
          </cell>
          <cell r="F6335" t="str">
            <v>46.894.618/0001-43</v>
          </cell>
        </row>
        <row r="6336">
          <cell r="A6336">
            <v>47894</v>
          </cell>
          <cell r="B6336" t="str">
            <v>CORPORATION</v>
          </cell>
          <cell r="C6336" t="str">
            <v>Rozangela Gomes Da Silva Rodrigues</v>
          </cell>
          <cell r="D6336" t="str">
            <v>Smart Comercio De Ferragens</v>
          </cell>
          <cell r="E6336" t="str">
            <v>BR_CNPJ</v>
          </cell>
          <cell r="F6336" t="str">
            <v>28.856.031/0001-68</v>
          </cell>
        </row>
        <row r="6337">
          <cell r="A6337">
            <v>47902</v>
          </cell>
          <cell r="B6337" t="str">
            <v>CORPORATION</v>
          </cell>
          <cell r="C6337" t="str">
            <v>Soldor Tecnologia Em Soldas Eireli</v>
          </cell>
          <cell r="D6337" t="str">
            <v>Soldor Tecnologia Em Soldas Eireli</v>
          </cell>
          <cell r="E6337" t="str">
            <v>BR_CNPJ</v>
          </cell>
          <cell r="F6337" t="str">
            <v>02.794.346/0001-34</v>
          </cell>
        </row>
        <row r="6338">
          <cell r="A6338">
            <v>47904</v>
          </cell>
          <cell r="B6338" t="str">
            <v>CORPORATION</v>
          </cell>
          <cell r="C6338" t="str">
            <v>Jonas Pietro Junqueira Figueiro Ltda</v>
          </cell>
          <cell r="D6338" t="str">
            <v>Artefatos De Ferro Figueiro</v>
          </cell>
          <cell r="E6338" t="str">
            <v>BR_CNPJ</v>
          </cell>
          <cell r="F6338" t="str">
            <v>08.222.899/0001-07</v>
          </cell>
        </row>
        <row r="6339">
          <cell r="A6339">
            <v>47908</v>
          </cell>
          <cell r="B6339" t="str">
            <v>CORPORATION</v>
          </cell>
          <cell r="C6339" t="str">
            <v>Ferpar Comercio De Maquinas, Equipamentos Ltda</v>
          </cell>
          <cell r="D6339" t="str">
            <v>Ferpar Parafusos E Ferramentas</v>
          </cell>
          <cell r="E6339" t="str">
            <v>BR_CNPJ</v>
          </cell>
          <cell r="F6339" t="str">
            <v>23.119.665/0001-14</v>
          </cell>
        </row>
        <row r="6340">
          <cell r="A6340">
            <v>47924</v>
          </cell>
          <cell r="B6340" t="str">
            <v>CORPORATION</v>
          </cell>
          <cell r="C6340" t="str">
            <v>Megapar Parafusos E Ferramentas Ltda</v>
          </cell>
          <cell r="D6340" t="str">
            <v>Megapar Parafusos E Ferramentas Ltda</v>
          </cell>
          <cell r="E6340" t="str">
            <v>BR_CNPJ</v>
          </cell>
          <cell r="F6340" t="str">
            <v>12.063.563/0001-08</v>
          </cell>
        </row>
        <row r="6341">
          <cell r="A6341">
            <v>47934</v>
          </cell>
          <cell r="B6341" t="str">
            <v>CORPORATION</v>
          </cell>
          <cell r="C6341" t="str">
            <v>Quality Tools Comercio De Ferramentas Ltda</v>
          </cell>
          <cell r="D6341" t="str">
            <v>Quality Tools</v>
          </cell>
          <cell r="E6341" t="str">
            <v>BR_CNPJ</v>
          </cell>
          <cell r="F6341" t="str">
            <v>35.709.182/0001-59</v>
          </cell>
          <cell r="G6341" t="str">
            <v>QUALIDADE TOOLS</v>
          </cell>
        </row>
        <row r="6342">
          <cell r="A6342">
            <v>47949</v>
          </cell>
          <cell r="B6342" t="str">
            <v>CORPORATION</v>
          </cell>
          <cell r="C6342" t="str">
            <v>Ferraminas Maquinas E Ferramentas Ltda</v>
          </cell>
          <cell r="D6342" t="str">
            <v>Ferraminas</v>
          </cell>
          <cell r="E6342" t="str">
            <v>BR_CNPJ</v>
          </cell>
          <cell r="F6342" t="str">
            <v>19.038.069/0001-32</v>
          </cell>
          <cell r="G6342" t="str">
            <v>FERRAMINAS</v>
          </cell>
        </row>
        <row r="6343">
          <cell r="A6343">
            <v>47951</v>
          </cell>
          <cell r="B6343" t="str">
            <v>CORPORATION</v>
          </cell>
          <cell r="C6343" t="str">
            <v>Fix Implementos Rodoviarios Ltda</v>
          </cell>
          <cell r="D6343" t="str">
            <v>Fix Implementos Rodoviarios Ltda</v>
          </cell>
          <cell r="E6343" t="str">
            <v>BR_CNPJ</v>
          </cell>
          <cell r="F6343" t="str">
            <v>05.573.782/0002-52</v>
          </cell>
          <cell r="G6343" t="str">
            <v>CENTER FIX</v>
          </cell>
        </row>
        <row r="6344">
          <cell r="A6344">
            <v>47952</v>
          </cell>
          <cell r="B6344" t="str">
            <v>CORPORATION</v>
          </cell>
          <cell r="C6344" t="str">
            <v>F. Lisboa De Castro</v>
          </cell>
          <cell r="D6344" t="str">
            <v>Fercastro</v>
          </cell>
          <cell r="E6344" t="str">
            <v>BR_CNPJ</v>
          </cell>
          <cell r="F6344" t="str">
            <v>00.076.438/0001-53</v>
          </cell>
          <cell r="G6344" t="str">
            <v>FERCASTRO</v>
          </cell>
        </row>
        <row r="6345">
          <cell r="A6345">
            <v>47953</v>
          </cell>
          <cell r="B6345" t="str">
            <v>CORPORATION</v>
          </cell>
          <cell r="C6345" t="str">
            <v>Itaberaba Parafusos Ltda</v>
          </cell>
          <cell r="D6345" t="str">
            <v>Itaberaba Parafusos</v>
          </cell>
          <cell r="E6345" t="str">
            <v>BR_CNPJ</v>
          </cell>
          <cell r="F6345" t="str">
            <v>43.105.052/0001-35</v>
          </cell>
          <cell r="G6345" t="str">
            <v>BONFIM PARAF</v>
          </cell>
        </row>
        <row r="6346">
          <cell r="A6346">
            <v>47957</v>
          </cell>
          <cell r="B6346" t="str">
            <v>CORPORATION</v>
          </cell>
          <cell r="C6346" t="str">
            <v>Comercial Terra Prometida Ltda</v>
          </cell>
          <cell r="D6346" t="str">
            <v>Comercial Terra Prometida</v>
          </cell>
          <cell r="E6346" t="str">
            <v>BR_CNPJ</v>
          </cell>
          <cell r="F6346" t="str">
            <v>06.554.850/0001-18</v>
          </cell>
        </row>
        <row r="6347">
          <cell r="A6347">
            <v>47972</v>
          </cell>
          <cell r="B6347" t="str">
            <v>CORPORATION</v>
          </cell>
          <cell r="C6347" t="str">
            <v>Matheus Tuller Nery 05892850684</v>
          </cell>
          <cell r="D6347" t="str">
            <v>Matheus Tuller Nery 05892850684</v>
          </cell>
          <cell r="E6347" t="str">
            <v>BR_CNPJ</v>
          </cell>
          <cell r="F6347" t="str">
            <v>28.946.252/0001-27</v>
          </cell>
        </row>
        <row r="6348">
          <cell r="A6348">
            <v>47981</v>
          </cell>
          <cell r="B6348" t="str">
            <v>CORPORATION</v>
          </cell>
          <cell r="C6348" t="str">
            <v>G M De Oliveira Ferragista</v>
          </cell>
          <cell r="D6348" t="str">
            <v>Ferragista Perim</v>
          </cell>
          <cell r="E6348" t="str">
            <v>BR_CNPJ</v>
          </cell>
          <cell r="F6348" t="str">
            <v>30.989.938/0001-47</v>
          </cell>
        </row>
        <row r="6349">
          <cell r="A6349">
            <v>47987</v>
          </cell>
          <cell r="B6349" t="str">
            <v>CORPORATION</v>
          </cell>
          <cell r="C6349" t="str">
            <v>Forte Ferragista Ltda.</v>
          </cell>
          <cell r="D6349" t="str">
            <v>Forte Ferragista</v>
          </cell>
          <cell r="E6349" t="str">
            <v>BR_CNPJ</v>
          </cell>
          <cell r="F6349" t="str">
            <v>37.426.561/0001-67</v>
          </cell>
        </row>
        <row r="6350">
          <cell r="A6350">
            <v>47990</v>
          </cell>
          <cell r="B6350" t="str">
            <v>CORPORATION</v>
          </cell>
          <cell r="C6350" t="str">
            <v>Tatilene Eneas De Almada</v>
          </cell>
          <cell r="D6350" t="str">
            <v>Imperio Das Maquinas</v>
          </cell>
          <cell r="E6350" t="str">
            <v>BR_CNPJ</v>
          </cell>
          <cell r="F6350" t="str">
            <v>13.727.479/0001-04</v>
          </cell>
        </row>
        <row r="6351">
          <cell r="A6351">
            <v>48006</v>
          </cell>
          <cell r="B6351" t="str">
            <v>CORPORATION</v>
          </cell>
          <cell r="C6351" t="str">
            <v>Ferbras Ferragens Brasil Ltda</v>
          </cell>
          <cell r="D6351" t="str">
            <v>Ferbras Ferragens Brasil</v>
          </cell>
          <cell r="E6351" t="str">
            <v>BR_CNPJ</v>
          </cell>
          <cell r="F6351" t="str">
            <v>24.208.048/0001-58</v>
          </cell>
        </row>
        <row r="6352">
          <cell r="A6352">
            <v>48023</v>
          </cell>
          <cell r="B6352" t="str">
            <v>CORPORATION</v>
          </cell>
          <cell r="C6352" t="str">
            <v>Je Ferramentas E Ferragens Ltda</v>
          </cell>
          <cell r="D6352" t="str">
            <v>Je Ferramentas</v>
          </cell>
          <cell r="E6352" t="str">
            <v>BR_CNPJ</v>
          </cell>
          <cell r="F6352" t="str">
            <v>29.566.291/0001-61</v>
          </cell>
          <cell r="G6352" t="str">
            <v>JE FERRAMENTAS</v>
          </cell>
        </row>
        <row r="6353">
          <cell r="A6353">
            <v>48029</v>
          </cell>
          <cell r="B6353" t="str">
            <v>CORPORATION</v>
          </cell>
          <cell r="C6353" t="str">
            <v>Leticia Silva Dos Anjos 04243810109</v>
          </cell>
          <cell r="D6353" t="str">
            <v>Serralheria Rei Do Aço</v>
          </cell>
          <cell r="E6353" t="str">
            <v>BR_CNPJ</v>
          </cell>
          <cell r="F6353" t="str">
            <v>30.838.416/0001-44</v>
          </cell>
        </row>
        <row r="6354">
          <cell r="A6354">
            <v>48040</v>
          </cell>
          <cell r="B6354" t="str">
            <v>CORPORATION</v>
          </cell>
          <cell r="C6354" t="str">
            <v>Agroferragista Xavier Ltda</v>
          </cell>
          <cell r="D6354" t="str">
            <v>Agroferragista Xavier</v>
          </cell>
          <cell r="E6354" t="str">
            <v>BR_CNPJ</v>
          </cell>
          <cell r="F6354" t="str">
            <v>50.595.822/0001-30</v>
          </cell>
        </row>
        <row r="6355">
          <cell r="A6355">
            <v>48042</v>
          </cell>
          <cell r="B6355" t="str">
            <v>CORPORATION</v>
          </cell>
          <cell r="C6355" t="str">
            <v>Belem Comercio De Ferragens E Materiais Eletricos Ltda</v>
          </cell>
          <cell r="D6355" t="str">
            <v>Belem Comercial</v>
          </cell>
          <cell r="E6355" t="str">
            <v>BR_CNPJ</v>
          </cell>
          <cell r="F6355" t="str">
            <v>34.909.045/0001-03</v>
          </cell>
        </row>
        <row r="6356">
          <cell r="A6356">
            <v>48050</v>
          </cell>
          <cell r="B6356" t="str">
            <v>CORPORATION</v>
          </cell>
          <cell r="C6356" t="str">
            <v>Enildo Pereira Do Nascimento 80729398404</v>
          </cell>
          <cell r="D6356" t="str">
            <v>Enildo Pecas E Servicos</v>
          </cell>
          <cell r="E6356" t="str">
            <v>BR_CNPJ</v>
          </cell>
          <cell r="F6356" t="str">
            <v>46.713.066/0001-20</v>
          </cell>
        </row>
        <row r="6357">
          <cell r="A6357">
            <v>48066</v>
          </cell>
          <cell r="B6357" t="str">
            <v>CORPORATION</v>
          </cell>
          <cell r="C6357" t="str">
            <v>D. Soldas Equipamentos Consumiveis E Acessorios Ltda</v>
          </cell>
          <cell r="D6357" t="str">
            <v>D. Soldas Equipamentos Consumiveis E Acessorios Ltda</v>
          </cell>
          <cell r="E6357" t="str">
            <v>BR_CNPJ</v>
          </cell>
          <cell r="F6357" t="str">
            <v>38.081.497/0001-92</v>
          </cell>
          <cell r="G6357" t="str">
            <v>D SOLDAS</v>
          </cell>
        </row>
        <row r="6358">
          <cell r="A6358">
            <v>48067</v>
          </cell>
          <cell r="B6358" t="str">
            <v>CORPORATION</v>
          </cell>
          <cell r="C6358" t="str">
            <v>Cobre Comercial De Parafusos E Ferramentas Ltda</v>
          </cell>
          <cell r="D6358" t="str">
            <v>Cobre Parafusos</v>
          </cell>
          <cell r="E6358" t="str">
            <v>BR_CNPJ</v>
          </cell>
          <cell r="F6358" t="str">
            <v>36.615.780/0001-21</v>
          </cell>
        </row>
        <row r="6359">
          <cell r="A6359">
            <v>48071</v>
          </cell>
          <cell r="B6359" t="str">
            <v>CORPORATION</v>
          </cell>
          <cell r="C6359" t="str">
            <v>Correia &amp; Ferreira Comercio De Ferramentas Ltda</v>
          </cell>
          <cell r="D6359" t="str">
            <v>Norte E Sul Agricola</v>
          </cell>
          <cell r="E6359" t="str">
            <v>BR_CNPJ</v>
          </cell>
          <cell r="F6359" t="str">
            <v>55.813.641/0001-57</v>
          </cell>
        </row>
        <row r="6360">
          <cell r="A6360">
            <v>48080</v>
          </cell>
          <cell r="B6360" t="str">
            <v>CORPORATION</v>
          </cell>
          <cell r="C6360" t="str">
            <v>J. C. Alves Da Silva</v>
          </cell>
          <cell r="D6360" t="str">
            <v>J.J. Abrasivos E Ferramentas - Me</v>
          </cell>
          <cell r="E6360" t="str">
            <v>BR_CNPJ</v>
          </cell>
          <cell r="F6360" t="str">
            <v>10.752.341/0001-77</v>
          </cell>
        </row>
        <row r="6361">
          <cell r="A6361">
            <v>48090</v>
          </cell>
          <cell r="B6361" t="str">
            <v>CORPORATION</v>
          </cell>
          <cell r="C6361" t="str">
            <v>Ouroloc Locacoes De Equipamentos Ltda</v>
          </cell>
          <cell r="D6361" t="str">
            <v>Ouroloc Locacoes</v>
          </cell>
          <cell r="E6361" t="str">
            <v>BR_CNPJ</v>
          </cell>
          <cell r="F6361" t="str">
            <v>21.977.821/0001-52</v>
          </cell>
        </row>
        <row r="6362">
          <cell r="A6362">
            <v>48105</v>
          </cell>
          <cell r="B6362" t="str">
            <v>CORPORATION</v>
          </cell>
          <cell r="C6362" t="str">
            <v>Farmaia Ltda</v>
          </cell>
          <cell r="D6362" t="str">
            <v>Farmaia</v>
          </cell>
          <cell r="E6362" t="str">
            <v>BR_CNPJ</v>
          </cell>
          <cell r="F6362" t="str">
            <v>47.126.880/0001-00</v>
          </cell>
        </row>
        <row r="6363">
          <cell r="A6363">
            <v>48107</v>
          </cell>
          <cell r="B6363" t="str">
            <v>CORPORATION</v>
          </cell>
          <cell r="C6363" t="str">
            <v>Stival &amp; Spanhol Ltda</v>
          </cell>
          <cell r="D6363" t="str">
            <v>Casa Nova</v>
          </cell>
          <cell r="E6363" t="str">
            <v>BR_CNPJ</v>
          </cell>
          <cell r="F6363" t="str">
            <v>08.013.395/0001-79</v>
          </cell>
        </row>
        <row r="6364">
          <cell r="A6364">
            <v>48153</v>
          </cell>
          <cell r="B6364" t="str">
            <v>CORPORATION</v>
          </cell>
          <cell r="C6364" t="str">
            <v>B A Eletrica Ltda</v>
          </cell>
          <cell r="D6364" t="str">
            <v>B A Eletrica Ltda(Filial)</v>
          </cell>
          <cell r="E6364" t="str">
            <v>BR_CNPJ</v>
          </cell>
          <cell r="F6364" t="str">
            <v>02.887.535/0003-13</v>
          </cell>
          <cell r="G6364" t="str">
            <v>B A ELETRICA</v>
          </cell>
        </row>
        <row r="6365">
          <cell r="A6365">
            <v>48172</v>
          </cell>
          <cell r="B6365" t="str">
            <v>CORPORATION</v>
          </cell>
          <cell r="C6365" t="str">
            <v>Technotintas Comercio Ltda</v>
          </cell>
          <cell r="D6365" t="str">
            <v>Technotintas</v>
          </cell>
          <cell r="E6365" t="str">
            <v>BR_CNPJ</v>
          </cell>
          <cell r="F6365" t="str">
            <v>13.159.493/0001-59</v>
          </cell>
        </row>
        <row r="6366">
          <cell r="A6366">
            <v>48182</v>
          </cell>
          <cell r="B6366" t="str">
            <v>CORPORATION</v>
          </cell>
          <cell r="C6366" t="str">
            <v>Nascimento Ferragista Ltda</v>
          </cell>
          <cell r="D6366" t="str">
            <v>Ferragista Goiana</v>
          </cell>
          <cell r="E6366" t="str">
            <v>BR_CNPJ</v>
          </cell>
          <cell r="F6366" t="str">
            <v>19.090.040/0001-08</v>
          </cell>
        </row>
        <row r="6367">
          <cell r="A6367">
            <v>48184</v>
          </cell>
          <cell r="B6367" t="str">
            <v>CORPORATION</v>
          </cell>
          <cell r="C6367" t="str">
            <v>Romilson Fernandes Silva</v>
          </cell>
          <cell r="D6367" t="str">
            <v>Visao Utilidades</v>
          </cell>
          <cell r="E6367" t="str">
            <v>BR_CNPJ</v>
          </cell>
          <cell r="F6367" t="str">
            <v>20.586.168/0001-38</v>
          </cell>
        </row>
        <row r="6368">
          <cell r="A6368">
            <v>48185</v>
          </cell>
          <cell r="B6368" t="str">
            <v>CORPORATION</v>
          </cell>
          <cell r="C6368" t="str">
            <v>Js Metalcenter Ltda.</v>
          </cell>
          <cell r="D6368" t="str">
            <v>Js Metalcenter</v>
          </cell>
          <cell r="E6368" t="str">
            <v>BR_CNPJ</v>
          </cell>
          <cell r="F6368" t="str">
            <v>08.363.267/0001-55</v>
          </cell>
        </row>
        <row r="6369">
          <cell r="A6369">
            <v>48193</v>
          </cell>
          <cell r="B6369" t="str">
            <v>CORPORATION</v>
          </cell>
          <cell r="C6369" t="str">
            <v>Cascavel Soldas Comercio De Abrasivos Ltda</v>
          </cell>
          <cell r="D6369" t="str">
            <v>Cascavel Soldas</v>
          </cell>
          <cell r="E6369" t="str">
            <v>BR_CNPJ</v>
          </cell>
          <cell r="F6369" t="str">
            <v>08.262.604/0001-18</v>
          </cell>
          <cell r="G6369" t="str">
            <v>CASCAVEL</v>
          </cell>
        </row>
        <row r="6370">
          <cell r="A6370">
            <v>48195</v>
          </cell>
          <cell r="B6370" t="str">
            <v>CORPORATION</v>
          </cell>
          <cell r="C6370" t="str">
            <v>42.504.584 Elcio Garcia Junior</v>
          </cell>
          <cell r="D6370" t="str">
            <v>Garcia Hand Made Company</v>
          </cell>
          <cell r="E6370" t="str">
            <v>BR_CNPJ</v>
          </cell>
          <cell r="F6370" t="str">
            <v>42.504.584/0001-82</v>
          </cell>
        </row>
        <row r="6371">
          <cell r="A6371">
            <v>48198</v>
          </cell>
          <cell r="B6371" t="str">
            <v>CORPORATION</v>
          </cell>
          <cell r="C6371" t="str">
            <v>R. Da C. Barros Comercio E Servicos</v>
          </cell>
          <cell r="D6371" t="str">
            <v>Mef - Manutencao E Locacao De Equipamentos</v>
          </cell>
          <cell r="E6371" t="str">
            <v>BR_CNPJ</v>
          </cell>
          <cell r="F6371" t="str">
            <v>22.379.625/0001-49</v>
          </cell>
        </row>
        <row r="6372">
          <cell r="A6372">
            <v>48202</v>
          </cell>
          <cell r="B6372" t="str">
            <v>CORPORATION</v>
          </cell>
          <cell r="C6372" t="str">
            <v>Foco Equipamentos De Protecao Individual Ltda</v>
          </cell>
          <cell r="D6372" t="str">
            <v>Foco Epi</v>
          </cell>
          <cell r="E6372" t="str">
            <v>BR_CNPJ</v>
          </cell>
          <cell r="F6372" t="str">
            <v>43.600.525/0001-70</v>
          </cell>
        </row>
        <row r="6373">
          <cell r="A6373">
            <v>48205</v>
          </cell>
          <cell r="B6373" t="str">
            <v>CORPORATION</v>
          </cell>
          <cell r="C6373" t="str">
            <v>R S Saviczki Comercio Ltda</v>
          </cell>
          <cell r="D6373" t="str">
            <v>Supermercado Saviczki</v>
          </cell>
          <cell r="E6373" t="str">
            <v>BR_CNPJ</v>
          </cell>
          <cell r="F6373" t="str">
            <v>18.582.859/0001-11</v>
          </cell>
        </row>
        <row r="6374">
          <cell r="A6374">
            <v>48213</v>
          </cell>
          <cell r="B6374" t="str">
            <v>CORPORATION</v>
          </cell>
          <cell r="C6374" t="str">
            <v>Jna Comercial Importacao E Exportacao De Ferramentas</v>
          </cell>
          <cell r="D6374" t="str">
            <v>Jna Comercial</v>
          </cell>
          <cell r="E6374" t="str">
            <v>BR_CNPJ</v>
          </cell>
          <cell r="F6374" t="str">
            <v>23.431.536/0001-67</v>
          </cell>
        </row>
        <row r="6375">
          <cell r="A6375">
            <v>48216</v>
          </cell>
          <cell r="B6375" t="str">
            <v>CORPORATION</v>
          </cell>
          <cell r="C6375" t="str">
            <v>Rw Comercio De Equipamentos De Protecao E Ferramentas Ltda</v>
          </cell>
          <cell r="D6375" t="str">
            <v>Rw Equipamentos</v>
          </cell>
          <cell r="E6375" t="str">
            <v>BR_CNPJ</v>
          </cell>
          <cell r="F6375" t="str">
            <v>31.883.338/0001-62</v>
          </cell>
        </row>
        <row r="6376">
          <cell r="A6376">
            <v>48250</v>
          </cell>
          <cell r="B6376" t="str">
            <v>CORPORATION</v>
          </cell>
          <cell r="C6376" t="str">
            <v>Hgea Eletronica Ltda</v>
          </cell>
          <cell r="D6376" t="str">
            <v>Hga</v>
          </cell>
          <cell r="E6376" t="str">
            <v>BR_CNPJ</v>
          </cell>
          <cell r="F6376" t="str">
            <v>31.932.814/0001-98</v>
          </cell>
        </row>
        <row r="6377">
          <cell r="A6377">
            <v>48257</v>
          </cell>
          <cell r="B6377" t="str">
            <v>CORPORATION</v>
          </cell>
          <cell r="C6377" t="str">
            <v>Ricardo Jose Legrazie Junior</v>
          </cell>
          <cell r="D6377" t="str">
            <v>Comercial Legrazie</v>
          </cell>
          <cell r="E6377" t="str">
            <v>BR_CNPJ</v>
          </cell>
          <cell r="F6377" t="str">
            <v>21.150.203/0001-34</v>
          </cell>
        </row>
        <row r="6378">
          <cell r="A6378">
            <v>48273</v>
          </cell>
          <cell r="B6378" t="str">
            <v>CORPORATION</v>
          </cell>
          <cell r="C6378" t="str">
            <v>Tj Materiais De Construcao Ltda</v>
          </cell>
          <cell r="D6378" t="str">
            <v>Supraco Ferragista E Materiais De Construcao</v>
          </cell>
          <cell r="E6378" t="str">
            <v>BR_CNPJ</v>
          </cell>
          <cell r="F6378" t="str">
            <v>48.972.104/0001-94</v>
          </cell>
        </row>
        <row r="6379">
          <cell r="A6379">
            <v>48275</v>
          </cell>
          <cell r="B6379" t="str">
            <v>CORPORATION</v>
          </cell>
          <cell r="C6379" t="str">
            <v>Darlei Jose Trigolo Ballejo 01462659802</v>
          </cell>
          <cell r="D6379" t="str">
            <v>Alef Comercio De Produtos De Limpeza</v>
          </cell>
          <cell r="E6379" t="str">
            <v>BR_CNPJ</v>
          </cell>
          <cell r="F6379" t="str">
            <v>36.561.657/0001-75</v>
          </cell>
        </row>
        <row r="6380">
          <cell r="A6380">
            <v>48277</v>
          </cell>
          <cell r="B6380" t="str">
            <v>CORPORATION</v>
          </cell>
          <cell r="C6380" t="str">
            <v>S S Cardoso Ltda</v>
          </cell>
          <cell r="D6380" t="str">
            <v>S S Cardoso</v>
          </cell>
          <cell r="E6380" t="str">
            <v>BR_CNPJ</v>
          </cell>
          <cell r="F6380" t="str">
            <v>20.141.397/0001-49</v>
          </cell>
        </row>
        <row r="6381">
          <cell r="A6381">
            <v>48280</v>
          </cell>
          <cell r="B6381" t="str">
            <v>CORPORATION</v>
          </cell>
          <cell r="C6381" t="str">
            <v>Jprado Ferramentas E Ferragens Ltda</v>
          </cell>
          <cell r="D6381" t="str">
            <v>Jprado Ferramentas E Ferragens</v>
          </cell>
          <cell r="E6381" t="str">
            <v>BR_CNPJ</v>
          </cell>
          <cell r="F6381" t="str">
            <v>45.425.259/0001-12</v>
          </cell>
        </row>
        <row r="6382">
          <cell r="A6382">
            <v>48281</v>
          </cell>
          <cell r="B6382" t="str">
            <v>CORPORATION</v>
          </cell>
          <cell r="C6382" t="str">
            <v>Souza Tec Comercio E Servico Eireli</v>
          </cell>
          <cell r="D6382" t="str">
            <v>Souza Tec Comercio E Servico Eireli</v>
          </cell>
          <cell r="E6382" t="str">
            <v>BR_CNPJ</v>
          </cell>
          <cell r="F6382" t="str">
            <v>39.412.830/0001-61</v>
          </cell>
        </row>
        <row r="6383">
          <cell r="A6383">
            <v>48289</v>
          </cell>
          <cell r="B6383" t="str">
            <v>CORPORATION</v>
          </cell>
          <cell r="C6383" t="str">
            <v>Soeli Lesniowski Przybysz</v>
          </cell>
          <cell r="D6383" t="str">
            <v>Marechal Ferragens</v>
          </cell>
          <cell r="E6383" t="str">
            <v>BR_CNPJ</v>
          </cell>
          <cell r="F6383" t="str">
            <v>46.051.940/0001-00</v>
          </cell>
        </row>
        <row r="6384">
          <cell r="A6384">
            <v>48301</v>
          </cell>
          <cell r="B6384" t="str">
            <v>CORPORATION</v>
          </cell>
          <cell r="C6384" t="str">
            <v>Galua Solucoes Industriais Ltda</v>
          </cell>
          <cell r="D6384" t="str">
            <v>Comercial Galua</v>
          </cell>
          <cell r="E6384" t="str">
            <v>BR_CNPJ</v>
          </cell>
          <cell r="F6384" t="str">
            <v>23.973.668/0001-10</v>
          </cell>
        </row>
        <row r="6385">
          <cell r="A6385">
            <v>48303</v>
          </cell>
          <cell r="B6385" t="str">
            <v>CORPORATION</v>
          </cell>
          <cell r="C6385" t="str">
            <v>P &amp; B Acabamentos Ltda</v>
          </cell>
          <cell r="D6385" t="str">
            <v>G G Acabamentos</v>
          </cell>
          <cell r="E6385" t="str">
            <v>BR_CNPJ</v>
          </cell>
          <cell r="F6385" t="str">
            <v>13.501.819/0001-84</v>
          </cell>
          <cell r="G6385" t="str">
            <v>GG</v>
          </cell>
        </row>
        <row r="6386">
          <cell r="A6386">
            <v>48338</v>
          </cell>
          <cell r="B6386" t="str">
            <v>CORPORATION</v>
          </cell>
          <cell r="C6386" t="str">
            <v>Djalma Bezerra Da Costa 62387669304</v>
          </cell>
          <cell r="D6386" t="str">
            <v>Luz Eletrica</v>
          </cell>
          <cell r="E6386" t="str">
            <v>BR_CNPJ</v>
          </cell>
          <cell r="F6386" t="str">
            <v>17.791.141/0001-72</v>
          </cell>
        </row>
        <row r="6387">
          <cell r="A6387">
            <v>48342</v>
          </cell>
          <cell r="B6387" t="str">
            <v>CORPORATION</v>
          </cell>
          <cell r="C6387" t="str">
            <v>Hst Nordeste Comercio De Ferramentas Ltda</v>
          </cell>
          <cell r="D6387" t="str">
            <v>Hst Nordeste Comercio De Ferramentas Ltda</v>
          </cell>
          <cell r="E6387" t="str">
            <v>BR_CNPJ</v>
          </cell>
          <cell r="F6387" t="str">
            <v>24.857.846/0001-00</v>
          </cell>
        </row>
        <row r="6388">
          <cell r="A6388">
            <v>48351</v>
          </cell>
          <cell r="B6388" t="str">
            <v>CORPORATION</v>
          </cell>
          <cell r="C6388" t="str">
            <v>Cisne Comercial De Ferragens Ltda</v>
          </cell>
          <cell r="D6388" t="str">
            <v>Thomaz Parafuso</v>
          </cell>
          <cell r="E6388" t="str">
            <v>BR_CNPJ</v>
          </cell>
          <cell r="F6388" t="str">
            <v>15.084.206/0001-14</v>
          </cell>
        </row>
        <row r="6389">
          <cell r="A6389">
            <v>48352</v>
          </cell>
          <cell r="B6389" t="str">
            <v>CORPORATION</v>
          </cell>
          <cell r="C6389" t="str">
            <v>Ferragens Brasil Atacarejo Ltda</v>
          </cell>
          <cell r="D6389" t="str">
            <v>Casas Das Ferragens</v>
          </cell>
          <cell r="E6389" t="str">
            <v>BR_CNPJ</v>
          </cell>
          <cell r="F6389" t="str">
            <v>14.354.544/0001-66</v>
          </cell>
        </row>
        <row r="6390">
          <cell r="A6390">
            <v>48353</v>
          </cell>
          <cell r="B6390" t="str">
            <v>CORPORATION</v>
          </cell>
          <cell r="C6390" t="str">
            <v>Deib Martins De Souza</v>
          </cell>
          <cell r="D6390" t="str">
            <v>Sinep - Sistema De Inovacao Em Engenharia E Produto</v>
          </cell>
          <cell r="E6390" t="str">
            <v>BR_CNPJ</v>
          </cell>
          <cell r="F6390" t="str">
            <v>05.967.068/0001-68</v>
          </cell>
        </row>
        <row r="6391">
          <cell r="A6391">
            <v>48357</v>
          </cell>
          <cell r="B6391" t="str">
            <v>CORPORATION</v>
          </cell>
          <cell r="C6391" t="str">
            <v>Maria Creuza Dos Santos De Conquista</v>
          </cell>
          <cell r="D6391" t="str">
            <v>Tozzo Soldas E Abrasivos</v>
          </cell>
          <cell r="E6391" t="str">
            <v>BR_CNPJ</v>
          </cell>
          <cell r="F6391" t="str">
            <v>00.122.401/0001-14</v>
          </cell>
        </row>
        <row r="6392">
          <cell r="A6392">
            <v>48359</v>
          </cell>
          <cell r="B6392" t="str">
            <v>CORPORATION</v>
          </cell>
          <cell r="C6392" t="str">
            <v>Psc Comércio De Parafusos Ltda</v>
          </cell>
          <cell r="D6392" t="str">
            <v>Comercial Sales</v>
          </cell>
          <cell r="E6392" t="str">
            <v>BR_CNPJ</v>
          </cell>
          <cell r="F6392" t="str">
            <v>00.528.402/0001-63</v>
          </cell>
        </row>
        <row r="6393">
          <cell r="A6393">
            <v>48364</v>
          </cell>
          <cell r="B6393" t="str">
            <v>CORPORATION</v>
          </cell>
          <cell r="C6393" t="str">
            <v>Apy Soldas Comercio E Servicos De Soldas Pecas E Acessorios Ltda</v>
          </cell>
          <cell r="D6393" t="str">
            <v>Apy Soldas</v>
          </cell>
          <cell r="E6393" t="str">
            <v>BR_CNPJ</v>
          </cell>
          <cell r="F6393" t="str">
            <v>48.813.626/0001-43</v>
          </cell>
        </row>
        <row r="6394">
          <cell r="A6394">
            <v>48369</v>
          </cell>
          <cell r="B6394" t="str">
            <v>CORPORATION</v>
          </cell>
          <cell r="C6394" t="str">
            <v>48.600.277 Jonathan Petterson De Freitas</v>
          </cell>
          <cell r="D6394" t="str">
            <v>48.600.277 Jonathan Petterson De Freitas (Gemac)</v>
          </cell>
          <cell r="E6394" t="str">
            <v>BR_CNPJ</v>
          </cell>
          <cell r="F6394" t="str">
            <v>48.600.277/0001-81</v>
          </cell>
          <cell r="G6394" t="str">
            <v>GEMAC</v>
          </cell>
        </row>
        <row r="6395">
          <cell r="A6395">
            <v>48371</v>
          </cell>
          <cell r="B6395" t="str">
            <v>CORPORATION</v>
          </cell>
          <cell r="C6395" t="str">
            <v>Loja Fix Comercio Varejista Eletroeletronicos E Suas Pecas On Line Ltda</v>
          </cell>
          <cell r="D6395" t="str">
            <v>Loja Fix Comercio Varejista Eletroeletronicos E Suas Pecas On Line Ltda</v>
          </cell>
          <cell r="E6395" t="str">
            <v>BR_CNPJ</v>
          </cell>
          <cell r="F6395" t="str">
            <v>37.975.714/0001-25</v>
          </cell>
          <cell r="G6395" t="str">
            <v>CENTER FIX</v>
          </cell>
        </row>
        <row r="6396">
          <cell r="A6396">
            <v>48387</v>
          </cell>
          <cell r="B6396" t="str">
            <v>CORPORATION</v>
          </cell>
          <cell r="C6396" t="str">
            <v>Casa Azul Ferragista Ltda</v>
          </cell>
          <cell r="D6396" t="str">
            <v>Casa Azul</v>
          </cell>
          <cell r="E6396" t="str">
            <v>BR_CNPJ</v>
          </cell>
          <cell r="F6396" t="str">
            <v>33.057.038/0001-50</v>
          </cell>
        </row>
        <row r="6397">
          <cell r="A6397">
            <v>48394</v>
          </cell>
          <cell r="B6397" t="str">
            <v>CORPORATION</v>
          </cell>
          <cell r="C6397" t="str">
            <v>Hbr Comercio De Pneumaticos E Ferramentas Ltda</v>
          </cell>
          <cell r="D6397" t="str">
            <v>Hbr Flex</v>
          </cell>
          <cell r="E6397" t="str">
            <v>BR_CNPJ</v>
          </cell>
          <cell r="F6397" t="str">
            <v>29.816.344/0003-17</v>
          </cell>
          <cell r="G6397" t="str">
            <v>MGM FERRAMENTAS</v>
          </cell>
        </row>
        <row r="6398">
          <cell r="A6398">
            <v>48398</v>
          </cell>
          <cell r="B6398" t="str">
            <v>CORPORATION</v>
          </cell>
          <cell r="C6398" t="str">
            <v>Maria Rosimar Xavier Souza</v>
          </cell>
          <cell r="D6398" t="str">
            <v>Casa Dos Parafusos</v>
          </cell>
          <cell r="E6398" t="str">
            <v>BR_CNPJ</v>
          </cell>
          <cell r="F6398" t="str">
            <v>18.359.439/0001-70</v>
          </cell>
        </row>
        <row r="6399">
          <cell r="A6399">
            <v>48412</v>
          </cell>
          <cell r="B6399" t="str">
            <v>CORPORATION</v>
          </cell>
          <cell r="C6399" t="str">
            <v>Ball Ferramentas E Acessorios Para Manutencao Ltda</v>
          </cell>
          <cell r="D6399" t="str">
            <v>Ball Ferramentas E Acessorios Para Sua Manutencao</v>
          </cell>
          <cell r="E6399" t="str">
            <v>BR_CNPJ</v>
          </cell>
          <cell r="F6399" t="str">
            <v>44.663.181/0001-01</v>
          </cell>
        </row>
        <row r="6400">
          <cell r="A6400">
            <v>48419</v>
          </cell>
          <cell r="B6400" t="str">
            <v>CORPORATION</v>
          </cell>
          <cell r="C6400" t="str">
            <v>Megaferr Comercio De Ferramentas Ltda</v>
          </cell>
          <cell r="D6400" t="str">
            <v>Megaferr</v>
          </cell>
          <cell r="E6400" t="str">
            <v>BR_CNPJ</v>
          </cell>
          <cell r="F6400" t="str">
            <v>06.926.367/0001-17</v>
          </cell>
        </row>
        <row r="6401">
          <cell r="A6401">
            <v>48426</v>
          </cell>
          <cell r="B6401" t="str">
            <v>CORPORATION</v>
          </cell>
          <cell r="C6401" t="str">
            <v>Odesio Cunha Filho &amp; Cia Ltda</v>
          </cell>
          <cell r="D6401" t="str">
            <v>Odesio Cunha Filho &amp; Cia Ltda</v>
          </cell>
          <cell r="E6401" t="str">
            <v>BR_CNPJ</v>
          </cell>
          <cell r="F6401" t="str">
            <v>06.923.197/0001-17</v>
          </cell>
        </row>
        <row r="6402">
          <cell r="A6402">
            <v>48428</v>
          </cell>
          <cell r="B6402" t="str">
            <v>CORPORATION</v>
          </cell>
          <cell r="C6402" t="str">
            <v>Parafusao Ferragista Ltda</v>
          </cell>
          <cell r="D6402" t="str">
            <v>Parafusao Ferragista</v>
          </cell>
          <cell r="E6402" t="str">
            <v>BR_CNPJ</v>
          </cell>
          <cell r="F6402" t="str">
            <v>47.150.341/0001-07</v>
          </cell>
          <cell r="G6402" t="str">
            <v>PARAFUSÃO FERRAGISTA</v>
          </cell>
        </row>
        <row r="6403">
          <cell r="A6403">
            <v>48432</v>
          </cell>
          <cell r="B6403" t="str">
            <v>CORPORATION</v>
          </cell>
          <cell r="C6403" t="str">
            <v>Marcelo Sancho Souto 34235044800</v>
          </cell>
          <cell r="D6403" t="str">
            <v>Casa Du Construtor</v>
          </cell>
          <cell r="E6403" t="str">
            <v>BR_CNPJ</v>
          </cell>
          <cell r="F6403" t="str">
            <v>33.882.908/0001-25</v>
          </cell>
        </row>
        <row r="6404">
          <cell r="A6404">
            <v>48435</v>
          </cell>
          <cell r="B6404" t="str">
            <v>CORPORATION</v>
          </cell>
          <cell r="C6404" t="str">
            <v>Pmke Comercio De Moto Pecas Ltda</v>
          </cell>
          <cell r="D6404" t="str">
            <v>Gramotos</v>
          </cell>
          <cell r="E6404" t="str">
            <v>BR_CNPJ</v>
          </cell>
          <cell r="F6404" t="str">
            <v>31.829.607/0001-02</v>
          </cell>
          <cell r="G6404" t="str">
            <v>GRAMOTOS</v>
          </cell>
        </row>
        <row r="6405">
          <cell r="A6405">
            <v>48437</v>
          </cell>
          <cell r="B6405" t="str">
            <v>CORPORATION</v>
          </cell>
          <cell r="C6405" t="str">
            <v>Vip Materiais Eletricos, Hidraulicos, Tintas E Materiais Para Construcao Ltda</v>
          </cell>
          <cell r="D6405" t="str">
            <v>Vip Materiais Eletricos</v>
          </cell>
          <cell r="E6405" t="str">
            <v>BR_CNPJ</v>
          </cell>
          <cell r="F6405" t="str">
            <v>10.328.386/0001-19</v>
          </cell>
        </row>
        <row r="6406">
          <cell r="A6406">
            <v>48445</v>
          </cell>
          <cell r="B6406" t="str">
            <v>CORPORATION</v>
          </cell>
          <cell r="C6406" t="str">
            <v>G.O Ferramentas E Parafusos Ltda</v>
          </cell>
          <cell r="D6406" t="str">
            <v>G.O Ferramentas E Parafusos Ltda</v>
          </cell>
          <cell r="E6406" t="str">
            <v>BR_CNPJ</v>
          </cell>
          <cell r="F6406" t="str">
            <v>36.691.000/0001-22</v>
          </cell>
        </row>
        <row r="6407">
          <cell r="A6407">
            <v>48454</v>
          </cell>
          <cell r="B6407" t="str">
            <v>CORPORATION</v>
          </cell>
          <cell r="C6407" t="str">
            <v>Silva E Rodrigues Ferragista Ltda</v>
          </cell>
          <cell r="D6407" t="str">
            <v>Ferragista Central</v>
          </cell>
          <cell r="E6407" t="str">
            <v>BR_CNPJ</v>
          </cell>
          <cell r="F6407" t="str">
            <v>05.367.480/0001-47</v>
          </cell>
        </row>
        <row r="6408">
          <cell r="A6408">
            <v>48456</v>
          </cell>
          <cell r="B6408" t="str">
            <v>CORPORATION</v>
          </cell>
          <cell r="C6408" t="str">
            <v>Marcia A Cordeiro Silva Unipessoal Ltda</v>
          </cell>
          <cell r="D6408" t="str">
            <v>Unipessoal Ltda</v>
          </cell>
          <cell r="E6408" t="str">
            <v>BR_CNPJ</v>
          </cell>
          <cell r="F6408" t="str">
            <v>05.776.592/0001-51</v>
          </cell>
        </row>
        <row r="6409">
          <cell r="A6409">
            <v>48457</v>
          </cell>
          <cell r="B6409" t="str">
            <v>CORPORATION</v>
          </cell>
          <cell r="C6409" t="str">
            <v>Sinomar De Souza E Cruvinel</v>
          </cell>
          <cell r="D6409" t="str">
            <v>Ferragista Cruvinel</v>
          </cell>
          <cell r="E6409" t="str">
            <v>BR_CNPJ</v>
          </cell>
          <cell r="F6409" t="str">
            <v>37.712.595/0001-18</v>
          </cell>
        </row>
        <row r="6410">
          <cell r="A6410">
            <v>48466</v>
          </cell>
          <cell r="B6410" t="str">
            <v>CORPORATION</v>
          </cell>
          <cell r="C6410" t="str">
            <v>Casa Do Ferro Comercio E Servicos Ltda</v>
          </cell>
          <cell r="D6410" t="str">
            <v>Casa Do Ferro</v>
          </cell>
          <cell r="E6410" t="str">
            <v>BR_CNPJ</v>
          </cell>
          <cell r="F6410" t="str">
            <v>24.869.691/0001-22</v>
          </cell>
        </row>
        <row r="6411">
          <cell r="A6411">
            <v>48468</v>
          </cell>
          <cell r="B6411" t="str">
            <v>CORPORATION</v>
          </cell>
          <cell r="C6411" t="str">
            <v>Lmx Industria E Comercio De Luminarias Eireli</v>
          </cell>
          <cell r="D6411" t="str">
            <v>Lmx Luminárias</v>
          </cell>
          <cell r="E6411" t="str">
            <v>BR_CNPJ</v>
          </cell>
          <cell r="F6411" t="str">
            <v>14.295.917/0001-75</v>
          </cell>
        </row>
        <row r="6412">
          <cell r="A6412">
            <v>48472</v>
          </cell>
          <cell r="B6412" t="str">
            <v>CORPORATION</v>
          </cell>
          <cell r="C6412" t="str">
            <v>Construnossa Materiais De Construcao Ltda</v>
          </cell>
          <cell r="D6412" t="str">
            <v>Construnossa</v>
          </cell>
          <cell r="E6412" t="str">
            <v>BR_CNPJ</v>
          </cell>
          <cell r="F6412" t="str">
            <v>15.264.640/0001-86</v>
          </cell>
        </row>
        <row r="6413">
          <cell r="A6413">
            <v>48474</v>
          </cell>
          <cell r="B6413" t="str">
            <v>CORPORATION</v>
          </cell>
          <cell r="C6413" t="str">
            <v>Uniao Pre-Moldados Ltda</v>
          </cell>
          <cell r="D6413" t="str">
            <v>Uniao Pre-Moldados</v>
          </cell>
          <cell r="E6413" t="str">
            <v>BR_CNPJ</v>
          </cell>
          <cell r="F6413" t="str">
            <v>07.612.808/0001-79</v>
          </cell>
        </row>
        <row r="6414">
          <cell r="A6414">
            <v>48484</v>
          </cell>
          <cell r="B6414" t="str">
            <v>CORPORATION</v>
          </cell>
          <cell r="C6414" t="str">
            <v>I9tec Atacado E Varejo De Produtos Eletronicos E Ferramentas Ltda</v>
          </cell>
          <cell r="D6414" t="str">
            <v>I9tec Shopping Dos Instaladores</v>
          </cell>
          <cell r="E6414" t="str">
            <v>BR_CNPJ</v>
          </cell>
          <cell r="F6414" t="str">
            <v>10.314.302/0001-98</v>
          </cell>
        </row>
        <row r="6415">
          <cell r="A6415">
            <v>48487</v>
          </cell>
          <cell r="B6415" t="str">
            <v>CORPORATION</v>
          </cell>
          <cell r="C6415" t="str">
            <v>Reginaldo Rezende Ribeiro Franca</v>
          </cell>
          <cell r="D6415" t="str">
            <v>Reginaldo Rezende Ribeiro Franca</v>
          </cell>
          <cell r="E6415" t="str">
            <v>BR_CNPJ</v>
          </cell>
          <cell r="F6415" t="str">
            <v>03.702.027/0001-14</v>
          </cell>
        </row>
        <row r="6416">
          <cell r="A6416">
            <v>48490</v>
          </cell>
          <cell r="B6416" t="str">
            <v>CORPORATION</v>
          </cell>
          <cell r="C6416" t="str">
            <v>Wr-Maq Comercio De Equipamentos Industriais Eireli</v>
          </cell>
          <cell r="D6416" t="str">
            <v>Wr Equipamentos</v>
          </cell>
          <cell r="E6416" t="str">
            <v>BR_CNPJ</v>
          </cell>
          <cell r="F6416" t="str">
            <v>27.281.368/0001-21</v>
          </cell>
        </row>
        <row r="6417">
          <cell r="A6417">
            <v>48494</v>
          </cell>
          <cell r="B6417" t="str">
            <v>CORPORATION</v>
          </cell>
          <cell r="C6417" t="str">
            <v>Advance - Servicos E Comercio De Maquinas Eireli</v>
          </cell>
          <cell r="D6417" t="str">
            <v>Advance Mega Store</v>
          </cell>
          <cell r="E6417" t="str">
            <v>BR_CNPJ</v>
          </cell>
          <cell r="F6417" t="str">
            <v>17.973.859/0001-80</v>
          </cell>
        </row>
        <row r="6418">
          <cell r="A6418">
            <v>48498</v>
          </cell>
          <cell r="B6418" t="str">
            <v>CORPORATION</v>
          </cell>
          <cell r="C6418" t="str">
            <v>Acrenorte Maquinas E Ferramentas Ltda</v>
          </cell>
          <cell r="D6418" t="str">
            <v>Tonin Eletricas</v>
          </cell>
          <cell r="E6418" t="str">
            <v>BR_CNPJ</v>
          </cell>
          <cell r="F6418" t="str">
            <v>05.652.173/0001-08</v>
          </cell>
        </row>
        <row r="6419">
          <cell r="A6419">
            <v>48501</v>
          </cell>
          <cell r="B6419" t="str">
            <v>CORPORATION</v>
          </cell>
          <cell r="C6419" t="str">
            <v>Ra Comercio E Distribuidora De Ferragens E Ferramentas Ltda</v>
          </cell>
          <cell r="D6419" t="str">
            <v>Stop Ferramentas</v>
          </cell>
          <cell r="E6419" t="str">
            <v>BR_CNPJ</v>
          </cell>
          <cell r="F6419" t="str">
            <v>17.918.300/0001-57</v>
          </cell>
        </row>
        <row r="6420">
          <cell r="A6420">
            <v>48503</v>
          </cell>
          <cell r="B6420" t="str">
            <v>CORPORATION</v>
          </cell>
          <cell r="C6420" t="str">
            <v>Rmv Motores Eletricos Ltda</v>
          </cell>
          <cell r="D6420" t="str">
            <v>Leste Motores Eletricos</v>
          </cell>
          <cell r="E6420" t="str">
            <v>BR_CNPJ</v>
          </cell>
          <cell r="F6420" t="str">
            <v>30.805.545/0001-36</v>
          </cell>
          <cell r="G6420" t="str">
            <v>LESTE MOTORES</v>
          </cell>
        </row>
        <row r="6421">
          <cell r="A6421">
            <v>48505</v>
          </cell>
          <cell r="B6421" t="str">
            <v>CORPORATION</v>
          </cell>
          <cell r="C6421" t="str">
            <v>37.216.631 Ana Paula Da Silva Minas</v>
          </cell>
          <cell r="D6421" t="str">
            <v>Ferramentas Contagem</v>
          </cell>
          <cell r="E6421" t="str">
            <v>BR_CNPJ</v>
          </cell>
          <cell r="F6421" t="str">
            <v>37.216.631/0001-52</v>
          </cell>
        </row>
        <row r="6422">
          <cell r="A6422">
            <v>48506</v>
          </cell>
          <cell r="B6422" t="str">
            <v>CORPORATION</v>
          </cell>
          <cell r="C6422" t="str">
            <v>Weber Ferramentas Automotivas Ltda</v>
          </cell>
          <cell r="D6422" t="str">
            <v>Weber Ferramentas Automotivas</v>
          </cell>
          <cell r="E6422" t="str">
            <v>BR_CNPJ</v>
          </cell>
          <cell r="F6422" t="str">
            <v>29.352.722/0001-97</v>
          </cell>
        </row>
        <row r="6423">
          <cell r="A6423">
            <v>48512</v>
          </cell>
          <cell r="B6423" t="str">
            <v>CORPORATION</v>
          </cell>
          <cell r="C6423" t="str">
            <v>Duplor Comercio De Ferramentas Industriais E Servicos Ltda</v>
          </cell>
          <cell r="D6423" t="str">
            <v>Duplor Comercio De Ferramentas Industriais E Servicos Ltda</v>
          </cell>
          <cell r="E6423" t="str">
            <v>BR_CNPJ</v>
          </cell>
          <cell r="F6423" t="str">
            <v>10.622.178/0002-09</v>
          </cell>
        </row>
        <row r="6424">
          <cell r="A6424">
            <v>48514</v>
          </cell>
          <cell r="B6424" t="str">
            <v>CORPORATION</v>
          </cell>
          <cell r="C6424" t="str">
            <v>Servweld Assistencia Tecnica Transporte Locacao E Comercial Ltda</v>
          </cell>
          <cell r="D6424" t="str">
            <v>Servweld</v>
          </cell>
          <cell r="E6424" t="str">
            <v>BR_CNPJ</v>
          </cell>
          <cell r="F6424" t="str">
            <v>11.504.286/0001-69</v>
          </cell>
          <cell r="G6424" t="str">
            <v>SERVWELD</v>
          </cell>
        </row>
        <row r="6425">
          <cell r="A6425">
            <v>48526</v>
          </cell>
          <cell r="B6425" t="str">
            <v>CORPORATION</v>
          </cell>
          <cell r="C6425" t="str">
            <v>J T S Comercio E Assistencia Tecnica Ltda</v>
          </cell>
          <cell r="D6425" t="str">
            <v>M E J Eletronicos E Ferramentas</v>
          </cell>
          <cell r="E6425" t="str">
            <v>BR_CNPJ</v>
          </cell>
          <cell r="F6425" t="str">
            <v>14.169.514/0001-80</v>
          </cell>
        </row>
        <row r="6426">
          <cell r="A6426">
            <v>48543</v>
          </cell>
          <cell r="B6426" t="str">
            <v>CORPORATION</v>
          </cell>
          <cell r="C6426" t="str">
            <v>Natanael Marcelino Pires</v>
          </cell>
          <cell r="D6426" t="str">
            <v>Marcelino Materias E Ferragista</v>
          </cell>
          <cell r="E6426" t="str">
            <v>BR_CNPJ</v>
          </cell>
          <cell r="F6426" t="str">
            <v>21.975.562/0001-20</v>
          </cell>
        </row>
        <row r="6427">
          <cell r="A6427">
            <v>48560</v>
          </cell>
          <cell r="B6427" t="str">
            <v>CORPORATION</v>
          </cell>
          <cell r="C6427" t="str">
            <v>Bobig Contatto - Equipamentos Ltda</v>
          </cell>
          <cell r="D6427" t="str">
            <v>Hidrauflex</v>
          </cell>
          <cell r="E6427" t="str">
            <v>BR_CNPJ</v>
          </cell>
          <cell r="F6427" t="str">
            <v>05.143.214/0001-30</v>
          </cell>
        </row>
        <row r="6428">
          <cell r="A6428">
            <v>48567</v>
          </cell>
          <cell r="B6428" t="str">
            <v>CORPORATION</v>
          </cell>
          <cell r="C6428" t="str">
            <v>Ideal Casa E Construcao Ltda</v>
          </cell>
          <cell r="D6428" t="str">
            <v>Ideal Casa E Construcao Ltda</v>
          </cell>
          <cell r="E6428" t="str">
            <v>BR_CNPJ</v>
          </cell>
          <cell r="F6428" t="str">
            <v>25.093.367/0001-28</v>
          </cell>
        </row>
        <row r="6429">
          <cell r="A6429">
            <v>48571</v>
          </cell>
          <cell r="B6429" t="str">
            <v>CORPORATION</v>
          </cell>
          <cell r="C6429" t="str">
            <v>Naka Tools Comercio De Ferramentas Ltda</v>
          </cell>
          <cell r="D6429" t="str">
            <v>Naka Tools</v>
          </cell>
          <cell r="E6429" t="str">
            <v>BR_CNPJ</v>
          </cell>
          <cell r="F6429" t="str">
            <v>37.608.231/0001-92</v>
          </cell>
        </row>
        <row r="6430">
          <cell r="A6430">
            <v>48572</v>
          </cell>
          <cell r="B6430" t="str">
            <v>CORPORATION</v>
          </cell>
          <cell r="C6430" t="str">
            <v>W2 Brasil Comercio Importacao E Exportacao Ltda</v>
          </cell>
          <cell r="D6430" t="str">
            <v>W2 Brasil Comercio Importacao E Exportacao Ltda</v>
          </cell>
          <cell r="E6430" t="str">
            <v>BR_CNPJ</v>
          </cell>
          <cell r="F6430" t="str">
            <v>42.588.162/0001-32</v>
          </cell>
        </row>
        <row r="6431">
          <cell r="A6431">
            <v>48573</v>
          </cell>
          <cell r="B6431" t="str">
            <v>CORPORATION</v>
          </cell>
          <cell r="C6431" t="str">
            <v>Grupo Mutante Ltda</v>
          </cell>
          <cell r="D6431" t="str">
            <v>Grupo Mutante</v>
          </cell>
          <cell r="E6431" t="str">
            <v>BR_CNPJ</v>
          </cell>
          <cell r="F6431" t="str">
            <v>49.767.750/0001-82</v>
          </cell>
          <cell r="G6431" t="str">
            <v>MUTANTE</v>
          </cell>
        </row>
        <row r="6432">
          <cell r="A6432">
            <v>48574</v>
          </cell>
          <cell r="B6432" t="str">
            <v>CORPORATION</v>
          </cell>
          <cell r="C6432" t="str">
            <v>Madeireira E Ferragens Noroeste Ltda</v>
          </cell>
          <cell r="D6432" t="str">
            <v>Madeireira Noroeste</v>
          </cell>
          <cell r="E6432" t="str">
            <v>BR_CNPJ</v>
          </cell>
          <cell r="F6432" t="str">
            <v>32.635.618/0001-14</v>
          </cell>
        </row>
        <row r="6433">
          <cell r="A6433">
            <v>48583</v>
          </cell>
          <cell r="B6433" t="str">
            <v>CORPORATION</v>
          </cell>
          <cell r="C6433" t="str">
            <v>J De J C Garcia Junior</v>
          </cell>
          <cell r="D6433" t="str">
            <v>Junior Construcao</v>
          </cell>
          <cell r="E6433" t="str">
            <v>BR_CNPJ</v>
          </cell>
          <cell r="F6433" t="str">
            <v>10.197.100/0001-03</v>
          </cell>
        </row>
        <row r="6434">
          <cell r="A6434">
            <v>48585</v>
          </cell>
          <cell r="B6434" t="str">
            <v>CORPORATION</v>
          </cell>
          <cell r="C6434" t="str">
            <v>Fortmaq Abrasivos Ltda</v>
          </cell>
          <cell r="D6434" t="str">
            <v>Fortmaq Abrasivos</v>
          </cell>
          <cell r="E6434" t="str">
            <v>BR_CNPJ</v>
          </cell>
          <cell r="F6434" t="str">
            <v>36.323.773/0001-56</v>
          </cell>
        </row>
        <row r="6435">
          <cell r="A6435">
            <v>48589</v>
          </cell>
          <cell r="B6435" t="str">
            <v>CORPORATION</v>
          </cell>
          <cell r="C6435" t="str">
            <v>Da Luz Ferramentas Ltda</v>
          </cell>
          <cell r="D6435" t="str">
            <v>Da Luz Ferramentas Ltda</v>
          </cell>
          <cell r="E6435" t="str">
            <v>BR_CNPJ</v>
          </cell>
          <cell r="F6435" t="str">
            <v>48.843.413/0001-64</v>
          </cell>
          <cell r="G6435" t="str">
            <v>GRUPO DA LUZ</v>
          </cell>
        </row>
        <row r="6436">
          <cell r="A6436">
            <v>48593</v>
          </cell>
          <cell r="B6436" t="str">
            <v>CORPORATION</v>
          </cell>
          <cell r="C6436" t="str">
            <v>Itabom Comercio De Ferragens Ltda</v>
          </cell>
          <cell r="D6436" t="str">
            <v>Itabom Comercio De Ferragens Ltda</v>
          </cell>
          <cell r="E6436" t="str">
            <v>BR_CNPJ</v>
          </cell>
          <cell r="F6436" t="str">
            <v>11.444.698/0001-50</v>
          </cell>
        </row>
        <row r="6437">
          <cell r="A6437">
            <v>48594</v>
          </cell>
          <cell r="B6437" t="str">
            <v>CORPORATION</v>
          </cell>
          <cell r="C6437" t="str">
            <v>Maria Veronica Dos Santos Rodrigues 03047230455</v>
          </cell>
          <cell r="D6437" t="str">
            <v>Mistertec</v>
          </cell>
          <cell r="E6437" t="str">
            <v>BR_CNPJ</v>
          </cell>
          <cell r="F6437" t="str">
            <v>35.559.051/0001-32</v>
          </cell>
        </row>
        <row r="6438">
          <cell r="A6438">
            <v>48596</v>
          </cell>
          <cell r="B6438" t="str">
            <v>CORPORATION</v>
          </cell>
          <cell r="C6438" t="str">
            <v>Fortcalhas - Coberturas E Galpoes Ltda</v>
          </cell>
          <cell r="D6438" t="str">
            <v>Fortcalhas</v>
          </cell>
          <cell r="E6438" t="str">
            <v>BR_CNPJ</v>
          </cell>
          <cell r="F6438" t="str">
            <v>06.894.636/0001-00</v>
          </cell>
        </row>
        <row r="6439">
          <cell r="A6439">
            <v>48601</v>
          </cell>
          <cell r="B6439" t="str">
            <v>CORPORATION</v>
          </cell>
          <cell r="C6439" t="str">
            <v>Conectudo Pecas E Conexoes Eireli</v>
          </cell>
          <cell r="D6439" t="str">
            <v>Conectudo</v>
          </cell>
          <cell r="E6439" t="str">
            <v>BR_CNPJ</v>
          </cell>
          <cell r="F6439" t="str">
            <v>28.323.350/0001-08</v>
          </cell>
        </row>
        <row r="6440">
          <cell r="A6440">
            <v>48604</v>
          </cell>
          <cell r="B6440" t="str">
            <v>CORPORATION</v>
          </cell>
          <cell r="C6440" t="str">
            <v>Represer Afiacoes E Ferramentas Ltda</v>
          </cell>
          <cell r="D6440" t="str">
            <v>Represer Afiacoes E Ferramentas Ltda</v>
          </cell>
          <cell r="E6440" t="str">
            <v>BR_CNPJ</v>
          </cell>
          <cell r="F6440" t="str">
            <v>78.903.689/0001-51</v>
          </cell>
        </row>
        <row r="6441">
          <cell r="A6441">
            <v>48610</v>
          </cell>
          <cell r="B6441" t="str">
            <v>CORPORATION</v>
          </cell>
          <cell r="C6441" t="str">
            <v>Janaina De Jesus Rosa Da Silva Pedroso 36331674802</v>
          </cell>
          <cell r="D6441" t="str">
            <v>Janaina De Jesus Rosa Da Silva Pedroso</v>
          </cell>
          <cell r="E6441" t="str">
            <v>BR_CNPJ</v>
          </cell>
          <cell r="F6441" t="str">
            <v>35.932.695/0001-24</v>
          </cell>
        </row>
        <row r="6442">
          <cell r="A6442">
            <v>48631</v>
          </cell>
          <cell r="B6442" t="str">
            <v>CORPORATION</v>
          </cell>
          <cell r="C6442" t="str">
            <v>Vilmari Aparecida Kotlinski 54876125953</v>
          </cell>
          <cell r="D6442" t="str">
            <v>Jv Kazza Das Ferramentas E Utilidades</v>
          </cell>
          <cell r="E6442" t="str">
            <v>BR_CNPJ</v>
          </cell>
          <cell r="F6442" t="str">
            <v>39.709.685/0001-85</v>
          </cell>
        </row>
        <row r="6443">
          <cell r="A6443">
            <v>48635</v>
          </cell>
          <cell r="B6443" t="str">
            <v>CORPORATION</v>
          </cell>
          <cell r="C6443" t="str">
            <v>Comercial Fercatto Ltda</v>
          </cell>
          <cell r="D6443" t="str">
            <v>Comercial Fercatto</v>
          </cell>
          <cell r="E6443" t="str">
            <v>BR_CNPJ</v>
          </cell>
          <cell r="F6443" t="str">
            <v>06.056.662/0002-40</v>
          </cell>
          <cell r="G6443" t="str">
            <v>COMERCIAL FERCATTO</v>
          </cell>
        </row>
        <row r="6444">
          <cell r="A6444">
            <v>48638</v>
          </cell>
          <cell r="B6444" t="str">
            <v>CORPORATION</v>
          </cell>
          <cell r="C6444" t="str">
            <v>Egide - Comercio De Vestuario E Eletrodomesticos Ltda</v>
          </cell>
          <cell r="D6444" t="str">
            <v>Comercial Albino Longo</v>
          </cell>
          <cell r="E6444" t="str">
            <v>BR_CNPJ</v>
          </cell>
          <cell r="F6444" t="str">
            <v>02.309.765/0001-33</v>
          </cell>
        </row>
        <row r="6445">
          <cell r="A6445">
            <v>48639</v>
          </cell>
          <cell r="B6445" t="str">
            <v>CORPORATION</v>
          </cell>
          <cell r="C6445" t="str">
            <v>Big Trading E Empreendimentos Ltda</v>
          </cell>
          <cell r="D6445" t="str">
            <v>Big Maq</v>
          </cell>
          <cell r="E6445" t="str">
            <v>BR_CNPJ</v>
          </cell>
          <cell r="F6445" t="str">
            <v>06.317.393/0002-29</v>
          </cell>
        </row>
        <row r="6446">
          <cell r="A6446">
            <v>48644</v>
          </cell>
          <cell r="B6446" t="str">
            <v>CORPORATION</v>
          </cell>
          <cell r="C6446" t="str">
            <v>Fermarcs - Comercio Varejista De Ferramentas E Acessorios Ltda</v>
          </cell>
          <cell r="D6446" t="str">
            <v>Fermarcs - Comercio Varejista De Ferramentas E Acessorios Ltda</v>
          </cell>
          <cell r="E6446" t="str">
            <v>BR_CNPJ</v>
          </cell>
          <cell r="F6446" t="str">
            <v>08.615.223/0003-37</v>
          </cell>
          <cell r="G6446" t="str">
            <v>FERMARCS</v>
          </cell>
        </row>
        <row r="6447">
          <cell r="A6447">
            <v>48645</v>
          </cell>
          <cell r="B6447" t="str">
            <v>CORPORATION</v>
          </cell>
          <cell r="C6447" t="str">
            <v>Smart Comercio De Ferragens E Ferramentas Ltda</v>
          </cell>
          <cell r="D6447" t="str">
            <v>Ferragista Smartferr</v>
          </cell>
          <cell r="E6447" t="str">
            <v>BR_CNPJ</v>
          </cell>
          <cell r="F6447" t="str">
            <v>38.127.055/0001-30</v>
          </cell>
        </row>
        <row r="6448">
          <cell r="A6448">
            <v>48650</v>
          </cell>
          <cell r="B6448" t="str">
            <v>CORPORATION</v>
          </cell>
          <cell r="C6448" t="str">
            <v>48.244.140 Julio Cezar Da Silva Correa</v>
          </cell>
          <cell r="D6448" t="str">
            <v>Julio Cezar Da Silva Correa</v>
          </cell>
          <cell r="E6448" t="str">
            <v>BR_CNPJ</v>
          </cell>
          <cell r="F6448" t="str">
            <v>48.244.140/0001-31</v>
          </cell>
          <cell r="G6448" t="str">
            <v>JOICE FERRAMENTAS</v>
          </cell>
        </row>
        <row r="6449">
          <cell r="A6449">
            <v>48652</v>
          </cell>
          <cell r="B6449" t="str">
            <v>CORPORATION</v>
          </cell>
          <cell r="C6449" t="str">
            <v>Albelino Fernandes Da Silva 00349217700</v>
          </cell>
          <cell r="D6449" t="str">
            <v>Stop Look</v>
          </cell>
          <cell r="E6449" t="str">
            <v>BR_CNPJ</v>
          </cell>
          <cell r="F6449" t="str">
            <v>35.519.757/0001-70</v>
          </cell>
          <cell r="G6449" t="str">
            <v>STOP LOOK</v>
          </cell>
        </row>
        <row r="6450">
          <cell r="A6450">
            <v>48655</v>
          </cell>
          <cell r="B6450" t="str">
            <v>CORPORATION</v>
          </cell>
          <cell r="C6450" t="str">
            <v>Worktec Comercio E Locacao De Maquinas Ltda</v>
          </cell>
          <cell r="D6450" t="str">
            <v>Worktec Comercio E Locacao De Maquinas Ltda</v>
          </cell>
          <cell r="E6450" t="str">
            <v>BR_CNPJ</v>
          </cell>
          <cell r="F6450" t="str">
            <v>10.628.963/0001-98</v>
          </cell>
        </row>
        <row r="6451">
          <cell r="A6451">
            <v>48656</v>
          </cell>
          <cell r="B6451" t="str">
            <v>CORPORATION</v>
          </cell>
          <cell r="C6451" t="str">
            <v>Irmaos Struzik Materiais De Construcao Ltda</v>
          </cell>
          <cell r="D6451" t="str">
            <v>Materiais De Construcao Struzik</v>
          </cell>
          <cell r="E6451" t="str">
            <v>BR_CNPJ</v>
          </cell>
          <cell r="F6451" t="str">
            <v>31.201.979/0001-90</v>
          </cell>
        </row>
        <row r="6452">
          <cell r="A6452">
            <v>48658</v>
          </cell>
          <cell r="B6452" t="str">
            <v>CORPORATION</v>
          </cell>
          <cell r="C6452" t="str">
            <v>Mscn Comercio De Maquinas Equipamentos E Acessorios Ltda</v>
          </cell>
          <cell r="D6452" t="str">
            <v>Chico Soldas</v>
          </cell>
          <cell r="E6452" t="str">
            <v>BR_CNPJ</v>
          </cell>
          <cell r="F6452" t="str">
            <v>12.546.683/0001-66</v>
          </cell>
        </row>
        <row r="6453">
          <cell r="A6453">
            <v>48659</v>
          </cell>
          <cell r="B6453" t="str">
            <v>CORPORATION</v>
          </cell>
          <cell r="C6453" t="str">
            <v>Tem Aqui Comercio De Materiais Para Construcao Ltda</v>
          </cell>
          <cell r="D6453" t="str">
            <v>Tem Aqui Comercio De Materiais Para Construcao Ltda</v>
          </cell>
          <cell r="E6453" t="str">
            <v>BR_CNPJ</v>
          </cell>
          <cell r="F6453" t="str">
            <v>37.983.311/0001-28</v>
          </cell>
        </row>
        <row r="6454">
          <cell r="A6454">
            <v>48660</v>
          </cell>
          <cell r="B6454" t="str">
            <v>CORPORATION</v>
          </cell>
          <cell r="C6454" t="str">
            <v>Souza &amp; Cia Comercio De Parafusos E Ferramentas Ltda</v>
          </cell>
          <cell r="D6454" t="str">
            <v>Parafuso &amp; Cia</v>
          </cell>
          <cell r="E6454" t="str">
            <v>BR_CNPJ</v>
          </cell>
          <cell r="F6454" t="str">
            <v>20.201.258/0001-63</v>
          </cell>
          <cell r="G6454" t="str">
            <v>PARAFUSO E CIA</v>
          </cell>
        </row>
        <row r="6455">
          <cell r="A6455">
            <v>48661</v>
          </cell>
          <cell r="B6455" t="str">
            <v>CORPORATION</v>
          </cell>
          <cell r="C6455" t="str">
            <v>Aazz - Comercio De Ferragens E Servicos Ltda</v>
          </cell>
          <cell r="D6455" t="str">
            <v>Aazz - Comercio De Ferragens E Servicos Ltda</v>
          </cell>
          <cell r="E6455" t="str">
            <v>BR_CNPJ</v>
          </cell>
          <cell r="F6455" t="str">
            <v>09.575.132/0001-16</v>
          </cell>
        </row>
        <row r="6456">
          <cell r="A6456">
            <v>48671</v>
          </cell>
          <cell r="B6456" t="str">
            <v>CORPORATION</v>
          </cell>
          <cell r="C6456" t="str">
            <v>G. A. De F. Maquinas E Equipamentos Agricolas - Ltda</v>
          </cell>
          <cell r="D6456" t="str">
            <v>Irrimaquinas</v>
          </cell>
          <cell r="E6456" t="str">
            <v>BR_CNPJ</v>
          </cell>
          <cell r="F6456" t="str">
            <v>15.591.382/0001-42</v>
          </cell>
        </row>
        <row r="6457">
          <cell r="A6457">
            <v>48700</v>
          </cell>
          <cell r="B6457" t="str">
            <v>CORPORATION</v>
          </cell>
          <cell r="C6457" t="str">
            <v>Hb 100 Comercio De Pecas Ltda</v>
          </cell>
          <cell r="D6457" t="str">
            <v>Hb 100 Comercio De Pecas Ltda</v>
          </cell>
          <cell r="E6457" t="str">
            <v>BR_CNPJ</v>
          </cell>
          <cell r="F6457" t="str">
            <v>18.889.334/0001-23</v>
          </cell>
        </row>
        <row r="6458">
          <cell r="A6458">
            <v>48705</v>
          </cell>
          <cell r="B6458" t="str">
            <v>CORPORATION</v>
          </cell>
          <cell r="C6458" t="str">
            <v>Estrutura Center Comercio De Materiais De Construcao Ltda</v>
          </cell>
          <cell r="D6458" t="str">
            <v>Estrutura Center Comercio De Materiais De Construcao Ltda</v>
          </cell>
          <cell r="E6458" t="str">
            <v>BR_CNPJ</v>
          </cell>
          <cell r="F6458" t="str">
            <v>01.739.265/0001-79</v>
          </cell>
        </row>
        <row r="6459">
          <cell r="A6459">
            <v>48707</v>
          </cell>
          <cell r="B6459" t="str">
            <v>CORPORATION</v>
          </cell>
          <cell r="C6459" t="str">
            <v>Daniela Aparecida De Brito</v>
          </cell>
          <cell r="D6459" t="str">
            <v>P &amp; F Serralheria</v>
          </cell>
          <cell r="E6459" t="str">
            <v>BR_CNPJ</v>
          </cell>
          <cell r="F6459" t="str">
            <v>40.191.969/0001-01</v>
          </cell>
        </row>
        <row r="6460">
          <cell r="A6460">
            <v>48711</v>
          </cell>
          <cell r="B6460" t="str">
            <v>CORPORATION</v>
          </cell>
          <cell r="C6460" t="str">
            <v>Cordeiro Maquinas E Ferramentas Ltda</v>
          </cell>
          <cell r="D6460" t="str">
            <v>Cordeiro Maquinas E Ferramentas Ltda</v>
          </cell>
          <cell r="E6460" t="str">
            <v>BR_CNPJ</v>
          </cell>
          <cell r="F6460" t="str">
            <v>71.449.201/0006-23</v>
          </cell>
          <cell r="G6460" t="str">
            <v>CORDEIRO MÁQUINAS</v>
          </cell>
        </row>
        <row r="6461">
          <cell r="A6461">
            <v>48712</v>
          </cell>
          <cell r="B6461" t="str">
            <v>CORPORATION</v>
          </cell>
          <cell r="C6461" t="str">
            <v>V M Comercio De Ferros Ltda</v>
          </cell>
          <cell r="D6461" t="str">
            <v>V M Comercio De Ferros Ltda</v>
          </cell>
          <cell r="E6461" t="str">
            <v>BR_CNPJ</v>
          </cell>
          <cell r="F6461" t="str">
            <v>00.094.718/0001-94</v>
          </cell>
        </row>
        <row r="6462">
          <cell r="A6462">
            <v>48715</v>
          </cell>
          <cell r="B6462" t="str">
            <v>CORPORATION</v>
          </cell>
          <cell r="C6462" t="str">
            <v>Diego Dos Santos De Jesus 12513487699</v>
          </cell>
          <cell r="D6462" t="str">
            <v>Safety Mais</v>
          </cell>
          <cell r="E6462" t="str">
            <v>BR_CNPJ</v>
          </cell>
          <cell r="F6462" t="str">
            <v>35.895.392/0001-89</v>
          </cell>
        </row>
        <row r="6463">
          <cell r="A6463">
            <v>48717</v>
          </cell>
          <cell r="B6463" t="str">
            <v>CORPORATION</v>
          </cell>
          <cell r="C6463" t="str">
            <v>Ssv Comercio E Servicos De Maquinas E Ferramentas Ltda</v>
          </cell>
          <cell r="D6463" t="str">
            <v>Ssv Comercio E Servicos De Maquinas E Ferramentas Ltda</v>
          </cell>
          <cell r="E6463" t="str">
            <v>BR_CNPJ</v>
          </cell>
          <cell r="F6463" t="str">
            <v>31.327.597/0001-07</v>
          </cell>
        </row>
        <row r="6464">
          <cell r="A6464">
            <v>48718</v>
          </cell>
          <cell r="B6464" t="str">
            <v>CORPORATION</v>
          </cell>
          <cell r="C6464" t="str">
            <v>Lojao Agro Pecas Ltda</v>
          </cell>
          <cell r="D6464" t="str">
            <v>Lojao Agro Pecas Ltda</v>
          </cell>
          <cell r="E6464" t="str">
            <v>BR_CNPJ</v>
          </cell>
          <cell r="F6464" t="str">
            <v>32.117.109/0001-08</v>
          </cell>
        </row>
        <row r="6465">
          <cell r="A6465">
            <v>48721</v>
          </cell>
          <cell r="B6465" t="str">
            <v>CORPORATION</v>
          </cell>
          <cell r="C6465" t="str">
            <v>Borges &amp; Ribeiro Ferramentas Ltda</v>
          </cell>
          <cell r="D6465" t="str">
            <v>Ferramentas &amp; Cia</v>
          </cell>
          <cell r="E6465" t="str">
            <v>BR_CNPJ</v>
          </cell>
          <cell r="F6465" t="str">
            <v>37.480.205/0001-21</v>
          </cell>
        </row>
        <row r="6466">
          <cell r="A6466">
            <v>48724</v>
          </cell>
          <cell r="B6466" t="str">
            <v>CORPORATION</v>
          </cell>
          <cell r="C6466" t="str">
            <v>Maqfer Maquinas Ferramentas E Epis Ltda</v>
          </cell>
          <cell r="D6466" t="str">
            <v>Maqfer Maquinas Ferramentas E Epis</v>
          </cell>
          <cell r="E6466" t="str">
            <v>BR_CNPJ</v>
          </cell>
          <cell r="F6466" t="str">
            <v>33.424.487/0001-99</v>
          </cell>
        </row>
        <row r="6467">
          <cell r="A6467">
            <v>48725</v>
          </cell>
          <cell r="B6467" t="str">
            <v>CORPORATION</v>
          </cell>
          <cell r="C6467" t="str">
            <v>Adelson F Da Costa</v>
          </cell>
          <cell r="D6467" t="str">
            <v>Automatech Instalacoes E Manutencao</v>
          </cell>
          <cell r="E6467" t="str">
            <v>BR_CNPJ</v>
          </cell>
          <cell r="F6467" t="str">
            <v>09.134.483/0001-91</v>
          </cell>
        </row>
        <row r="6468">
          <cell r="A6468">
            <v>48726</v>
          </cell>
          <cell r="B6468" t="str">
            <v>CORPORATION</v>
          </cell>
          <cell r="C6468" t="str">
            <v>Ferragista Jacare Ltda</v>
          </cell>
          <cell r="D6468" t="str">
            <v>Ferragista Jacare</v>
          </cell>
          <cell r="E6468" t="str">
            <v>BR_CNPJ</v>
          </cell>
          <cell r="F6468" t="str">
            <v>15.753.377/0001-99</v>
          </cell>
        </row>
        <row r="6469">
          <cell r="A6469">
            <v>48735</v>
          </cell>
          <cell r="B6469" t="str">
            <v>CORPORATION</v>
          </cell>
          <cell r="C6469" t="str">
            <v>Fix-Rol Ferramentas Ltda.</v>
          </cell>
          <cell r="D6469" t="str">
            <v>Fix-Rol</v>
          </cell>
          <cell r="E6469" t="str">
            <v>BR_CNPJ</v>
          </cell>
          <cell r="F6469" t="str">
            <v>01.361.037/0001-08</v>
          </cell>
        </row>
        <row r="6470">
          <cell r="A6470">
            <v>48739</v>
          </cell>
          <cell r="B6470" t="str">
            <v>CORPORATION</v>
          </cell>
          <cell r="C6470" t="str">
            <v>Deuriane Garcia Azevedo</v>
          </cell>
          <cell r="D6470" t="str">
            <v>Ferragista Bom Preco</v>
          </cell>
          <cell r="E6470" t="str">
            <v>BR_CNPJ</v>
          </cell>
          <cell r="F6470" t="str">
            <v>28.432.069/0001-03</v>
          </cell>
          <cell r="G6470" t="str">
            <v>FERRAGISTA BOM PREÇO</v>
          </cell>
        </row>
        <row r="6471">
          <cell r="A6471">
            <v>48743</v>
          </cell>
          <cell r="B6471" t="str">
            <v>CORPORATION</v>
          </cell>
          <cell r="C6471" t="str">
            <v>Avantools Ferramentas Para Manutencao Reparos E Operacoes Ltda</v>
          </cell>
          <cell r="D6471" t="str">
            <v>Avantools</v>
          </cell>
          <cell r="E6471" t="str">
            <v>BR_CNPJ</v>
          </cell>
          <cell r="F6471" t="str">
            <v>46.792.546/0001-23</v>
          </cell>
        </row>
        <row r="6472">
          <cell r="A6472">
            <v>48756</v>
          </cell>
          <cell r="B6472" t="str">
            <v>CORPORATION</v>
          </cell>
          <cell r="C6472" t="str">
            <v>Gilberto Julio Maria &amp; Outro Ltda</v>
          </cell>
          <cell r="D6472" t="str">
            <v>Santa Rita Ferramentas</v>
          </cell>
          <cell r="E6472" t="str">
            <v>BR_CNPJ</v>
          </cell>
          <cell r="F6472" t="str">
            <v>07.690.525/0001-45</v>
          </cell>
        </row>
        <row r="6473">
          <cell r="A6473">
            <v>48759</v>
          </cell>
          <cell r="B6473" t="str">
            <v>CORPORATION</v>
          </cell>
          <cell r="C6473" t="str">
            <v>Regina Fogaca De Almeida &amp; Cia Ltda</v>
          </cell>
          <cell r="D6473" t="str">
            <v>Casa De Parafusos E Ferragens Arcanjo</v>
          </cell>
          <cell r="E6473" t="str">
            <v>BR_CNPJ</v>
          </cell>
          <cell r="F6473" t="str">
            <v>05.944.448/0001-87</v>
          </cell>
        </row>
        <row r="6474">
          <cell r="A6474">
            <v>48763</v>
          </cell>
          <cell r="B6474" t="str">
            <v>CORPORATION</v>
          </cell>
          <cell r="C6474" t="str">
            <v>Sucesso Comercio E Servicos Ltda</v>
          </cell>
          <cell r="D6474" t="str">
            <v>Sucesso Comercio E Servicos Ltda</v>
          </cell>
          <cell r="E6474" t="str">
            <v>BR_CNPJ</v>
          </cell>
          <cell r="F6474" t="str">
            <v>44.417.768/0001-30</v>
          </cell>
        </row>
        <row r="6475">
          <cell r="A6475">
            <v>48769</v>
          </cell>
          <cell r="B6475" t="str">
            <v>CORPORATION</v>
          </cell>
          <cell r="C6475" t="str">
            <v>Arka Tecnologia E Negocios Ltda</v>
          </cell>
          <cell r="D6475" t="str">
            <v>Arka Tecnologia E Negocios</v>
          </cell>
          <cell r="E6475" t="str">
            <v>BR_CNPJ</v>
          </cell>
          <cell r="F6475" t="str">
            <v>28.038.671/0001-60</v>
          </cell>
        </row>
        <row r="6476">
          <cell r="A6476">
            <v>48772</v>
          </cell>
          <cell r="B6476" t="str">
            <v>CORPORATION</v>
          </cell>
          <cell r="C6476" t="str">
            <v>Bpmaq Equipamentos Ltda</v>
          </cell>
          <cell r="D6476" t="str">
            <v>Bpmaq Equipamentos</v>
          </cell>
          <cell r="E6476" t="str">
            <v>BR_CNPJ</v>
          </cell>
          <cell r="F6476" t="str">
            <v>44.119.251/0001-65</v>
          </cell>
        </row>
        <row r="6477">
          <cell r="A6477">
            <v>48777</v>
          </cell>
          <cell r="B6477" t="str">
            <v>CORPORATION</v>
          </cell>
          <cell r="C6477" t="str">
            <v>Di Brito Ferramentas Ltda</v>
          </cell>
          <cell r="D6477" t="str">
            <v>Di Brito Ferramentas Ltda</v>
          </cell>
          <cell r="E6477" t="str">
            <v>BR_CNPJ</v>
          </cell>
          <cell r="F6477" t="str">
            <v>42.354.310/0002-35</v>
          </cell>
        </row>
        <row r="6478">
          <cell r="A6478">
            <v>48811</v>
          </cell>
          <cell r="B6478" t="str">
            <v>CORPORATION</v>
          </cell>
          <cell r="C6478" t="str">
            <v>G. K. Solucoes Comercio E Servicos Ltda</v>
          </cell>
          <cell r="D6478" t="str">
            <v>Gk Ferramentas</v>
          </cell>
          <cell r="E6478" t="str">
            <v>BR_CNPJ</v>
          </cell>
          <cell r="F6478" t="str">
            <v>38.400.364/0001-31</v>
          </cell>
        </row>
        <row r="6479">
          <cell r="A6479">
            <v>48816</v>
          </cell>
          <cell r="B6479" t="str">
            <v>CORPORATION</v>
          </cell>
          <cell r="C6479" t="str">
            <v>Jr Do Brasil Comercio Importacao E Exportacao De Ferramentas - Em Recuperacao Judicial Ltda</v>
          </cell>
          <cell r="D6479" t="str">
            <v>Jr Do Brasil Ferramentas</v>
          </cell>
          <cell r="E6479" t="str">
            <v>BR_CNPJ</v>
          </cell>
          <cell r="F6479" t="str">
            <v>03.120.731/0001-69</v>
          </cell>
        </row>
        <row r="6480">
          <cell r="A6480">
            <v>48818</v>
          </cell>
          <cell r="B6480" t="str">
            <v>CORPORATION</v>
          </cell>
          <cell r="C6480" t="str">
            <v>W. Nogueira Gomes</v>
          </cell>
          <cell r="D6480" t="str">
            <v>Bom Metal</v>
          </cell>
          <cell r="E6480" t="str">
            <v>BR_CNPJ</v>
          </cell>
          <cell r="F6480" t="str">
            <v>29.909.085/0001-07</v>
          </cell>
        </row>
        <row r="6481">
          <cell r="A6481">
            <v>48820</v>
          </cell>
          <cell r="B6481" t="str">
            <v>CORPORATION</v>
          </cell>
          <cell r="C6481" t="str">
            <v>Compensados Angatu Ltda</v>
          </cell>
          <cell r="D6481" t="str">
            <v>Compensados Angatu</v>
          </cell>
          <cell r="E6481" t="str">
            <v>BR_CNPJ</v>
          </cell>
          <cell r="F6481" t="str">
            <v>02.341.726/0001-13</v>
          </cell>
          <cell r="G6481" t="str">
            <v>ANGATU</v>
          </cell>
        </row>
        <row r="6482">
          <cell r="A6482">
            <v>48821</v>
          </cell>
          <cell r="B6482" t="str">
            <v>CORPORATION</v>
          </cell>
          <cell r="C6482" t="str">
            <v>Comercial Brasileira De Utilidades Ltda</v>
          </cell>
          <cell r="D6482" t="str">
            <v>Comercial Brasileira De Utilidades Ltda (Federalle)</v>
          </cell>
          <cell r="E6482" t="str">
            <v>BR_CNPJ</v>
          </cell>
          <cell r="F6482" t="str">
            <v>39.513.804/0001-20</v>
          </cell>
          <cell r="G6482" t="str">
            <v>FEDERALLE</v>
          </cell>
        </row>
        <row r="6483">
          <cell r="A6483">
            <v>48825</v>
          </cell>
          <cell r="B6483" t="str">
            <v>CORPORATION</v>
          </cell>
          <cell r="C6483" t="str">
            <v>Gtec Comercio E Assistencia Tecnica De Equipamentos Eletricos Ltda</v>
          </cell>
          <cell r="D6483" t="str">
            <v>Gtec Comercio E Assistencia Tecnica De Equipamentos Eletricos Ltda</v>
          </cell>
          <cell r="E6483" t="str">
            <v>BR_CNPJ</v>
          </cell>
          <cell r="F6483" t="str">
            <v>10.466.293/0002-31</v>
          </cell>
        </row>
        <row r="6484">
          <cell r="A6484">
            <v>48828</v>
          </cell>
          <cell r="B6484" t="str">
            <v>CORPORATION</v>
          </cell>
          <cell r="C6484" t="str">
            <v>Novo Lar Materiais Para Construcao Ltda</v>
          </cell>
          <cell r="D6484" t="str">
            <v>Novo Lar Materiais Para Costrucao</v>
          </cell>
          <cell r="E6484" t="str">
            <v>BR_CNPJ</v>
          </cell>
          <cell r="F6484" t="str">
            <v>00.133.537/0001-20</v>
          </cell>
        </row>
        <row r="6485">
          <cell r="A6485">
            <v>48833</v>
          </cell>
          <cell r="B6485" t="str">
            <v>CORPORATION</v>
          </cell>
          <cell r="C6485" t="str">
            <v>Comercial Eletrica Wf 03 Eireli</v>
          </cell>
          <cell r="D6485" t="str">
            <v>Eletrica Wf 03</v>
          </cell>
          <cell r="E6485" t="str">
            <v>BR_CNPJ</v>
          </cell>
          <cell r="F6485" t="str">
            <v>39.457.532/0001-98</v>
          </cell>
          <cell r="G6485" t="str">
            <v>COMERCIAL ELETRICA W.F.</v>
          </cell>
        </row>
        <row r="6486">
          <cell r="A6486">
            <v>48836</v>
          </cell>
          <cell r="B6486" t="str">
            <v>CORPORATION</v>
          </cell>
          <cell r="C6486" t="str">
            <v>Rei Das Maquitas Comercio E Servicos De Ferramentas Ltda</v>
          </cell>
          <cell r="D6486" t="str">
            <v>Rei Das Maquitas</v>
          </cell>
          <cell r="E6486" t="str">
            <v>BR_CNPJ</v>
          </cell>
          <cell r="F6486" t="str">
            <v>05.487.347/0001-24</v>
          </cell>
        </row>
        <row r="6487">
          <cell r="A6487">
            <v>48839</v>
          </cell>
          <cell r="B6487" t="str">
            <v>CORPORATION</v>
          </cell>
          <cell r="C6487" t="str">
            <v>A.O.Felismino Comercio De Ferramentas Em Geral</v>
          </cell>
          <cell r="D6487" t="str">
            <v>Agm Ferramentas</v>
          </cell>
          <cell r="E6487" t="str">
            <v>BR_CNPJ</v>
          </cell>
          <cell r="F6487" t="str">
            <v>40.313.832/0001-82</v>
          </cell>
        </row>
        <row r="6488">
          <cell r="A6488">
            <v>48847</v>
          </cell>
          <cell r="B6488" t="str">
            <v>CORPORATION</v>
          </cell>
          <cell r="C6488" t="str">
            <v>Fbr Ferramentas Ltda</v>
          </cell>
          <cell r="D6488" t="str">
            <v>Fbr Ferramentas</v>
          </cell>
          <cell r="E6488" t="str">
            <v>BR_CNPJ</v>
          </cell>
          <cell r="F6488" t="str">
            <v>50.738.518/0001-03</v>
          </cell>
        </row>
        <row r="6489">
          <cell r="A6489">
            <v>48863</v>
          </cell>
          <cell r="B6489" t="str">
            <v>CORPORATION</v>
          </cell>
          <cell r="C6489" t="str">
            <v>Elo Tecnico Comercial Ltda</v>
          </cell>
          <cell r="D6489" t="str">
            <v>Elo Tecnico</v>
          </cell>
          <cell r="E6489" t="str">
            <v>BR_CNPJ</v>
          </cell>
          <cell r="F6489" t="str">
            <v>03.677.066/0001-09</v>
          </cell>
        </row>
        <row r="6490">
          <cell r="A6490">
            <v>48871</v>
          </cell>
          <cell r="B6490" t="str">
            <v>CORPORATION</v>
          </cell>
          <cell r="C6490" t="str">
            <v>G F De Oliveira</v>
          </cell>
          <cell r="D6490" t="str">
            <v>G F Eletro Bombas</v>
          </cell>
          <cell r="E6490" t="str">
            <v>BR_CNPJ</v>
          </cell>
          <cell r="F6490" t="str">
            <v>16.979.081/0001-53</v>
          </cell>
        </row>
        <row r="6491">
          <cell r="A6491">
            <v>48874</v>
          </cell>
          <cell r="B6491" t="str">
            <v>CORPORATION</v>
          </cell>
          <cell r="C6491" t="str">
            <v>Loc Obras Locadora De Equipamentos Ltda</v>
          </cell>
          <cell r="D6491" t="str">
            <v>Loc Obras</v>
          </cell>
          <cell r="E6491" t="str">
            <v>BR_CNPJ</v>
          </cell>
          <cell r="F6491" t="str">
            <v>27.434.583/0001-15</v>
          </cell>
        </row>
        <row r="6492">
          <cell r="A6492">
            <v>48882</v>
          </cell>
          <cell r="B6492" t="str">
            <v>CORPORATION</v>
          </cell>
          <cell r="C6492" t="str">
            <v>Ediwaldo Borrett</v>
          </cell>
          <cell r="D6492" t="str">
            <v>Borrett Motores</v>
          </cell>
          <cell r="E6492" t="str">
            <v>BR_CNPJ</v>
          </cell>
          <cell r="F6492" t="str">
            <v>00.119.104/0001-10</v>
          </cell>
        </row>
        <row r="6493">
          <cell r="A6493">
            <v>48885</v>
          </cell>
          <cell r="B6493" t="str">
            <v>CORPORATION</v>
          </cell>
          <cell r="C6493" t="str">
            <v>Agro Formosa Ltda</v>
          </cell>
          <cell r="D6493" t="str">
            <v>Agro Formosa</v>
          </cell>
          <cell r="E6493" t="str">
            <v>BR_CNPJ</v>
          </cell>
          <cell r="F6493" t="str">
            <v>44.495.580/0001-00</v>
          </cell>
        </row>
        <row r="6494">
          <cell r="A6494">
            <v>48886</v>
          </cell>
          <cell r="B6494" t="str">
            <v>CORPORATION</v>
          </cell>
          <cell r="C6494" t="str">
            <v>Comercial De Ferramentas Mato Grosso Ltda</v>
          </cell>
          <cell r="D6494" t="str">
            <v>Comercial De Ferramentas Mato Grosso Ltda</v>
          </cell>
          <cell r="E6494" t="str">
            <v>BR_CNPJ</v>
          </cell>
          <cell r="F6494" t="str">
            <v>02.303.780/0001-74</v>
          </cell>
          <cell r="G6494" t="str">
            <v>FERRAMENTAS MATO GROSSO</v>
          </cell>
        </row>
        <row r="6495">
          <cell r="A6495">
            <v>48890</v>
          </cell>
          <cell r="B6495" t="str">
            <v>CORPORATION</v>
          </cell>
          <cell r="C6495" t="str">
            <v>Breno Henrique Americo Almeida</v>
          </cell>
          <cell r="D6495" t="str">
            <v>Eletrominas Bh</v>
          </cell>
          <cell r="E6495" t="str">
            <v>BR_CNPJ</v>
          </cell>
          <cell r="F6495" t="str">
            <v>22.161.246/0001-88</v>
          </cell>
        </row>
        <row r="6496">
          <cell r="A6496">
            <v>48891</v>
          </cell>
          <cell r="B6496" t="str">
            <v>CORPORATION</v>
          </cell>
          <cell r="C6496" t="str">
            <v>Sarandi Comercio De Mangueiras Hidraulicas Ltda</v>
          </cell>
          <cell r="D6496" t="str">
            <v>Sarandi Ferramentas &amp; Cia</v>
          </cell>
          <cell r="E6496" t="str">
            <v>BR_CNPJ</v>
          </cell>
          <cell r="F6496" t="str">
            <v>35.447.231/0002-03</v>
          </cell>
        </row>
        <row r="6497">
          <cell r="A6497">
            <v>48894</v>
          </cell>
          <cell r="B6497" t="str">
            <v>CORPORATION</v>
          </cell>
          <cell r="C6497" t="str">
            <v>Montreal Maquinas E Ferramentas Ltda</v>
          </cell>
          <cell r="D6497" t="str">
            <v>Montreal Ferramentas</v>
          </cell>
          <cell r="E6497" t="str">
            <v>BR_CNPJ</v>
          </cell>
          <cell r="F6497" t="str">
            <v>39.775.237/0001-80</v>
          </cell>
        </row>
        <row r="6498">
          <cell r="A6498">
            <v>48895</v>
          </cell>
          <cell r="B6498" t="str">
            <v>CORPORATION</v>
          </cell>
          <cell r="C6498" t="str">
            <v>Dumar Comercio E Servicos Ltda</v>
          </cell>
          <cell r="D6498" t="str">
            <v>Dumar</v>
          </cell>
          <cell r="E6498" t="str">
            <v>BR_CNPJ</v>
          </cell>
          <cell r="F6498" t="str">
            <v>35.865.229/0001-73</v>
          </cell>
        </row>
        <row r="6499">
          <cell r="A6499">
            <v>48896</v>
          </cell>
          <cell r="B6499" t="str">
            <v>CORPORATION</v>
          </cell>
          <cell r="C6499" t="str">
            <v>Jose Wellington Ferreira De Barros</v>
          </cell>
          <cell r="D6499" t="str">
            <v>Ponto Das Ferramentas</v>
          </cell>
          <cell r="E6499" t="str">
            <v>BR_CNPJ</v>
          </cell>
          <cell r="F6499" t="str">
            <v>27.751.293/0001-03</v>
          </cell>
        </row>
        <row r="6500">
          <cell r="A6500">
            <v>48906</v>
          </cell>
          <cell r="B6500" t="str">
            <v>CORPORATION</v>
          </cell>
          <cell r="C6500" t="str">
            <v>Compra Aki Comercio De Ferramentas Eireli</v>
          </cell>
          <cell r="D6500" t="str">
            <v>Compra Aki</v>
          </cell>
          <cell r="E6500" t="str">
            <v>BR_CNPJ</v>
          </cell>
          <cell r="F6500" t="str">
            <v>36.501.363/0001-58</v>
          </cell>
        </row>
        <row r="6501">
          <cell r="A6501">
            <v>48919</v>
          </cell>
          <cell r="B6501" t="str">
            <v>CORPORATION</v>
          </cell>
          <cell r="C6501" t="str">
            <v>Mares Servicos E Comercio De Equipamentos Eireli</v>
          </cell>
          <cell r="D6501" t="str">
            <v>Mares Servicos E Comercio De Equipamentos Eireli</v>
          </cell>
          <cell r="E6501" t="str">
            <v>BR_CNPJ</v>
          </cell>
          <cell r="F6501" t="str">
            <v>19.061.289/0001-87</v>
          </cell>
        </row>
        <row r="6502">
          <cell r="A6502">
            <v>48920</v>
          </cell>
          <cell r="B6502" t="str">
            <v>CORPORATION</v>
          </cell>
          <cell r="C6502" t="str">
            <v>R C Nepomuceno Ferramentas</v>
          </cell>
          <cell r="D6502" t="str">
            <v>Beto Ferramentas</v>
          </cell>
          <cell r="E6502" t="str">
            <v>BR_CNPJ</v>
          </cell>
          <cell r="F6502" t="str">
            <v>36.061.746/0001-52</v>
          </cell>
        </row>
        <row r="6503">
          <cell r="A6503">
            <v>48925</v>
          </cell>
          <cell r="B6503" t="str">
            <v>CORPORATION</v>
          </cell>
          <cell r="C6503" t="str">
            <v>Atlas Parafusos Ltda</v>
          </cell>
          <cell r="D6503" t="str">
            <v>Atlas Parafusos</v>
          </cell>
          <cell r="E6503" t="str">
            <v>BR_CNPJ</v>
          </cell>
          <cell r="F6503" t="str">
            <v>02.815.293/0001-90</v>
          </cell>
          <cell r="G6503" t="str">
            <v>ATLAS PARAFUSOS</v>
          </cell>
        </row>
        <row r="6504">
          <cell r="A6504">
            <v>48930</v>
          </cell>
          <cell r="B6504" t="str">
            <v>CORPORATION</v>
          </cell>
          <cell r="C6504" t="str">
            <v>Marcelo Roberto De Oliveira</v>
          </cell>
          <cell r="D6504" t="str">
            <v>Amaxtec</v>
          </cell>
          <cell r="E6504" t="str">
            <v>BR_CNPJ</v>
          </cell>
          <cell r="F6504" t="str">
            <v>34.490.746/0001-42</v>
          </cell>
        </row>
        <row r="6505">
          <cell r="A6505">
            <v>48939</v>
          </cell>
          <cell r="B6505" t="str">
            <v>CORPORATION</v>
          </cell>
          <cell r="C6505" t="str">
            <v>Lmc Mangueiras E Parafusos Ltda</v>
          </cell>
          <cell r="D6505" t="str">
            <v>A Vencedora Parafusos E Ferramentas</v>
          </cell>
          <cell r="E6505" t="str">
            <v>BR_CNPJ</v>
          </cell>
          <cell r="F6505" t="str">
            <v>36.551.677/0001-65</v>
          </cell>
        </row>
        <row r="6506">
          <cell r="A6506">
            <v>48943</v>
          </cell>
          <cell r="B6506" t="str">
            <v>CORPORATION</v>
          </cell>
          <cell r="C6506" t="str">
            <v>J Sacramenta Leao</v>
          </cell>
          <cell r="D6506" t="str">
            <v>J S Leao</v>
          </cell>
          <cell r="E6506" t="str">
            <v>BR_CNPJ</v>
          </cell>
          <cell r="F6506" t="str">
            <v>37.965.603/0001-38</v>
          </cell>
        </row>
        <row r="6507">
          <cell r="A6507">
            <v>48961</v>
          </cell>
          <cell r="B6507" t="str">
            <v>CORPORATION</v>
          </cell>
          <cell r="C6507" t="str">
            <v>Aco Radial Ltda</v>
          </cell>
          <cell r="D6507" t="str">
            <v>Aco Radial</v>
          </cell>
          <cell r="E6507" t="str">
            <v>BR_CNPJ</v>
          </cell>
          <cell r="F6507" t="str">
            <v>10.883.068/0001-10</v>
          </cell>
        </row>
        <row r="6508">
          <cell r="A6508">
            <v>48963</v>
          </cell>
          <cell r="B6508" t="str">
            <v>CORPORATION</v>
          </cell>
          <cell r="C6508" t="str">
            <v>Mezavila E Brazil Ltda</v>
          </cell>
          <cell r="D6508" t="str">
            <v>Mezavila E Brazil</v>
          </cell>
          <cell r="E6508" t="str">
            <v>BR_CNPJ</v>
          </cell>
          <cell r="F6508" t="str">
            <v>27.492.048/0001-10</v>
          </cell>
        </row>
        <row r="6509">
          <cell r="A6509">
            <v>48966</v>
          </cell>
          <cell r="B6509" t="str">
            <v>CORPORATION</v>
          </cell>
          <cell r="C6509" t="str">
            <v>Ae Ferramentas Ltda</v>
          </cell>
          <cell r="D6509" t="str">
            <v>Uniao Ferramentas</v>
          </cell>
          <cell r="E6509" t="str">
            <v>BR_CNPJ</v>
          </cell>
          <cell r="F6509" t="str">
            <v>35.297.767/0001-09</v>
          </cell>
          <cell r="G6509" t="str">
            <v>TAURAS</v>
          </cell>
        </row>
        <row r="6510">
          <cell r="A6510">
            <v>48970</v>
          </cell>
          <cell r="B6510" t="str">
            <v>CORPORATION</v>
          </cell>
          <cell r="C6510" t="str">
            <v>Emerson Pereira Da Silva</v>
          </cell>
          <cell r="D6510" t="str">
            <v>Imperio Das Mangueiras</v>
          </cell>
          <cell r="E6510" t="str">
            <v>BR_CNPJ</v>
          </cell>
          <cell r="F6510" t="str">
            <v>01.284.238/0001-59</v>
          </cell>
        </row>
        <row r="6511">
          <cell r="A6511">
            <v>48974</v>
          </cell>
          <cell r="B6511" t="str">
            <v>CORPORATION</v>
          </cell>
          <cell r="C6511" t="str">
            <v>A.R.S. - Industria E Comercio De Parafusos E Ferragens Ltda</v>
          </cell>
          <cell r="D6511" t="str">
            <v>A R S</v>
          </cell>
          <cell r="E6511" t="str">
            <v>BR_CNPJ</v>
          </cell>
          <cell r="F6511" t="str">
            <v>57.599.581/0001-47</v>
          </cell>
        </row>
        <row r="6512">
          <cell r="A6512">
            <v>48977</v>
          </cell>
          <cell r="B6512" t="str">
            <v>CORPORATION</v>
          </cell>
          <cell r="C6512" t="str">
            <v>Oxigenio Oratorio Ltda</v>
          </cell>
          <cell r="D6512" t="str">
            <v>Oxigenio Oratorio Ltda</v>
          </cell>
          <cell r="E6512" t="str">
            <v>BR_CNPJ</v>
          </cell>
          <cell r="F6512" t="str">
            <v>00.592.818/0001-40</v>
          </cell>
        </row>
        <row r="6513">
          <cell r="A6513">
            <v>48980</v>
          </cell>
          <cell r="B6513" t="str">
            <v>CORPORATION</v>
          </cell>
          <cell r="C6513" t="str">
            <v>J B Do Nascimento Ferramentas</v>
          </cell>
          <cell r="D6513" t="str">
            <v>Mingu Ferramentas</v>
          </cell>
          <cell r="E6513" t="str">
            <v>BR_CNPJ</v>
          </cell>
          <cell r="F6513" t="str">
            <v>21.758.247/0001-41</v>
          </cell>
        </row>
        <row r="6514">
          <cell r="A6514">
            <v>48982</v>
          </cell>
          <cell r="B6514" t="str">
            <v>CORPORATION</v>
          </cell>
          <cell r="C6514" t="str">
            <v>Ab Rodrigues Ferramentas Ltda.</v>
          </cell>
          <cell r="D6514" t="str">
            <v>Ab Rodrigues Ferramentas</v>
          </cell>
          <cell r="E6514" t="str">
            <v>BR_CNPJ</v>
          </cell>
          <cell r="F6514" t="str">
            <v>40.316.539/0001-79</v>
          </cell>
        </row>
        <row r="6515">
          <cell r="A6515">
            <v>48985</v>
          </cell>
          <cell r="B6515" t="str">
            <v>CORPORATION</v>
          </cell>
          <cell r="C6515" t="str">
            <v>Comercio De Ferramentas Teruya Ltda</v>
          </cell>
          <cell r="D6515" t="str">
            <v>Teruya Aricanduva (Casa Do Lojista Teruya 2)</v>
          </cell>
          <cell r="E6515" t="str">
            <v>BR_CNPJ</v>
          </cell>
          <cell r="F6515" t="str">
            <v>49.318.538/0003-08</v>
          </cell>
          <cell r="G6515" t="str">
            <v>CASA DO LOJISTA</v>
          </cell>
        </row>
        <row r="6516">
          <cell r="A6516">
            <v>48989</v>
          </cell>
          <cell r="B6516" t="str">
            <v>CORPORATION</v>
          </cell>
          <cell r="C6516" t="str">
            <v>Amc Pecas Industriais Ltda</v>
          </cell>
          <cell r="D6516" t="str">
            <v>Camilo Pecas Industriais</v>
          </cell>
          <cell r="E6516" t="str">
            <v>BR_CNPJ</v>
          </cell>
          <cell r="F6516" t="str">
            <v>20.808.236/0001-66</v>
          </cell>
        </row>
        <row r="6517">
          <cell r="A6517">
            <v>48991</v>
          </cell>
          <cell r="B6517" t="str">
            <v>CORPORATION</v>
          </cell>
          <cell r="C6517" t="str">
            <v>Epg-Comercio De Eletrica Hidraulica Ferragens E Ferramentas Eireli</v>
          </cell>
          <cell r="D6517" t="str">
            <v>Home Center Ene Esse</v>
          </cell>
          <cell r="E6517" t="str">
            <v>BR_CNPJ</v>
          </cell>
          <cell r="F6517" t="str">
            <v>10.366.272/0001-63</v>
          </cell>
        </row>
        <row r="6518">
          <cell r="A6518">
            <v>48992</v>
          </cell>
          <cell r="B6518" t="str">
            <v>CORPORATION</v>
          </cell>
          <cell r="C6518" t="str">
            <v>R. Bassi De Oliveira Soldas Especiais Ltda</v>
          </cell>
          <cell r="D6518" t="str">
            <v>Industrial Bassi</v>
          </cell>
          <cell r="E6518" t="str">
            <v>BR_CNPJ</v>
          </cell>
          <cell r="F6518" t="str">
            <v>50.630.762/0001-40</v>
          </cell>
        </row>
        <row r="6519">
          <cell r="A6519">
            <v>48994</v>
          </cell>
          <cell r="B6519" t="str">
            <v>CORPORATION</v>
          </cell>
          <cell r="C6519" t="str">
            <v>Eletro M&amp;B Eireli</v>
          </cell>
          <cell r="D6519" t="str">
            <v>Eletro M&amp;B</v>
          </cell>
          <cell r="E6519" t="str">
            <v>BR_CNPJ</v>
          </cell>
          <cell r="F6519" t="str">
            <v>11.421.167/0001-42</v>
          </cell>
        </row>
        <row r="6520">
          <cell r="A6520">
            <v>49014</v>
          </cell>
          <cell r="B6520" t="str">
            <v>CORPORATION</v>
          </cell>
          <cell r="C6520" t="str">
            <v>Dupoli Comercio Importacao Exportacao E Representacoes Ltda</v>
          </cell>
          <cell r="D6520" t="str">
            <v>Dupoli Comercio Importacao Exportacao E Representacoes Ltda</v>
          </cell>
          <cell r="E6520" t="str">
            <v>BR_CNPJ</v>
          </cell>
          <cell r="F6520" t="str">
            <v>01.482.549/0001-22</v>
          </cell>
        </row>
        <row r="6521">
          <cell r="A6521">
            <v>49018</v>
          </cell>
          <cell r="B6521" t="str">
            <v>CORPORATION</v>
          </cell>
          <cell r="C6521" t="str">
            <v>Luiz Pedro Riva 96347473887</v>
          </cell>
          <cell r="D6521" t="str">
            <v>Lpr Pecas Para Corte E Solda.</v>
          </cell>
          <cell r="E6521" t="str">
            <v>BR_CNPJ</v>
          </cell>
          <cell r="F6521" t="str">
            <v>33.910.037/0001-06</v>
          </cell>
        </row>
        <row r="6522">
          <cell r="A6522">
            <v>49034</v>
          </cell>
          <cell r="B6522" t="str">
            <v>CORPORATION</v>
          </cell>
          <cell r="C6522" t="str">
            <v>Parafusoferr Ltda</v>
          </cell>
          <cell r="D6522" t="str">
            <v>Parafusoferr</v>
          </cell>
          <cell r="E6522" t="str">
            <v>BR_CNPJ</v>
          </cell>
          <cell r="F6522" t="str">
            <v>13.797.860/0001-40</v>
          </cell>
        </row>
        <row r="6523">
          <cell r="A6523">
            <v>49037</v>
          </cell>
          <cell r="B6523" t="str">
            <v>CORPORATION</v>
          </cell>
          <cell r="C6523" t="str">
            <v>Disferro Comercio De Ferragens Eireli</v>
          </cell>
          <cell r="D6523" t="str">
            <v>Disferro Comercio De Ferragens Eireli</v>
          </cell>
          <cell r="E6523" t="str">
            <v>BR_CNPJ</v>
          </cell>
          <cell r="F6523" t="str">
            <v>07.130.078/0003-31</v>
          </cell>
          <cell r="G6523" t="str">
            <v>IRMAOS FONTOURA</v>
          </cell>
        </row>
        <row r="6524">
          <cell r="A6524">
            <v>49058</v>
          </cell>
          <cell r="B6524" t="str">
            <v>CORPORATION</v>
          </cell>
          <cell r="C6524" t="str">
            <v>Torkes Epi E Ferramentas Ltda</v>
          </cell>
          <cell r="D6524" t="str">
            <v>Torkes</v>
          </cell>
          <cell r="E6524" t="str">
            <v>BR_CNPJ</v>
          </cell>
          <cell r="F6524" t="str">
            <v>15.284.481/0001-81</v>
          </cell>
        </row>
        <row r="6525">
          <cell r="A6525">
            <v>49063</v>
          </cell>
          <cell r="B6525" t="str">
            <v>CORPORATION</v>
          </cell>
          <cell r="C6525" t="str">
            <v>Agrisolo Pecas Agricolas Ltda</v>
          </cell>
          <cell r="D6525" t="str">
            <v>Agrisolo Pecas Agricolas</v>
          </cell>
          <cell r="E6525" t="str">
            <v>BR_CNPJ</v>
          </cell>
          <cell r="F6525" t="str">
            <v>32.933.144/0001-97</v>
          </cell>
        </row>
        <row r="6526">
          <cell r="A6526">
            <v>49065</v>
          </cell>
          <cell r="B6526" t="str">
            <v>CORPORATION</v>
          </cell>
          <cell r="C6526" t="str">
            <v>Planaltina Rei Dos Parafusos Ltda</v>
          </cell>
          <cell r="D6526" t="str">
            <v>Rei Dos Parafusos</v>
          </cell>
          <cell r="E6526" t="str">
            <v>BR_CNPJ</v>
          </cell>
          <cell r="F6526" t="str">
            <v>37.878.909/0001-57</v>
          </cell>
        </row>
        <row r="6527">
          <cell r="A6527">
            <v>49067</v>
          </cell>
          <cell r="B6527" t="str">
            <v>CORPORATION</v>
          </cell>
          <cell r="C6527" t="str">
            <v>Jr Net Conexao Ltda</v>
          </cell>
          <cell r="D6527" t="str">
            <v>Jrnet Conect</v>
          </cell>
          <cell r="E6527" t="str">
            <v>BR_CNPJ</v>
          </cell>
          <cell r="F6527" t="str">
            <v>13.265.915/0001-70</v>
          </cell>
        </row>
        <row r="6528">
          <cell r="A6528">
            <v>49073</v>
          </cell>
          <cell r="B6528" t="str">
            <v>CORPORATION</v>
          </cell>
          <cell r="C6528" t="str">
            <v>Pes Soldas Comercio Eireli</v>
          </cell>
          <cell r="D6528" t="str">
            <v>Pes Soldas Comercio Eireli</v>
          </cell>
          <cell r="E6528" t="str">
            <v>BR_CNPJ</v>
          </cell>
          <cell r="F6528" t="str">
            <v>15.440.625/0001-41</v>
          </cell>
        </row>
        <row r="6529">
          <cell r="A6529">
            <v>49076</v>
          </cell>
          <cell r="B6529" t="str">
            <v>CORPORATION</v>
          </cell>
          <cell r="C6529" t="str">
            <v>Vedacoes Makita Acessorios Industriais Ltda</v>
          </cell>
          <cell r="D6529" t="str">
            <v>Vedacoes Makita Acessorios Industriais Ltda</v>
          </cell>
          <cell r="E6529" t="str">
            <v>BR_CNPJ</v>
          </cell>
          <cell r="F6529" t="str">
            <v>52.868.510/0001-89</v>
          </cell>
        </row>
        <row r="6530">
          <cell r="A6530">
            <v>49090</v>
          </cell>
          <cell r="B6530" t="str">
            <v>CORPORATION</v>
          </cell>
          <cell r="C6530" t="str">
            <v>Grimaq Comercio E Servico Ltda</v>
          </cell>
          <cell r="D6530" t="str">
            <v>Grimaq</v>
          </cell>
          <cell r="E6530" t="str">
            <v>BR_CNPJ</v>
          </cell>
          <cell r="F6530" t="str">
            <v>13.166.340/0001-39</v>
          </cell>
        </row>
        <row r="6531">
          <cell r="A6531">
            <v>49093</v>
          </cell>
          <cell r="B6531" t="str">
            <v>CORPORATION</v>
          </cell>
          <cell r="C6531" t="str">
            <v>Iromar Benjamin Da Silva 49387952215</v>
          </cell>
          <cell r="D6531" t="str">
            <v>Maqtec</v>
          </cell>
          <cell r="E6531" t="str">
            <v>BR_CNPJ</v>
          </cell>
          <cell r="F6531" t="str">
            <v>37.663.604/0001-28</v>
          </cell>
        </row>
        <row r="6532">
          <cell r="A6532">
            <v>49099</v>
          </cell>
          <cell r="B6532" t="str">
            <v>CORPORATION</v>
          </cell>
          <cell r="C6532" t="str">
            <v>Henrique Woitechen 05177951910</v>
          </cell>
          <cell r="D6532" t="str">
            <v>Hw Pecas</v>
          </cell>
          <cell r="E6532" t="str">
            <v>BR_CNPJ</v>
          </cell>
          <cell r="F6532" t="str">
            <v>36.639.500/0001-15</v>
          </cell>
        </row>
        <row r="6533">
          <cell r="A6533">
            <v>49104</v>
          </cell>
          <cell r="B6533" t="str">
            <v>CORPORATION</v>
          </cell>
          <cell r="C6533" t="str">
            <v>R. Lazzari Casa Das Ferragens Eireli</v>
          </cell>
          <cell r="D6533" t="str">
            <v>Casa Das Ferragens</v>
          </cell>
          <cell r="E6533" t="str">
            <v>BR_CNPJ</v>
          </cell>
          <cell r="F6533" t="str">
            <v>33.624.056/0001-76</v>
          </cell>
        </row>
        <row r="6534">
          <cell r="A6534">
            <v>49107</v>
          </cell>
          <cell r="B6534" t="str">
            <v>CORPORATION</v>
          </cell>
          <cell r="C6534" t="str">
            <v>F P De Melo Eireli</v>
          </cell>
          <cell r="D6534" t="str">
            <v>Cimentao Parua</v>
          </cell>
          <cell r="E6534" t="str">
            <v>BR_CNPJ</v>
          </cell>
          <cell r="F6534" t="str">
            <v>00.341.455/0001-70</v>
          </cell>
        </row>
        <row r="6535">
          <cell r="A6535">
            <v>49110</v>
          </cell>
          <cell r="B6535" t="str">
            <v>CORPORATION</v>
          </cell>
          <cell r="C6535" t="str">
            <v>Centermax Tintas E Equipamentos Eireli</v>
          </cell>
          <cell r="D6535" t="str">
            <v>Centermax Ferramentas E Tintas</v>
          </cell>
          <cell r="E6535" t="str">
            <v>BR_CNPJ</v>
          </cell>
          <cell r="F6535" t="str">
            <v>33.443.686/0001-44</v>
          </cell>
        </row>
        <row r="6536">
          <cell r="A6536">
            <v>49113</v>
          </cell>
          <cell r="B6536" t="str">
            <v>CORPORATION</v>
          </cell>
          <cell r="C6536" t="str">
            <v>Wi Suprimentos Industriais Ltda</v>
          </cell>
          <cell r="D6536" t="str">
            <v>Wi Suprimentos Industriais Ltda</v>
          </cell>
          <cell r="E6536" t="str">
            <v>BR_CNPJ</v>
          </cell>
          <cell r="F6536" t="str">
            <v>55.140.499/0001-24</v>
          </cell>
        </row>
        <row r="6537">
          <cell r="A6537">
            <v>49115</v>
          </cell>
          <cell r="B6537" t="str">
            <v>CORPORATION</v>
          </cell>
          <cell r="C6537" t="str">
            <v>Via Norte Comercio Varejista De Parafusos Ltda</v>
          </cell>
          <cell r="D6537" t="str">
            <v>Via Norte Parafusos</v>
          </cell>
          <cell r="E6537" t="str">
            <v>BR_CNPJ</v>
          </cell>
          <cell r="F6537" t="str">
            <v>31.863.005/0001-71</v>
          </cell>
        </row>
        <row r="6538">
          <cell r="A6538">
            <v>49116</v>
          </cell>
          <cell r="B6538" t="str">
            <v>CORPORATION</v>
          </cell>
          <cell r="C6538" t="str">
            <v>Parceiraco - Parceiros Do Aco Ltda</v>
          </cell>
          <cell r="D6538" t="str">
            <v>Parceiraco (Bicão)</v>
          </cell>
          <cell r="E6538" t="str">
            <v>BR_CNPJ</v>
          </cell>
          <cell r="F6538" t="str">
            <v>46.326.992/0002-23</v>
          </cell>
          <cell r="G6538" t="str">
            <v>BICÃO/PARCEIRAÇO</v>
          </cell>
        </row>
        <row r="6539">
          <cell r="A6539">
            <v>49122</v>
          </cell>
          <cell r="B6539" t="str">
            <v>CORPORATION</v>
          </cell>
          <cell r="C6539" t="str">
            <v>Aguia Comercio - Eireli</v>
          </cell>
          <cell r="D6539" t="str">
            <v>Atacadao Do Ferragista</v>
          </cell>
          <cell r="E6539" t="str">
            <v>BR_CNPJ</v>
          </cell>
          <cell r="F6539" t="str">
            <v>14.326.932/0001-33</v>
          </cell>
        </row>
        <row r="6540">
          <cell r="A6540">
            <v>49123</v>
          </cell>
          <cell r="B6540" t="str">
            <v>CORPORATION</v>
          </cell>
          <cell r="C6540" t="str">
            <v>24.107.285 Leonardo Campos Jorge</v>
          </cell>
          <cell r="D6540" t="str">
            <v>24.107.285 Leonardo Campos Jorge</v>
          </cell>
          <cell r="E6540" t="str">
            <v>BR_CNPJ</v>
          </cell>
          <cell r="F6540" t="str">
            <v>24.107.285/0001-22</v>
          </cell>
        </row>
        <row r="6541">
          <cell r="A6541">
            <v>49150</v>
          </cell>
          <cell r="B6541" t="str">
            <v>CORPORATION</v>
          </cell>
          <cell r="C6541" t="str">
            <v>Meiraser Solucoes Comerciais E Empresariais Ltda</v>
          </cell>
          <cell r="D6541" t="str">
            <v>Meiraser Solucoes Praticas</v>
          </cell>
          <cell r="E6541" t="str">
            <v>BR_CNPJ</v>
          </cell>
          <cell r="F6541" t="str">
            <v>28.848.727/0001-42</v>
          </cell>
        </row>
        <row r="6542">
          <cell r="A6542">
            <v>49160</v>
          </cell>
          <cell r="B6542" t="str">
            <v>CORPORATION</v>
          </cell>
          <cell r="C6542" t="str">
            <v>Evertom Ricardo Pereira 05589081955</v>
          </cell>
          <cell r="D6542" t="str">
            <v>Erp Solucoes</v>
          </cell>
          <cell r="E6542" t="str">
            <v>BR_CNPJ</v>
          </cell>
          <cell r="F6542" t="str">
            <v>33.451.540/0001-40</v>
          </cell>
        </row>
        <row r="6543">
          <cell r="A6543">
            <v>49164</v>
          </cell>
          <cell r="B6543" t="str">
            <v>CORPORATION</v>
          </cell>
          <cell r="C6543" t="str">
            <v>Comercial Cruzeiro Ferragens E Ferramentas Ltda</v>
          </cell>
          <cell r="D6543" t="str">
            <v>Comercial Cruzeiro</v>
          </cell>
          <cell r="E6543" t="str">
            <v>BR_CNPJ</v>
          </cell>
          <cell r="F6543" t="str">
            <v>05.467.230/0001-89</v>
          </cell>
        </row>
        <row r="6544">
          <cell r="A6544">
            <v>49167</v>
          </cell>
          <cell r="B6544" t="str">
            <v>CORPORATION</v>
          </cell>
          <cell r="C6544" t="str">
            <v>R2g Comercial Ltda</v>
          </cell>
          <cell r="D6544" t="str">
            <v>R2g Comercial Ltda</v>
          </cell>
          <cell r="E6544" t="str">
            <v>BR_CNPJ</v>
          </cell>
          <cell r="F6544" t="str">
            <v>32.957.659/0001-27</v>
          </cell>
        </row>
        <row r="6545">
          <cell r="A6545">
            <v>49171</v>
          </cell>
          <cell r="B6545" t="str">
            <v>CORPORATION</v>
          </cell>
          <cell r="C6545" t="str">
            <v>Ello Express Comercio De Maquinas Ltda</v>
          </cell>
          <cell r="D6545" t="str">
            <v>Ello Express Comercio De Maquinas Ltda</v>
          </cell>
          <cell r="E6545" t="str">
            <v>BR_CNPJ</v>
          </cell>
          <cell r="F6545" t="str">
            <v>08.326.545/0001-02</v>
          </cell>
        </row>
        <row r="6546">
          <cell r="A6546">
            <v>49177</v>
          </cell>
          <cell r="B6546" t="str">
            <v>CORPORATION</v>
          </cell>
          <cell r="C6546" t="str">
            <v>Castro Comercio De Perfilados Metalicos Eireli</v>
          </cell>
          <cell r="D6546" t="str">
            <v>Castro Comercio De Perfilados Metalicos Eireli</v>
          </cell>
          <cell r="E6546" t="str">
            <v>BR_CNPJ</v>
          </cell>
          <cell r="F6546" t="str">
            <v>22.311.150/0001-59</v>
          </cell>
          <cell r="G6546" t="str">
            <v>CASTRO</v>
          </cell>
        </row>
        <row r="6547">
          <cell r="A6547">
            <v>49184</v>
          </cell>
          <cell r="B6547" t="str">
            <v>CORPORATION</v>
          </cell>
          <cell r="C6547" t="str">
            <v>J Sales Cerqueira Ferragens E Ferramentas Eireli</v>
          </cell>
          <cell r="D6547" t="str">
            <v>J M C Ferragens E Ferramentas</v>
          </cell>
          <cell r="E6547" t="str">
            <v>BR_CNPJ</v>
          </cell>
          <cell r="F6547" t="str">
            <v>40.501.475/0001-86</v>
          </cell>
        </row>
        <row r="6548">
          <cell r="A6548">
            <v>49188</v>
          </cell>
          <cell r="B6548" t="str">
            <v>CORPORATION</v>
          </cell>
          <cell r="C6548" t="str">
            <v>Portal Maquinas E Servicos Ltda</v>
          </cell>
          <cell r="D6548" t="str">
            <v>Portal Ferragens</v>
          </cell>
          <cell r="E6548" t="str">
            <v>BR_CNPJ</v>
          </cell>
          <cell r="F6548" t="str">
            <v>26.256.059/0002-10</v>
          </cell>
          <cell r="G6548" t="str">
            <v>PORTAL FERRAGENS</v>
          </cell>
        </row>
        <row r="6549">
          <cell r="A6549">
            <v>49191</v>
          </cell>
          <cell r="B6549" t="str">
            <v>CORPORATION</v>
          </cell>
          <cell r="C6549" t="str">
            <v>A. Moser Equipamentos E Automacao</v>
          </cell>
          <cell r="D6549" t="str">
            <v>A. Moser Equipamentos E Automacao</v>
          </cell>
          <cell r="E6549" t="str">
            <v>BR_CNPJ</v>
          </cell>
          <cell r="F6549" t="str">
            <v>26.986.211/0001-39</v>
          </cell>
        </row>
        <row r="6550">
          <cell r="A6550">
            <v>49207</v>
          </cell>
          <cell r="B6550" t="str">
            <v>CORPORATION</v>
          </cell>
          <cell r="C6550" t="str">
            <v>Milcorte Ferramentas Ltda</v>
          </cell>
          <cell r="D6550" t="str">
            <v>Milcorte Ferramentas</v>
          </cell>
          <cell r="E6550" t="str">
            <v>BR_CNPJ</v>
          </cell>
          <cell r="F6550" t="str">
            <v>38.167.983/0001-28</v>
          </cell>
        </row>
        <row r="6551">
          <cell r="A6551">
            <v>49209</v>
          </cell>
          <cell r="B6551" t="str">
            <v>CORPORATION</v>
          </cell>
          <cell r="C6551" t="str">
            <v>Reginaldo Alves De Carvalho</v>
          </cell>
          <cell r="D6551" t="str">
            <v>D' Carvalho Seguranca Eletronica E Telefonia</v>
          </cell>
          <cell r="E6551" t="str">
            <v>BR_CNPJ</v>
          </cell>
          <cell r="F6551" t="str">
            <v>02.201.924/0001-81</v>
          </cell>
        </row>
        <row r="6552">
          <cell r="A6552">
            <v>49212</v>
          </cell>
          <cell r="B6552" t="str">
            <v>CORPORATION</v>
          </cell>
          <cell r="C6552" t="str">
            <v>Paraferro Comercial Eireli</v>
          </cell>
          <cell r="D6552" t="str">
            <v>Mix Comercial</v>
          </cell>
          <cell r="E6552" t="str">
            <v>BR_CNPJ</v>
          </cell>
          <cell r="F6552" t="str">
            <v>35.028.308/0001-20</v>
          </cell>
        </row>
        <row r="6553">
          <cell r="A6553">
            <v>49214</v>
          </cell>
          <cell r="B6553" t="str">
            <v>CORPORATION</v>
          </cell>
          <cell r="C6553" t="str">
            <v>Coutec Servicos E Comercio Ltda</v>
          </cell>
          <cell r="D6553" t="str">
            <v>Coutec Servicos E Comercio Ltda</v>
          </cell>
          <cell r="E6553" t="str">
            <v>BR_CNPJ</v>
          </cell>
          <cell r="F6553" t="str">
            <v>04.610.158/0003-04</v>
          </cell>
          <cell r="G6553" t="str">
            <v>COUTEC</v>
          </cell>
        </row>
        <row r="6554">
          <cell r="A6554">
            <v>49218</v>
          </cell>
          <cell r="B6554" t="str">
            <v>CORPORATION</v>
          </cell>
          <cell r="C6554" t="str">
            <v>Rr Andrade Distribuidora Ltda.</v>
          </cell>
          <cell r="D6554" t="str">
            <v>Andrades Distribuidora</v>
          </cell>
          <cell r="E6554" t="str">
            <v>BR_CNPJ</v>
          </cell>
          <cell r="F6554" t="str">
            <v>15.292.367/0001-01</v>
          </cell>
        </row>
        <row r="6555">
          <cell r="A6555">
            <v>49228</v>
          </cell>
          <cell r="B6555" t="str">
            <v>CORPORATION</v>
          </cell>
          <cell r="C6555" t="str">
            <v>Davi Dimas Gomes Do Nascimento 03041872676</v>
          </cell>
          <cell r="D6555" t="str">
            <v>Ad Equipamentos (Gemac)</v>
          </cell>
          <cell r="E6555" t="str">
            <v>BR_CNPJ</v>
          </cell>
          <cell r="F6555" t="str">
            <v>29.406.542/0001-40</v>
          </cell>
          <cell r="G6555" t="str">
            <v>GEMAC</v>
          </cell>
        </row>
        <row r="6556">
          <cell r="A6556">
            <v>49236</v>
          </cell>
          <cell r="B6556" t="str">
            <v>CORPORATION</v>
          </cell>
          <cell r="C6556" t="str">
            <v>Bonfim Parafusos Ltda</v>
          </cell>
          <cell r="D6556" t="str">
            <v>Bonfim Parafusos</v>
          </cell>
          <cell r="E6556" t="str">
            <v>BR_CNPJ</v>
          </cell>
          <cell r="F6556" t="str">
            <v>49.690.634/0001-02</v>
          </cell>
          <cell r="G6556" t="str">
            <v>BONFIM PARAF</v>
          </cell>
        </row>
        <row r="6557">
          <cell r="A6557">
            <v>49241</v>
          </cell>
          <cell r="B6557" t="str">
            <v>CORPORATION</v>
          </cell>
          <cell r="C6557" t="str">
            <v>Julimar Da Silva Santos 02956813145</v>
          </cell>
          <cell r="D6557" t="str">
            <v>Js Ferragista</v>
          </cell>
          <cell r="E6557" t="str">
            <v>BR_CNPJ</v>
          </cell>
          <cell r="F6557" t="str">
            <v>42.737.438/0001-05</v>
          </cell>
        </row>
        <row r="6558">
          <cell r="A6558">
            <v>49249</v>
          </cell>
          <cell r="B6558" t="str">
            <v>CORPORATION</v>
          </cell>
          <cell r="C6558" t="str">
            <v>Vitferramentas Comercial Ltda</v>
          </cell>
          <cell r="D6558" t="str">
            <v>Vitoria Ferramentas E Parafusos</v>
          </cell>
          <cell r="E6558" t="str">
            <v>BR_CNPJ</v>
          </cell>
          <cell r="F6558" t="str">
            <v>26.958.598/0001-10</v>
          </cell>
        </row>
        <row r="6559">
          <cell r="A6559">
            <v>49259</v>
          </cell>
          <cell r="B6559" t="str">
            <v>CORPORATION</v>
          </cell>
          <cell r="C6559" t="str">
            <v>Agrovan Maquinas E Pecas Agricolas, Servicos De Consertos Ltda</v>
          </cell>
          <cell r="D6559" t="str">
            <v>Agrovan Pulverizadores E Maquinas Agricolas</v>
          </cell>
          <cell r="E6559" t="str">
            <v>BR_CNPJ</v>
          </cell>
          <cell r="F6559" t="str">
            <v>38.839.981/0001-38</v>
          </cell>
        </row>
        <row r="6560">
          <cell r="A6560">
            <v>49261</v>
          </cell>
          <cell r="B6560" t="str">
            <v>CORPORATION</v>
          </cell>
          <cell r="C6560" t="str">
            <v>Rocar Distribuicao Ltda</v>
          </cell>
          <cell r="D6560" t="str">
            <v>Rocar Distribuicao</v>
          </cell>
          <cell r="E6560" t="str">
            <v>BR_CNPJ</v>
          </cell>
          <cell r="F6560" t="str">
            <v>31.255.628/0001-61</v>
          </cell>
        </row>
        <row r="6561">
          <cell r="A6561">
            <v>49263</v>
          </cell>
          <cell r="B6561" t="str">
            <v>CORPORATION</v>
          </cell>
          <cell r="C6561" t="str">
            <v>Alice Vania De Morais 06913443617</v>
          </cell>
          <cell r="D6561" t="str">
            <v>Alice Vania De Morais 06913443617</v>
          </cell>
          <cell r="E6561" t="str">
            <v>BR_CNPJ</v>
          </cell>
          <cell r="F6561" t="str">
            <v>39.859.013/0001-56</v>
          </cell>
        </row>
        <row r="6562">
          <cell r="A6562">
            <v>49264</v>
          </cell>
          <cell r="B6562" t="str">
            <v>CORPORATION</v>
          </cell>
          <cell r="C6562" t="str">
            <v>Retifica Alfenas Ltda</v>
          </cell>
          <cell r="D6562" t="str">
            <v>Retifica Alfenas Ltda</v>
          </cell>
          <cell r="E6562" t="str">
            <v>BR_CNPJ</v>
          </cell>
          <cell r="F6562" t="str">
            <v>02.169.636/0001-97</v>
          </cell>
        </row>
        <row r="6563">
          <cell r="A6563">
            <v>49265</v>
          </cell>
          <cell r="B6563" t="str">
            <v>CORPORATION</v>
          </cell>
          <cell r="C6563" t="str">
            <v>Giba Ferragens Ltda</v>
          </cell>
          <cell r="D6563" t="str">
            <v>Giba Ferragens</v>
          </cell>
          <cell r="E6563" t="str">
            <v>BR_CNPJ</v>
          </cell>
          <cell r="F6563" t="str">
            <v>07.728.772/0001-93</v>
          </cell>
        </row>
        <row r="6564">
          <cell r="A6564">
            <v>49266</v>
          </cell>
          <cell r="B6564" t="str">
            <v>CORPORATION</v>
          </cell>
          <cell r="C6564" t="str">
            <v>Casa Dos Reparos Torneiras E Ferramentas Ltda.</v>
          </cell>
          <cell r="D6564" t="str">
            <v>Casa Dos Reparos Torneiras E Ferramentas Ltda.</v>
          </cell>
          <cell r="E6564" t="str">
            <v>BR_CNPJ</v>
          </cell>
          <cell r="F6564" t="str">
            <v>27.062.693/0001-01</v>
          </cell>
        </row>
        <row r="6565">
          <cell r="A6565">
            <v>49269</v>
          </cell>
          <cell r="B6565" t="str">
            <v>CORPORATION</v>
          </cell>
          <cell r="C6565" t="str">
            <v>Fr2 Comercial Eireli</v>
          </cell>
          <cell r="D6565" t="str">
            <v>Fr2 Comercial Eireli</v>
          </cell>
          <cell r="E6565" t="str">
            <v>BR_CNPJ</v>
          </cell>
          <cell r="F6565" t="str">
            <v>26.455.918/0001-19</v>
          </cell>
        </row>
        <row r="6566">
          <cell r="A6566">
            <v>49271</v>
          </cell>
          <cell r="B6566" t="str">
            <v>CORPORATION</v>
          </cell>
          <cell r="C6566" t="str">
            <v>Henrique B H Trilha Ltda</v>
          </cell>
          <cell r="D6566" t="str">
            <v>Santa Cruz Maquinas</v>
          </cell>
          <cell r="E6566" t="str">
            <v>BR_CNPJ</v>
          </cell>
          <cell r="F6566" t="str">
            <v>40.565.187/0001-95</v>
          </cell>
        </row>
        <row r="6567">
          <cell r="A6567">
            <v>49273</v>
          </cell>
          <cell r="B6567" t="str">
            <v>CORPORATION</v>
          </cell>
          <cell r="C6567" t="str">
            <v>Bruno Raphael Maciel 22878852850</v>
          </cell>
          <cell r="D6567" t="str">
            <v>Neo Soldas</v>
          </cell>
          <cell r="E6567" t="str">
            <v>BR_CNPJ</v>
          </cell>
          <cell r="F6567" t="str">
            <v>43.484.982/0001-47</v>
          </cell>
        </row>
        <row r="6568">
          <cell r="A6568">
            <v>49274</v>
          </cell>
          <cell r="B6568" t="str">
            <v>CORPORATION</v>
          </cell>
          <cell r="C6568" t="str">
            <v>Engerama Comercio De Materiais Para Construcao Ltda</v>
          </cell>
          <cell r="D6568" t="str">
            <v>Engerama Comercio De Materiais Para Construcao Ltda</v>
          </cell>
          <cell r="E6568" t="str">
            <v>BR_CNPJ</v>
          </cell>
          <cell r="F6568" t="str">
            <v>00.415.193/0003-03</v>
          </cell>
        </row>
        <row r="6569">
          <cell r="A6569">
            <v>49276</v>
          </cell>
          <cell r="B6569" t="str">
            <v>CORPORATION</v>
          </cell>
          <cell r="C6569" t="str">
            <v>Cjs Atacadista Ltda</v>
          </cell>
          <cell r="D6569" t="str">
            <v>Cjs Atacadista Ltda</v>
          </cell>
          <cell r="E6569" t="str">
            <v>BR_CNPJ</v>
          </cell>
          <cell r="F6569" t="str">
            <v>30.284.976/0001-02</v>
          </cell>
        </row>
        <row r="6570">
          <cell r="A6570">
            <v>49287</v>
          </cell>
          <cell r="B6570" t="str">
            <v>CORPORATION</v>
          </cell>
          <cell r="C6570" t="str">
            <v>50.047.432 Italo Teles De Castro</v>
          </cell>
          <cell r="D6570" t="str">
            <v>Comercial Divinopolis</v>
          </cell>
          <cell r="E6570" t="str">
            <v>BR_CNPJ</v>
          </cell>
          <cell r="F6570" t="str">
            <v>50.047.432/0001-26</v>
          </cell>
        </row>
        <row r="6571">
          <cell r="A6571">
            <v>49297</v>
          </cell>
          <cell r="B6571" t="str">
            <v>CORPORATION</v>
          </cell>
          <cell r="C6571" t="str">
            <v>Riosoldas - Empresa De Solucoes Em Soldagem Ltda.</v>
          </cell>
          <cell r="D6571" t="str">
            <v>Rio Soldas - The Welding Company Solutions - Arc Dynamics</v>
          </cell>
          <cell r="E6571" t="str">
            <v>BR_CNPJ</v>
          </cell>
          <cell r="F6571" t="str">
            <v>27.709.376/0001-26</v>
          </cell>
          <cell r="G6571" t="str">
            <v>ARC DYNAMICS</v>
          </cell>
        </row>
        <row r="6572">
          <cell r="A6572">
            <v>49300</v>
          </cell>
          <cell r="B6572" t="str">
            <v>CORPORATION</v>
          </cell>
          <cell r="C6572" t="str">
            <v>Claudenir Sousa Rodrigues</v>
          </cell>
          <cell r="D6572" t="str">
            <v>Casa Rodrigues</v>
          </cell>
          <cell r="E6572" t="str">
            <v>BR_CNPJ</v>
          </cell>
          <cell r="F6572" t="str">
            <v>01.513.409/0001-74</v>
          </cell>
        </row>
        <row r="6573">
          <cell r="A6573">
            <v>49305</v>
          </cell>
          <cell r="B6573" t="str">
            <v>CORPORATION</v>
          </cell>
          <cell r="C6573" t="str">
            <v>Rei Dos Parafusos Ltda</v>
          </cell>
          <cell r="D6573" t="str">
            <v>Rei Dos Parafusos Ltda</v>
          </cell>
          <cell r="E6573" t="str">
            <v>BR_CNPJ</v>
          </cell>
          <cell r="F6573" t="str">
            <v>07.053.796/0002-70</v>
          </cell>
        </row>
        <row r="6574">
          <cell r="A6574">
            <v>49308</v>
          </cell>
          <cell r="B6574" t="str">
            <v>CORPORATION</v>
          </cell>
          <cell r="C6574" t="str">
            <v>Cofermeta Sa</v>
          </cell>
          <cell r="D6574" t="str">
            <v>Cofermeta Sa</v>
          </cell>
          <cell r="E6574" t="str">
            <v>BR_CNPJ</v>
          </cell>
          <cell r="F6574" t="str">
            <v>17.281.973/0013-82</v>
          </cell>
        </row>
        <row r="6575">
          <cell r="A6575">
            <v>49310</v>
          </cell>
          <cell r="B6575" t="str">
            <v>CORPORATION</v>
          </cell>
          <cell r="C6575" t="str">
            <v>Ferramentas 175 Ltda</v>
          </cell>
          <cell r="D6575" t="str">
            <v>Ferramentas 175</v>
          </cell>
          <cell r="E6575" t="str">
            <v>BR_CNPJ</v>
          </cell>
          <cell r="F6575" t="str">
            <v>55.806.999/0001-52</v>
          </cell>
          <cell r="G6575" t="str">
            <v>ELETROSERV FERRAMENTAS</v>
          </cell>
        </row>
        <row r="6576">
          <cell r="A6576">
            <v>49322</v>
          </cell>
          <cell r="B6576" t="str">
            <v>CORPORATION</v>
          </cell>
          <cell r="C6576" t="str">
            <v>Phg Calcados E Uniformes Eireli</v>
          </cell>
          <cell r="D6576" t="str">
            <v>Phg Calcados E Uniformes Eireli</v>
          </cell>
          <cell r="E6576" t="str">
            <v>BR_CNPJ</v>
          </cell>
          <cell r="F6576" t="str">
            <v>19.756.448/0001-68</v>
          </cell>
        </row>
        <row r="6577">
          <cell r="A6577">
            <v>49325</v>
          </cell>
          <cell r="B6577" t="str">
            <v>CORPORATION</v>
          </cell>
          <cell r="C6577" t="str">
            <v>R Da Silveira Brito Ltda</v>
          </cell>
          <cell r="D6577" t="str">
            <v>M&amp;R Ferramentas</v>
          </cell>
          <cell r="E6577" t="str">
            <v>BR_CNPJ</v>
          </cell>
          <cell r="F6577" t="str">
            <v>42.980.504/0001-65</v>
          </cell>
        </row>
        <row r="6578">
          <cell r="A6578">
            <v>49328</v>
          </cell>
          <cell r="B6578" t="str">
            <v>CORPORATION</v>
          </cell>
          <cell r="C6578" t="str">
            <v>Sandra Regina Dos Passos Carletto</v>
          </cell>
          <cell r="D6578" t="str">
            <v>Comercio De Metais Diamante</v>
          </cell>
          <cell r="E6578" t="str">
            <v>BR_CNPJ</v>
          </cell>
          <cell r="F6578" t="str">
            <v>23.313.024/0001-04</v>
          </cell>
        </row>
        <row r="6579">
          <cell r="A6579">
            <v>49329</v>
          </cell>
          <cell r="B6579" t="str">
            <v>CORPORATION</v>
          </cell>
          <cell r="C6579" t="str">
            <v>Ponto Da Solda Ferragens Ltda</v>
          </cell>
          <cell r="D6579" t="str">
            <v>Ponto Da Solda</v>
          </cell>
          <cell r="E6579" t="str">
            <v>BR_CNPJ</v>
          </cell>
          <cell r="F6579" t="str">
            <v>34.445.174/0001-80</v>
          </cell>
        </row>
        <row r="6580">
          <cell r="A6580">
            <v>49333</v>
          </cell>
          <cell r="B6580" t="str">
            <v>CORPORATION</v>
          </cell>
          <cell r="C6580" t="str">
            <v>Coronel Ferramentas Ltda</v>
          </cell>
          <cell r="D6580" t="str">
            <v>Coronel Ferramentas Ltda</v>
          </cell>
          <cell r="E6580" t="str">
            <v>BR_CNPJ</v>
          </cell>
          <cell r="F6580" t="str">
            <v>51.619.830/0001-32</v>
          </cell>
        </row>
        <row r="6581">
          <cell r="A6581">
            <v>49345</v>
          </cell>
          <cell r="B6581" t="str">
            <v>CORPORATION</v>
          </cell>
          <cell r="C6581" t="str">
            <v>Rdf Ferragens Ltda</v>
          </cell>
          <cell r="D6581" t="str">
            <v>Rdf Ferragens</v>
          </cell>
          <cell r="E6581" t="str">
            <v>BR_CNPJ</v>
          </cell>
          <cell r="F6581" t="str">
            <v>54.774.645/0001-00</v>
          </cell>
        </row>
        <row r="6582">
          <cell r="A6582">
            <v>49354</v>
          </cell>
          <cell r="B6582" t="str">
            <v>CORPORATION</v>
          </cell>
          <cell r="C6582" t="str">
            <v>Atlas Store Comercio E Servicos Ltda</v>
          </cell>
          <cell r="D6582" t="str">
            <v>Atlas Store</v>
          </cell>
          <cell r="E6582" t="str">
            <v>BR_CNPJ</v>
          </cell>
          <cell r="F6582" t="str">
            <v>36.987.302/0001-42</v>
          </cell>
        </row>
        <row r="6583">
          <cell r="A6583">
            <v>49356</v>
          </cell>
          <cell r="B6583" t="str">
            <v>CORPORATION</v>
          </cell>
          <cell r="C6583" t="str">
            <v>Chapfer Distribuidora De Ferragens E Ferramentas Ltda</v>
          </cell>
          <cell r="D6583" t="str">
            <v>Chapfer Distribuidora De Ferragens E Ferramentas</v>
          </cell>
          <cell r="E6583" t="str">
            <v>BR_CNPJ</v>
          </cell>
          <cell r="F6583" t="str">
            <v>35.296.616/0001-36</v>
          </cell>
        </row>
        <row r="6584">
          <cell r="A6584">
            <v>49357</v>
          </cell>
          <cell r="B6584" t="str">
            <v>CORPORATION</v>
          </cell>
          <cell r="C6584" t="str">
            <v>Recicladora De Metais Noroeste Ltda</v>
          </cell>
          <cell r="D6584" t="str">
            <v>Recicladora De Metais Noroeste Ltda</v>
          </cell>
          <cell r="E6584" t="str">
            <v>BR_CNPJ</v>
          </cell>
          <cell r="F6584" t="str">
            <v>11.129.379/0001-50</v>
          </cell>
        </row>
        <row r="6585">
          <cell r="A6585">
            <v>49368</v>
          </cell>
          <cell r="B6585" t="str">
            <v>CORPORATION</v>
          </cell>
          <cell r="C6585" t="str">
            <v>Jb Ferramentas E Acessorios Ltda</v>
          </cell>
          <cell r="D6585" t="str">
            <v>Jb Ferramentas E Acessorios</v>
          </cell>
          <cell r="E6585" t="str">
            <v>BR_CNPJ</v>
          </cell>
          <cell r="F6585" t="str">
            <v>35.034.253/0001-60</v>
          </cell>
        </row>
        <row r="6586">
          <cell r="A6586">
            <v>49373</v>
          </cell>
          <cell r="B6586" t="str">
            <v>CORPORATION</v>
          </cell>
          <cell r="C6586" t="str">
            <v>Diesel Mais Comercio De Pecas E Servicos - Eireli</v>
          </cell>
          <cell r="D6586" t="str">
            <v>Diesel Mais Comercio De Pecas E Servicos - Eireli</v>
          </cell>
          <cell r="E6586" t="str">
            <v>BR_CNPJ</v>
          </cell>
          <cell r="F6586" t="str">
            <v>24.785.355/0001-00</v>
          </cell>
        </row>
        <row r="6587">
          <cell r="A6587">
            <v>49376</v>
          </cell>
          <cell r="B6587" t="str">
            <v>CORPORATION</v>
          </cell>
          <cell r="C6587" t="str">
            <v>Rubens Gomes Filho 10851303803</v>
          </cell>
          <cell r="D6587" t="str">
            <v>St Comercio On Line</v>
          </cell>
          <cell r="E6587" t="str">
            <v>BR_CNPJ</v>
          </cell>
          <cell r="F6587" t="str">
            <v>29.482.871/0001-70</v>
          </cell>
        </row>
        <row r="6588">
          <cell r="A6588">
            <v>49378</v>
          </cell>
          <cell r="B6588" t="str">
            <v>CORPORATION</v>
          </cell>
          <cell r="C6588" t="str">
            <v>N.C.Borges Comercio De Ferro E Aco</v>
          </cell>
          <cell r="D6588" t="str">
            <v>Ferro E Aco Borges</v>
          </cell>
          <cell r="E6588" t="str">
            <v>BR_CNPJ</v>
          </cell>
          <cell r="F6588" t="str">
            <v>12.415.254/0001-50</v>
          </cell>
        </row>
        <row r="6589">
          <cell r="A6589">
            <v>49379</v>
          </cell>
          <cell r="B6589" t="str">
            <v>CORPORATION</v>
          </cell>
          <cell r="C6589" t="str">
            <v>Marcio E. Muniz De Carvalho Bazar</v>
          </cell>
          <cell r="D6589" t="str">
            <v>Casa De Parafusos Raul Veiga</v>
          </cell>
          <cell r="E6589" t="str">
            <v>BR_CNPJ</v>
          </cell>
          <cell r="F6589" t="str">
            <v>03.975.432/0001-06</v>
          </cell>
        </row>
        <row r="6590">
          <cell r="A6590">
            <v>49385</v>
          </cell>
          <cell r="B6590" t="str">
            <v>CORPORATION</v>
          </cell>
          <cell r="C6590" t="str">
            <v>Grupo Goiatendas Ltda</v>
          </cell>
          <cell r="D6590" t="str">
            <v>Ferragista Leandro</v>
          </cell>
          <cell r="E6590" t="str">
            <v>BR_CNPJ</v>
          </cell>
          <cell r="F6590" t="str">
            <v>10.878.663/0001-67</v>
          </cell>
          <cell r="G6590" t="str">
            <v>GOIATENDAS</v>
          </cell>
        </row>
        <row r="6591">
          <cell r="A6591">
            <v>49392</v>
          </cell>
          <cell r="B6591" t="str">
            <v>CORPORATION</v>
          </cell>
          <cell r="C6591" t="str">
            <v>Natal Home Center Ltda</v>
          </cell>
          <cell r="D6591" t="str">
            <v>Natal Home Center Triunfo</v>
          </cell>
          <cell r="E6591" t="str">
            <v>BR_CNPJ</v>
          </cell>
          <cell r="F6591" t="str">
            <v>02.221.116/0001-86</v>
          </cell>
          <cell r="G6591" t="str">
            <v>NATAL HOME CENTER</v>
          </cell>
        </row>
        <row r="6592">
          <cell r="A6592">
            <v>49393</v>
          </cell>
          <cell r="B6592" t="str">
            <v>CORPORATION</v>
          </cell>
          <cell r="C6592" t="str">
            <v>R. C. De Oliveira Souza</v>
          </cell>
          <cell r="D6592" t="str">
            <v>Maqjato</v>
          </cell>
          <cell r="E6592" t="str">
            <v>BR_CNPJ</v>
          </cell>
          <cell r="F6592" t="str">
            <v>12.004.019/0001-95</v>
          </cell>
        </row>
        <row r="6593">
          <cell r="A6593">
            <v>49395</v>
          </cell>
          <cell r="B6593" t="str">
            <v>CORPORATION</v>
          </cell>
          <cell r="C6593" t="str">
            <v>Natal Home Center Ltda 2</v>
          </cell>
          <cell r="D6593" t="str">
            <v>Natal Home Center Serra Talhada</v>
          </cell>
          <cell r="E6593" t="str">
            <v>BR_CNPJ</v>
          </cell>
          <cell r="F6593" t="str">
            <v>02.221.116/0004-29</v>
          </cell>
          <cell r="G6593" t="str">
            <v>NATAL HOME CENTER</v>
          </cell>
        </row>
        <row r="6594">
          <cell r="A6594">
            <v>49397</v>
          </cell>
          <cell r="B6594" t="str">
            <v>CORPORATION</v>
          </cell>
          <cell r="C6594" t="str">
            <v>Analucia Barbosa Vilas Boas - Ferragens</v>
          </cell>
          <cell r="D6594" t="str">
            <v>Forte Soldas</v>
          </cell>
          <cell r="E6594" t="str">
            <v>BR_CNPJ</v>
          </cell>
          <cell r="F6594" t="str">
            <v>20.774.440/0001-03</v>
          </cell>
        </row>
        <row r="6595">
          <cell r="A6595">
            <v>49400</v>
          </cell>
          <cell r="B6595" t="str">
            <v>CORPORATION</v>
          </cell>
          <cell r="C6595" t="str">
            <v>Bobinadora Confianca Com. E Serv. De Motores E Bombas D Aguas</v>
          </cell>
          <cell r="D6595" t="str">
            <v>Bobinadora Confianca Com. E Serv. De Motores E Bombas D Aguas</v>
          </cell>
          <cell r="E6595" t="str">
            <v>BR_CNPJ</v>
          </cell>
          <cell r="F6595" t="str">
            <v>14.926.235/0001-13</v>
          </cell>
        </row>
        <row r="6596">
          <cell r="A6596">
            <v>49416</v>
          </cell>
          <cell r="B6596" t="str">
            <v>CORPORATION</v>
          </cell>
          <cell r="C6596" t="str">
            <v>Joao P. Souza Comercio Ltda</v>
          </cell>
          <cell r="D6596" t="str">
            <v>J.S Eletromais</v>
          </cell>
          <cell r="E6596" t="str">
            <v>BR_CNPJ</v>
          </cell>
          <cell r="F6596" t="str">
            <v>36.329.574/0001-55</v>
          </cell>
        </row>
        <row r="6597">
          <cell r="A6597">
            <v>49418</v>
          </cell>
          <cell r="B6597" t="str">
            <v>CORPORATION</v>
          </cell>
          <cell r="C6597" t="str">
            <v>Cooperativa Dos Plantadores De Cana Do Estado Sao Paulo</v>
          </cell>
          <cell r="D6597" t="str">
            <v>Cooperativa Dos Plantadores De Cana Do Estado Sao Paulo</v>
          </cell>
          <cell r="E6597" t="str">
            <v>BR_CNPJ</v>
          </cell>
          <cell r="F6597" t="str">
            <v>54.366.547/0055-27</v>
          </cell>
          <cell r="G6597" t="str">
            <v>COPLACANA</v>
          </cell>
        </row>
        <row r="6598">
          <cell r="A6598">
            <v>49419</v>
          </cell>
          <cell r="B6598" t="str">
            <v>CORPORATION</v>
          </cell>
          <cell r="C6598" t="str">
            <v>Mega Distribuidora De Ferragens E Ferramentas Ltda</v>
          </cell>
          <cell r="D6598" t="str">
            <v>Mega Distribuidora</v>
          </cell>
          <cell r="E6598" t="str">
            <v>BR_CNPJ</v>
          </cell>
          <cell r="F6598" t="str">
            <v>42.096.458/0001-36</v>
          </cell>
        </row>
        <row r="6599">
          <cell r="A6599">
            <v>49423</v>
          </cell>
          <cell r="B6599" t="str">
            <v>CORPORATION</v>
          </cell>
          <cell r="C6599" t="str">
            <v>Cavalcante Comercio De Maquinas E Equipamentos Ltda</v>
          </cell>
          <cell r="D6599" t="str">
            <v>Cavalcante Comercio De Maquinas E Equipamentos</v>
          </cell>
          <cell r="E6599" t="str">
            <v>BR_CNPJ</v>
          </cell>
          <cell r="F6599" t="str">
            <v>37.197.277/0001-66</v>
          </cell>
          <cell r="G6599" t="str">
            <v>CAVMAQ</v>
          </cell>
        </row>
        <row r="6600">
          <cell r="A6600">
            <v>49425</v>
          </cell>
          <cell r="B6600" t="str">
            <v>CORPORATION</v>
          </cell>
          <cell r="C6600" t="str">
            <v>Edna Maria Da Silva Siqueira</v>
          </cell>
          <cell r="D6600" t="str">
            <v>Casa Das Borrachas E Parafusos</v>
          </cell>
          <cell r="E6600" t="str">
            <v>BR_CNPJ</v>
          </cell>
          <cell r="F6600" t="str">
            <v>10.514.320/0001-13</v>
          </cell>
        </row>
        <row r="6601">
          <cell r="A6601">
            <v>49429</v>
          </cell>
          <cell r="B6601" t="str">
            <v>CORPORATION</v>
          </cell>
          <cell r="C6601" t="str">
            <v>Galvao Maquinas E Ferramentas Ltda</v>
          </cell>
          <cell r="D6601" t="str">
            <v>Galvao Maquinas E Ferramentas</v>
          </cell>
          <cell r="E6601" t="str">
            <v>BR_CNPJ</v>
          </cell>
          <cell r="F6601" t="str">
            <v>37.731.755/0001-76</v>
          </cell>
        </row>
        <row r="6602">
          <cell r="A6602">
            <v>49432</v>
          </cell>
          <cell r="B6602" t="str">
            <v>CORPORATION</v>
          </cell>
          <cell r="C6602" t="str">
            <v>Eduardo Campos Porto Junior</v>
          </cell>
          <cell r="D6602" t="str">
            <v>1001 Parafusos E Ferramentas</v>
          </cell>
          <cell r="E6602" t="str">
            <v>BR_CNPJ</v>
          </cell>
          <cell r="F6602" t="str">
            <v>02.927.761/0001-19</v>
          </cell>
        </row>
        <row r="6603">
          <cell r="A6603">
            <v>49441</v>
          </cell>
          <cell r="B6603" t="str">
            <v>CORPORATION</v>
          </cell>
          <cell r="C6603" t="str">
            <v>Fepac Comercio E Servicos De Maquinas E Ferramentas Ltda</v>
          </cell>
          <cell r="D6603" t="str">
            <v>Fepac</v>
          </cell>
          <cell r="E6603" t="str">
            <v>BR_CNPJ</v>
          </cell>
          <cell r="F6603" t="str">
            <v>33.935.142/0001-08</v>
          </cell>
        </row>
        <row r="6604">
          <cell r="A6604">
            <v>49446</v>
          </cell>
          <cell r="B6604" t="str">
            <v>CORPORATION</v>
          </cell>
          <cell r="C6604" t="str">
            <v>P Santos Neto Comercio De Materiais De Construcao</v>
          </cell>
          <cell r="D6604" t="str">
            <v>Paulo Neto Construcoes</v>
          </cell>
          <cell r="E6604" t="str">
            <v>BR_CNPJ</v>
          </cell>
          <cell r="F6604" t="str">
            <v>15.443.497/0001-90</v>
          </cell>
        </row>
        <row r="6605">
          <cell r="A6605">
            <v>49449</v>
          </cell>
          <cell r="B6605" t="str">
            <v>CORPORATION</v>
          </cell>
          <cell r="C6605" t="str">
            <v>Gracyelle Aguiar Furtado</v>
          </cell>
          <cell r="D6605" t="str">
            <v>Beer-Laai-Roi Distribuidora</v>
          </cell>
          <cell r="E6605" t="str">
            <v>BR_CNPJ</v>
          </cell>
          <cell r="F6605" t="str">
            <v>30.221.198/0001-02</v>
          </cell>
        </row>
        <row r="6606">
          <cell r="A6606">
            <v>49478</v>
          </cell>
          <cell r="B6606" t="str">
            <v>CORPORATION</v>
          </cell>
          <cell r="C6606" t="str">
            <v>Casa Das Ferramentas De Itaperuna Eireli</v>
          </cell>
          <cell r="D6606" t="str">
            <v>Casa Das Ferramentas De Itaperuna Eireli</v>
          </cell>
          <cell r="E6606" t="str">
            <v>BR_CNPJ</v>
          </cell>
          <cell r="F6606" t="str">
            <v>28.649.054/0001-00</v>
          </cell>
        </row>
        <row r="6607">
          <cell r="A6607">
            <v>49500</v>
          </cell>
          <cell r="B6607" t="str">
            <v>CORPORATION</v>
          </cell>
          <cell r="C6607" t="str">
            <v>Natalia Andrade Bueno 46440717812</v>
          </cell>
          <cell r="D6607" t="str">
            <v>Unica Solda</v>
          </cell>
          <cell r="E6607" t="str">
            <v>BR_CNPJ</v>
          </cell>
          <cell r="F6607" t="str">
            <v>33.412.089/0001-52</v>
          </cell>
          <cell r="G6607" t="str">
            <v>WL SOROCABA</v>
          </cell>
        </row>
        <row r="6608">
          <cell r="A6608">
            <v>49515</v>
          </cell>
          <cell r="B6608" t="str">
            <v>CORPORATION</v>
          </cell>
          <cell r="C6608" t="str">
            <v>Alyson Valerio De Morais Ferraz 06206116930</v>
          </cell>
          <cell r="D6608" t="str">
            <v>Af Manutencao E Venda De Equipamentos De Solda E Corte.</v>
          </cell>
          <cell r="E6608" t="str">
            <v>BR_CNPJ</v>
          </cell>
          <cell r="F6608" t="str">
            <v>18.219.044/0001-72</v>
          </cell>
        </row>
        <row r="6609">
          <cell r="A6609">
            <v>49529</v>
          </cell>
          <cell r="B6609" t="str">
            <v>CORPORATION</v>
          </cell>
          <cell r="C6609" t="str">
            <v>Planotopo-Comercio, Locacao E Manutencao De Maquinas E Equipamentos Ltda</v>
          </cell>
          <cell r="D6609" t="str">
            <v>Planotopo</v>
          </cell>
          <cell r="E6609" t="str">
            <v>BR_CNPJ</v>
          </cell>
          <cell r="F6609" t="str">
            <v>11.302.547/0001-68</v>
          </cell>
        </row>
        <row r="6610">
          <cell r="A6610">
            <v>49530</v>
          </cell>
          <cell r="B6610" t="str">
            <v>CORPORATION</v>
          </cell>
          <cell r="C6610" t="str">
            <v>Hidrocomando Bombas Ltda</v>
          </cell>
          <cell r="D6610" t="str">
            <v>Hidrocomando Bombas</v>
          </cell>
          <cell r="E6610" t="str">
            <v>BR_CNPJ</v>
          </cell>
          <cell r="F6610" t="str">
            <v>10.331.868/0001-28</v>
          </cell>
        </row>
        <row r="6611">
          <cell r="A6611">
            <v>49545</v>
          </cell>
          <cell r="B6611" t="str">
            <v>CORPORATION</v>
          </cell>
          <cell r="C6611" t="str">
            <v>Oxiosasco Comercial De Gases E Soldas Ltda</v>
          </cell>
          <cell r="D6611" t="str">
            <v>Oxiosasco</v>
          </cell>
          <cell r="E6611" t="str">
            <v>BR_CNPJ</v>
          </cell>
          <cell r="F6611" t="str">
            <v>08.855.749/0001-22</v>
          </cell>
        </row>
        <row r="6612">
          <cell r="A6612">
            <v>49561</v>
          </cell>
          <cell r="B6612" t="str">
            <v>CORPORATION</v>
          </cell>
          <cell r="C6612" t="str">
            <v>Shirley C S Dos Santos Lemos</v>
          </cell>
          <cell r="D6612" t="str">
            <v>S C Lemos</v>
          </cell>
          <cell r="E6612" t="str">
            <v>BR_CNPJ</v>
          </cell>
          <cell r="F6612" t="str">
            <v>20.991.872/0001-76</v>
          </cell>
        </row>
        <row r="6613">
          <cell r="A6613">
            <v>49562</v>
          </cell>
          <cell r="B6613" t="str">
            <v>CORPORATION</v>
          </cell>
          <cell r="C6613" t="str">
            <v>Procria Comercio De Produtos Agropecuarios Ltda</v>
          </cell>
          <cell r="D6613" t="str">
            <v>Procria Produtos Agropecuarios</v>
          </cell>
          <cell r="E6613" t="str">
            <v>BR_CNPJ</v>
          </cell>
          <cell r="F6613" t="str">
            <v>07.920.623/0001-21</v>
          </cell>
        </row>
        <row r="6614">
          <cell r="A6614">
            <v>49563</v>
          </cell>
          <cell r="B6614" t="str">
            <v>CORPORATION</v>
          </cell>
          <cell r="C6614" t="str">
            <v>Abforte Comercio E Servicos Ltda</v>
          </cell>
          <cell r="D6614" t="str">
            <v>Abforte Comercio E Servicos Ltda</v>
          </cell>
          <cell r="E6614" t="str">
            <v>BR_CNPJ</v>
          </cell>
          <cell r="F6614" t="str">
            <v>08.098.017/0001-35</v>
          </cell>
        </row>
        <row r="6615">
          <cell r="A6615">
            <v>49564</v>
          </cell>
          <cell r="B6615" t="str">
            <v>CORPORATION</v>
          </cell>
          <cell r="C6615" t="str">
            <v>Multship - Comercio Varejista Em Geral Ltda</v>
          </cell>
          <cell r="D6615" t="str">
            <v>Multship</v>
          </cell>
          <cell r="E6615" t="str">
            <v>BR_CNPJ</v>
          </cell>
          <cell r="F6615" t="str">
            <v>03.920.695/0001-18</v>
          </cell>
        </row>
        <row r="6616">
          <cell r="A6616">
            <v>49565</v>
          </cell>
          <cell r="B6616" t="str">
            <v>CORPORATION</v>
          </cell>
          <cell r="C6616" t="str">
            <v>Alianca - Comercio E Servicos Eletricos Em Geral Ltda.</v>
          </cell>
          <cell r="D6616" t="str">
            <v>Alianca</v>
          </cell>
          <cell r="E6616" t="str">
            <v>BR_CNPJ</v>
          </cell>
          <cell r="F6616" t="str">
            <v>06.282.416/0001-26</v>
          </cell>
        </row>
        <row r="6617">
          <cell r="A6617">
            <v>49566</v>
          </cell>
          <cell r="B6617" t="str">
            <v>CORPORATION</v>
          </cell>
          <cell r="C6617" t="str">
            <v>Acacio Valerio Mascarenhas De Brito Eireli</v>
          </cell>
          <cell r="D6617" t="str">
            <v>Ouro Ferro</v>
          </cell>
          <cell r="E6617" t="str">
            <v>BR_CNPJ</v>
          </cell>
          <cell r="F6617" t="str">
            <v>07.461.057/0001-37</v>
          </cell>
          <cell r="G6617" t="str">
            <v>OURO FERRO</v>
          </cell>
        </row>
        <row r="6618">
          <cell r="A6618">
            <v>49570</v>
          </cell>
          <cell r="B6618" t="str">
            <v>CORPORATION</v>
          </cell>
          <cell r="C6618" t="str">
            <v>Racim Atacadista Ltda</v>
          </cell>
          <cell r="D6618" t="str">
            <v>Racim Distribuicao</v>
          </cell>
          <cell r="E6618" t="str">
            <v>BR_CNPJ</v>
          </cell>
          <cell r="F6618" t="str">
            <v>38.273.847/0001-12</v>
          </cell>
        </row>
        <row r="6619">
          <cell r="A6619">
            <v>49573</v>
          </cell>
          <cell r="B6619" t="str">
            <v>CORPORATION</v>
          </cell>
          <cell r="C6619" t="str">
            <v>Motoagro Comercio De Motores E Pecas Ltda</v>
          </cell>
          <cell r="D6619" t="str">
            <v>Motoagro Ltda</v>
          </cell>
          <cell r="E6619" t="str">
            <v>BR_CNPJ</v>
          </cell>
          <cell r="F6619" t="str">
            <v>17.495.956/0001-04</v>
          </cell>
        </row>
        <row r="6620">
          <cell r="A6620">
            <v>49581</v>
          </cell>
          <cell r="B6620" t="str">
            <v>CORPORATION</v>
          </cell>
          <cell r="C6620" t="str">
            <v>Eletro Ferragens Curitiba Ltda</v>
          </cell>
          <cell r="D6620" t="str">
            <v>Eletrolar</v>
          </cell>
          <cell r="E6620" t="str">
            <v>BR_CNPJ</v>
          </cell>
          <cell r="F6620" t="str">
            <v>07.713.463/0001-40</v>
          </cell>
          <cell r="G6620" t="str">
            <v>ELETROLAR</v>
          </cell>
        </row>
        <row r="6621">
          <cell r="A6621">
            <v>49588</v>
          </cell>
          <cell r="B6621" t="str">
            <v>CORPORATION</v>
          </cell>
          <cell r="C6621" t="str">
            <v>Campeao Distribuidor De Ferragens Ltda</v>
          </cell>
          <cell r="D6621" t="str">
            <v>Campeao Distribuidor De Ferragens</v>
          </cell>
          <cell r="E6621" t="str">
            <v>BR_CNPJ</v>
          </cell>
          <cell r="F6621" t="str">
            <v>09.498.529/0001-51</v>
          </cell>
          <cell r="G6621" t="str">
            <v>REI DAS MAQUINAS</v>
          </cell>
        </row>
        <row r="6622">
          <cell r="A6622">
            <v>49593</v>
          </cell>
          <cell r="B6622" t="str">
            <v>CORPORATION</v>
          </cell>
          <cell r="C6622" t="str">
            <v>Branfer Agroferragem Ltda</v>
          </cell>
          <cell r="D6622" t="str">
            <v>Branfer Agroferragem</v>
          </cell>
          <cell r="E6622" t="str">
            <v>BR_CNPJ</v>
          </cell>
          <cell r="F6622" t="str">
            <v>07.830.555/0001-00</v>
          </cell>
        </row>
        <row r="6623">
          <cell r="A6623">
            <v>49594</v>
          </cell>
          <cell r="B6623" t="str">
            <v>CORPORATION</v>
          </cell>
          <cell r="C6623" t="str">
            <v>Jc Solucoes Em Epis E Solda Ltda</v>
          </cell>
          <cell r="D6623" t="str">
            <v>Jc Equipamentos</v>
          </cell>
          <cell r="E6623" t="str">
            <v>BR_CNPJ</v>
          </cell>
          <cell r="F6623" t="str">
            <v>58.101.794/0001-60</v>
          </cell>
        </row>
        <row r="6624">
          <cell r="A6624">
            <v>49608</v>
          </cell>
          <cell r="B6624" t="str">
            <v>CORPORATION</v>
          </cell>
          <cell r="C6624" t="str">
            <v>F.P.Gutierrez Ferramentas.</v>
          </cell>
          <cell r="D6624" t="str">
            <v>A,Gutierrez Comercial De Ferramentas</v>
          </cell>
          <cell r="E6624" t="str">
            <v>BR_CNPJ</v>
          </cell>
          <cell r="F6624" t="str">
            <v>32.219.634/0001-26</v>
          </cell>
        </row>
        <row r="6625">
          <cell r="A6625">
            <v>49622</v>
          </cell>
          <cell r="B6625" t="str">
            <v>CORPORATION</v>
          </cell>
          <cell r="C6625" t="str">
            <v>O Barateiro Comercio Varejista De Alimentos Eireli</v>
          </cell>
          <cell r="D6625" t="str">
            <v>O Barateiro</v>
          </cell>
          <cell r="E6625" t="str">
            <v>BR_CNPJ</v>
          </cell>
          <cell r="F6625" t="str">
            <v>31.936.998/0001-64</v>
          </cell>
        </row>
        <row r="6626">
          <cell r="A6626">
            <v>49629</v>
          </cell>
          <cell r="B6626" t="str">
            <v>CORPORATION</v>
          </cell>
          <cell r="C6626" t="str">
            <v>Ferragista Sao Joaquim Ltda</v>
          </cell>
          <cell r="D6626" t="str">
            <v>Ferragista Sao Joaquim</v>
          </cell>
          <cell r="E6626" t="str">
            <v>BR_CNPJ</v>
          </cell>
          <cell r="F6626" t="str">
            <v>37.270.287/0001-80</v>
          </cell>
        </row>
        <row r="6627">
          <cell r="A6627">
            <v>49636</v>
          </cell>
          <cell r="B6627" t="str">
            <v>CORPORATION</v>
          </cell>
          <cell r="C6627" t="str">
            <v>Rodrigues E Guimaraes Comercio De Ferramentas Ltda</v>
          </cell>
          <cell r="D6627" t="str">
            <v>Casa Da Ferramenta</v>
          </cell>
          <cell r="E6627" t="str">
            <v>BR_CNPJ</v>
          </cell>
          <cell r="F6627" t="str">
            <v>35.662.285/0001-00</v>
          </cell>
        </row>
        <row r="6628">
          <cell r="A6628">
            <v>49648</v>
          </cell>
          <cell r="B6628" t="str">
            <v>CORPORATION</v>
          </cell>
          <cell r="C6628" t="str">
            <v>Camaleao Comercio &amp; Importacao Ltda</v>
          </cell>
          <cell r="D6628" t="str">
            <v>Camaleao Tintas</v>
          </cell>
          <cell r="E6628" t="str">
            <v>BR_CNPJ</v>
          </cell>
          <cell r="F6628" t="str">
            <v>03.477.317/0001-01</v>
          </cell>
        </row>
        <row r="6629">
          <cell r="A6629">
            <v>49649</v>
          </cell>
          <cell r="B6629" t="str">
            <v>CORPORATION</v>
          </cell>
          <cell r="C6629" t="str">
            <v>Express Solutions Comercio De Equipamentos Industriais, Servicos E Aluguel De Maquinas Eireli</v>
          </cell>
          <cell r="D6629" t="str">
            <v>Express Offshore Solutions</v>
          </cell>
          <cell r="E6629" t="str">
            <v>BR_CNPJ</v>
          </cell>
          <cell r="F6629" t="str">
            <v>20.085.644/0001-37</v>
          </cell>
        </row>
        <row r="6630">
          <cell r="A6630">
            <v>49654</v>
          </cell>
          <cell r="B6630" t="str">
            <v>CORPORATION</v>
          </cell>
          <cell r="C6630" t="str">
            <v>49.330.950 Vitoria Vieira De Jesus Silva</v>
          </cell>
          <cell r="D6630" t="str">
            <v>Vieira Distribuicao</v>
          </cell>
          <cell r="E6630" t="str">
            <v>BR_CNPJ</v>
          </cell>
          <cell r="F6630" t="str">
            <v>49.330.950/0001-73</v>
          </cell>
        </row>
        <row r="6631">
          <cell r="A6631">
            <v>49660</v>
          </cell>
          <cell r="B6631" t="str">
            <v>CORPORATION</v>
          </cell>
          <cell r="C6631" t="str">
            <v>Simples Comercio De Maquinas E Equipamentos Ltda</v>
          </cell>
          <cell r="D6631" t="str">
            <v>Simples Comercio De Maquinas E Equipamentos</v>
          </cell>
          <cell r="E6631" t="str">
            <v>BR_CNPJ</v>
          </cell>
          <cell r="F6631" t="str">
            <v>10.222.059/0001-88</v>
          </cell>
        </row>
        <row r="6632">
          <cell r="A6632">
            <v>49665</v>
          </cell>
          <cell r="B6632" t="str">
            <v>CORPORATION</v>
          </cell>
          <cell r="C6632" t="str">
            <v>Central Das Maquinas Ltda</v>
          </cell>
          <cell r="D6632" t="str">
            <v>Central Das Maquinas</v>
          </cell>
          <cell r="E6632" t="str">
            <v>BR_CNPJ</v>
          </cell>
          <cell r="F6632" t="str">
            <v>14.647.681/0001-99</v>
          </cell>
          <cell r="G6632" t="str">
            <v>CENTRAL DAS MAQUINAS</v>
          </cell>
        </row>
        <row r="6633">
          <cell r="A6633">
            <v>49667</v>
          </cell>
          <cell r="B6633" t="str">
            <v>CORPORATION</v>
          </cell>
          <cell r="C6633" t="str">
            <v>Ponto Das Bombas Eireli</v>
          </cell>
          <cell r="D6633" t="str">
            <v>Ponto Das Bombas Eireli</v>
          </cell>
          <cell r="E6633" t="str">
            <v>BR_CNPJ</v>
          </cell>
          <cell r="F6633" t="str">
            <v>02.300.661/0001-68</v>
          </cell>
        </row>
        <row r="6634">
          <cell r="A6634">
            <v>49688</v>
          </cell>
          <cell r="B6634" t="str">
            <v>CORPORATION</v>
          </cell>
          <cell r="C6634" t="str">
            <v>Charret Equipamentos Pecas E Ferramentas Ltda</v>
          </cell>
          <cell r="D6634" t="str">
            <v>Charret (Makifer)</v>
          </cell>
          <cell r="E6634" t="str">
            <v>BR_CNPJ</v>
          </cell>
          <cell r="F6634" t="str">
            <v>23.841.985/0001-83</v>
          </cell>
          <cell r="G6634" t="str">
            <v>MAKIFER</v>
          </cell>
        </row>
        <row r="6635">
          <cell r="A6635">
            <v>49691</v>
          </cell>
          <cell r="B6635" t="str">
            <v>CORPORATION</v>
          </cell>
          <cell r="C6635" t="str">
            <v>Integracao Rural Comercio De Produtos Agropecuarios Ltda</v>
          </cell>
          <cell r="D6635" t="str">
            <v>Integracao Rural</v>
          </cell>
          <cell r="E6635" t="str">
            <v>BR_CNPJ</v>
          </cell>
          <cell r="F6635" t="str">
            <v>09.456.055/0001-85</v>
          </cell>
        </row>
        <row r="6636">
          <cell r="A6636">
            <v>49695</v>
          </cell>
          <cell r="B6636" t="str">
            <v>CORPORATION</v>
          </cell>
          <cell r="C6636" t="str">
            <v>Lider Comercio De Ferragens Ferramentas E Maquinas Ltda</v>
          </cell>
          <cell r="D6636" t="str">
            <v>Ferragista Lider</v>
          </cell>
          <cell r="E6636" t="str">
            <v>BR_CNPJ</v>
          </cell>
          <cell r="F6636" t="str">
            <v>11.873.342/0001-32</v>
          </cell>
        </row>
        <row r="6637">
          <cell r="A6637">
            <v>49698</v>
          </cell>
          <cell r="B6637" t="str">
            <v>CORPORATION</v>
          </cell>
          <cell r="C6637" t="str">
            <v>Tractor-Terra Pecas P/ Tratores Ltda</v>
          </cell>
          <cell r="D6637" t="str">
            <v>Tractor-Terra</v>
          </cell>
          <cell r="E6637" t="str">
            <v>BR_CNPJ</v>
          </cell>
          <cell r="F6637" t="str">
            <v>10.408.092/0001-05</v>
          </cell>
        </row>
        <row r="6638">
          <cell r="A6638">
            <v>49704</v>
          </cell>
          <cell r="B6638" t="str">
            <v>CORPORATION</v>
          </cell>
          <cell r="C6638" t="str">
            <v>Brito Agro Ferragens E Materiais Para Construcao Ltda</v>
          </cell>
          <cell r="D6638" t="str">
            <v>Roberto Parafusos</v>
          </cell>
          <cell r="E6638" t="str">
            <v>BR_CNPJ</v>
          </cell>
          <cell r="F6638" t="str">
            <v>04.126.717/0001-35</v>
          </cell>
        </row>
        <row r="6639">
          <cell r="A6639">
            <v>49710</v>
          </cell>
          <cell r="B6639" t="str">
            <v>CORPORATION</v>
          </cell>
          <cell r="C6639" t="str">
            <v>Ferramental Comercio De Ferramentas Ltda</v>
          </cell>
          <cell r="D6639" t="str">
            <v>Ferramental Comercio De Ferramentas Ltda</v>
          </cell>
          <cell r="E6639" t="str">
            <v>BR_CNPJ</v>
          </cell>
          <cell r="F6639" t="str">
            <v>22.326.256/0001-26</v>
          </cell>
        </row>
        <row r="6640">
          <cell r="A6640">
            <v>49723</v>
          </cell>
          <cell r="B6640" t="str">
            <v>CORPORATION</v>
          </cell>
          <cell r="C6640" t="str">
            <v>J.A Ferro E Aco Ltda</v>
          </cell>
          <cell r="D6640" t="str">
            <v>J.A Ferro E Aco</v>
          </cell>
          <cell r="E6640" t="str">
            <v>BR_CNPJ</v>
          </cell>
          <cell r="F6640" t="str">
            <v>14.608.964/0001-21</v>
          </cell>
        </row>
        <row r="6641">
          <cell r="A6641">
            <v>49727</v>
          </cell>
          <cell r="B6641" t="str">
            <v>CORPORATION</v>
          </cell>
          <cell r="C6641" t="str">
            <v>Etca Materiais Eletricos Ltda</v>
          </cell>
          <cell r="D6641" t="str">
            <v>Etca Materiais Eletricos Ltda</v>
          </cell>
          <cell r="E6641" t="str">
            <v>BR_CNPJ</v>
          </cell>
          <cell r="F6641" t="str">
            <v>00.669.406/0001-61</v>
          </cell>
        </row>
        <row r="6642">
          <cell r="A6642">
            <v>49728</v>
          </cell>
          <cell r="B6642" t="str">
            <v>CORPORATION</v>
          </cell>
          <cell r="C6642" t="str">
            <v>Vedovati Maquinas E Ferramentas Ltda</v>
          </cell>
          <cell r="D6642" t="str">
            <v>Vedovati Maquinas E Ferramentas Ltda</v>
          </cell>
          <cell r="E6642" t="str">
            <v>BR_CNPJ</v>
          </cell>
          <cell r="F6642" t="str">
            <v>41.550.263/0001-51</v>
          </cell>
          <cell r="G6642" t="str">
            <v>VEDOVATI</v>
          </cell>
        </row>
        <row r="6643">
          <cell r="A6643">
            <v>49736</v>
          </cell>
          <cell r="B6643" t="str">
            <v>CORPORATION</v>
          </cell>
          <cell r="C6643" t="str">
            <v>Ferra Soldas Comercio De Ferramentas Eireli</v>
          </cell>
          <cell r="D6643" t="str">
            <v>Ferra Soldas</v>
          </cell>
          <cell r="E6643" t="str">
            <v>BR_CNPJ</v>
          </cell>
          <cell r="F6643" t="str">
            <v>36.197.633/0001-89</v>
          </cell>
        </row>
        <row r="6644">
          <cell r="A6644">
            <v>49741</v>
          </cell>
          <cell r="B6644" t="str">
            <v>CORPORATION</v>
          </cell>
          <cell r="C6644" t="str">
            <v>Julio Cezar Chiodetto De Oliveira</v>
          </cell>
          <cell r="D6644" t="str">
            <v>Epmaq Ferramentas E Epi.</v>
          </cell>
          <cell r="E6644" t="str">
            <v>BR_CNPJ</v>
          </cell>
          <cell r="F6644" t="str">
            <v>19.726.527/0001-26</v>
          </cell>
        </row>
        <row r="6645">
          <cell r="A6645">
            <v>49749</v>
          </cell>
          <cell r="B6645" t="str">
            <v>CORPORATION</v>
          </cell>
          <cell r="C6645" t="str">
            <v>Fabricia Maria Da Silva 02371536105</v>
          </cell>
          <cell r="D6645" t="str">
            <v>Fabricia Maria Da Silva 02371536105</v>
          </cell>
          <cell r="E6645" t="str">
            <v>BR_CNPJ</v>
          </cell>
          <cell r="F6645" t="str">
            <v>35.455.226/0001-61</v>
          </cell>
        </row>
        <row r="6646">
          <cell r="A6646">
            <v>49753</v>
          </cell>
          <cell r="B6646" t="str">
            <v>CORPORATION</v>
          </cell>
          <cell r="C6646" t="str">
            <v>M M Dos Santos Comercio De Informatica</v>
          </cell>
          <cell r="D6646" t="str">
            <v>M M Dos Santos Comercio De Informatica</v>
          </cell>
          <cell r="E6646" t="str">
            <v>BR_CNPJ</v>
          </cell>
          <cell r="F6646" t="str">
            <v>15.743.044/0001-89</v>
          </cell>
        </row>
        <row r="6647">
          <cell r="A6647">
            <v>49756</v>
          </cell>
          <cell r="B6647" t="str">
            <v>CORPORATION</v>
          </cell>
          <cell r="C6647" t="str">
            <v>Alusolda Brasil Ltda</v>
          </cell>
          <cell r="D6647" t="str">
            <v>Alusolda</v>
          </cell>
          <cell r="E6647" t="str">
            <v>BR_CNPJ</v>
          </cell>
          <cell r="F6647" t="str">
            <v>03.389.590/0001-84</v>
          </cell>
        </row>
        <row r="6648">
          <cell r="A6648">
            <v>49757</v>
          </cell>
          <cell r="B6648" t="str">
            <v>CORPORATION</v>
          </cell>
          <cell r="C6648" t="str">
            <v>Oliveira Silva Martins Material De Construcao Ltda</v>
          </cell>
          <cell r="D6648" t="str">
            <v>Construmais</v>
          </cell>
          <cell r="E6648" t="str">
            <v>BR_CNPJ</v>
          </cell>
          <cell r="F6648" t="str">
            <v>18.760.503/0001-20</v>
          </cell>
        </row>
        <row r="6649">
          <cell r="A6649">
            <v>49769</v>
          </cell>
          <cell r="B6649" t="str">
            <v>CORPORATION</v>
          </cell>
          <cell r="C6649" t="str">
            <v>E R B S Comercio De Artigos De Armarinho Ltda</v>
          </cell>
          <cell r="D6649" t="str">
            <v>Brenno Representacoes Baiano</v>
          </cell>
          <cell r="E6649" t="str">
            <v>BR_CNPJ</v>
          </cell>
          <cell r="F6649" t="str">
            <v>09.508.269/0001-58</v>
          </cell>
        </row>
        <row r="6650">
          <cell r="A6650">
            <v>49772</v>
          </cell>
          <cell r="B6650" t="str">
            <v>CORPORATION</v>
          </cell>
          <cell r="C6650" t="str">
            <v>J T S Cordeiro Ltda</v>
          </cell>
          <cell r="D6650" t="str">
            <v>Jts Home Center</v>
          </cell>
          <cell r="E6650" t="str">
            <v>BR_CNPJ</v>
          </cell>
          <cell r="F6650" t="str">
            <v>06.293.461/0001-86</v>
          </cell>
        </row>
        <row r="6651">
          <cell r="A6651">
            <v>49776</v>
          </cell>
          <cell r="B6651" t="str">
            <v>CORPORATION</v>
          </cell>
          <cell r="C6651" t="str">
            <v>Intelcabos Comercio De Eletronicos Ltda</v>
          </cell>
          <cell r="D6651" t="str">
            <v>Intelcabos Comercio De Eletronicos Ltda</v>
          </cell>
          <cell r="E6651" t="str">
            <v>BR_CNPJ</v>
          </cell>
          <cell r="F6651" t="str">
            <v>19.753.294/0001-50</v>
          </cell>
        </row>
        <row r="6652">
          <cell r="A6652">
            <v>49786</v>
          </cell>
          <cell r="B6652" t="str">
            <v>CORPORATION</v>
          </cell>
          <cell r="C6652" t="str">
            <v>Destack Fix Comercio De Produtos Automotivos E Industriais Ltda</v>
          </cell>
          <cell r="D6652" t="str">
            <v>Destack Fix</v>
          </cell>
          <cell r="E6652" t="str">
            <v>BR_CNPJ</v>
          </cell>
          <cell r="F6652" t="str">
            <v>12.008.500/0001-59</v>
          </cell>
          <cell r="G6652" t="str">
            <v>DESTACK FIX</v>
          </cell>
        </row>
        <row r="6653">
          <cell r="A6653">
            <v>49792</v>
          </cell>
          <cell r="B6653" t="str">
            <v>CORPORATION</v>
          </cell>
          <cell r="C6653" t="str">
            <v>Ferragista Ws - Eireli</v>
          </cell>
          <cell r="D6653" t="str">
            <v>Ferragista Ws</v>
          </cell>
          <cell r="E6653" t="str">
            <v>BR_CNPJ</v>
          </cell>
          <cell r="F6653" t="str">
            <v>34.077.463/0001-73</v>
          </cell>
        </row>
        <row r="6654">
          <cell r="A6654">
            <v>49816</v>
          </cell>
          <cell r="B6654" t="str">
            <v>CORPORATION</v>
          </cell>
          <cell r="C6654" t="str">
            <v>Wf Sistemas Hidraulicos Eireli</v>
          </cell>
          <cell r="D6654" t="str">
            <v>Wf Sistemas Hidraulicos (Home Center)</v>
          </cell>
          <cell r="E6654" t="str">
            <v>BR_CNPJ</v>
          </cell>
          <cell r="F6654" t="str">
            <v>40.560.763/0001-01</v>
          </cell>
          <cell r="G6654" t="str">
            <v>HOME CENTER</v>
          </cell>
        </row>
        <row r="6655">
          <cell r="A6655">
            <v>49820</v>
          </cell>
          <cell r="B6655" t="str">
            <v>CORPORATION</v>
          </cell>
          <cell r="C6655" t="str">
            <v>Castanhal Compressores Ltda</v>
          </cell>
          <cell r="D6655" t="str">
            <v>Castanhal Compressores</v>
          </cell>
          <cell r="E6655" t="str">
            <v>BR_CNPJ</v>
          </cell>
          <cell r="F6655" t="str">
            <v>45.720.474/0001-46</v>
          </cell>
        </row>
        <row r="6656">
          <cell r="A6656">
            <v>49827</v>
          </cell>
          <cell r="B6656" t="str">
            <v>CORPORATION</v>
          </cell>
          <cell r="C6656" t="str">
            <v>T. Vilas Boas Simoes Ferramentas</v>
          </cell>
          <cell r="D6656" t="str">
            <v>Ferrabraz</v>
          </cell>
          <cell r="E6656" t="str">
            <v>BR_CNPJ</v>
          </cell>
          <cell r="F6656" t="str">
            <v>10.924.492/0001-65</v>
          </cell>
        </row>
        <row r="6657">
          <cell r="A6657">
            <v>49833</v>
          </cell>
          <cell r="B6657" t="str">
            <v>CORPORATION</v>
          </cell>
          <cell r="C6657" t="str">
            <v>Cabralia Atacadista E Varejo Ltda</v>
          </cell>
          <cell r="D6657" t="str">
            <v>Cabralia Atacadista</v>
          </cell>
          <cell r="E6657" t="str">
            <v>BR_CNPJ</v>
          </cell>
          <cell r="F6657" t="str">
            <v>17.500.100/0001-80</v>
          </cell>
        </row>
        <row r="6658">
          <cell r="A6658">
            <v>49850</v>
          </cell>
          <cell r="B6658" t="str">
            <v>CORPORATION</v>
          </cell>
          <cell r="C6658" t="str">
            <v>Ramon Gavlak &amp; Gavlak Ltda</v>
          </cell>
          <cell r="D6658" t="str">
            <v>Chico Ferragens E Ferramentas</v>
          </cell>
          <cell r="E6658" t="str">
            <v>BR_CNPJ</v>
          </cell>
          <cell r="F6658" t="str">
            <v>40.903.613/0001-53</v>
          </cell>
          <cell r="G6658" t="str">
            <v>R3 SOLUCOES</v>
          </cell>
        </row>
        <row r="6659">
          <cell r="A6659">
            <v>49857</v>
          </cell>
          <cell r="B6659" t="str">
            <v>CORPORATION</v>
          </cell>
          <cell r="C6659" t="str">
            <v>Soldage Comercio, Importacao E Exportacao De Maquinas E Equipamentos Industriais Ltda</v>
          </cell>
          <cell r="D6659" t="str">
            <v>Soldage Comercio, Importacao E Exportacao De Maquinas E Equipamentos Industriais Ltda</v>
          </cell>
          <cell r="E6659" t="str">
            <v>BR_CNPJ</v>
          </cell>
          <cell r="F6659" t="str">
            <v>31.499.685/0001-96</v>
          </cell>
        </row>
        <row r="6660">
          <cell r="A6660">
            <v>49860</v>
          </cell>
          <cell r="B6660" t="str">
            <v>CORPORATION</v>
          </cell>
          <cell r="C6660" t="str">
            <v>Ultrafer Comercio De Ferramentas E Equipamentos Ltda</v>
          </cell>
          <cell r="D6660" t="str">
            <v>Ultrafer Ferramentas E Equipamentos</v>
          </cell>
          <cell r="E6660" t="str">
            <v>BR_CNPJ</v>
          </cell>
          <cell r="F6660" t="str">
            <v>32.227.406/0001-06</v>
          </cell>
        </row>
        <row r="6661">
          <cell r="A6661">
            <v>49866</v>
          </cell>
          <cell r="B6661" t="str">
            <v>CORPORATION</v>
          </cell>
          <cell r="C6661" t="str">
            <v>Antonio Ferreira Campos</v>
          </cell>
          <cell r="D6661" t="str">
            <v>Agromoto 3b</v>
          </cell>
          <cell r="E6661" t="str">
            <v>BR_CNPJ</v>
          </cell>
          <cell r="F6661" t="str">
            <v>12.246.079/0001-14</v>
          </cell>
        </row>
        <row r="6662">
          <cell r="A6662">
            <v>49879</v>
          </cell>
          <cell r="B6662" t="str">
            <v>CORPORATION</v>
          </cell>
          <cell r="C6662" t="str">
            <v>Fullstok - Comercial Eireli</v>
          </cell>
          <cell r="D6662" t="str">
            <v>Fullstok - Comercial Eireli</v>
          </cell>
          <cell r="E6662" t="str">
            <v>BR_CNPJ</v>
          </cell>
          <cell r="F6662" t="str">
            <v>35.523.359/0001-28</v>
          </cell>
        </row>
        <row r="6663">
          <cell r="A6663">
            <v>49880</v>
          </cell>
          <cell r="B6663" t="str">
            <v>CORPORATION</v>
          </cell>
          <cell r="C6663" t="str">
            <v>Chaves E Oliveira Ltda</v>
          </cell>
          <cell r="D6663" t="str">
            <v>O Martelao</v>
          </cell>
          <cell r="E6663" t="str">
            <v>BR_CNPJ</v>
          </cell>
          <cell r="F6663" t="str">
            <v>57.735.561/0001-56</v>
          </cell>
        </row>
        <row r="6664">
          <cell r="A6664">
            <v>49887</v>
          </cell>
          <cell r="B6664" t="str">
            <v>CORPORATION</v>
          </cell>
          <cell r="C6664" t="str">
            <v>Dx De Macabu Comercio De Metais E Acessorios Ltda</v>
          </cell>
          <cell r="D6664" t="str">
            <v>Dx De Macabu Comercio De Metais E Acessorios Ltda</v>
          </cell>
          <cell r="E6664" t="str">
            <v>BR_CNPJ</v>
          </cell>
          <cell r="F6664" t="str">
            <v>48.572.933/0001-80</v>
          </cell>
          <cell r="G6664" t="str">
            <v>DAFEL</v>
          </cell>
        </row>
        <row r="6665">
          <cell r="A6665">
            <v>49903</v>
          </cell>
          <cell r="B6665" t="str">
            <v>CORPORATION</v>
          </cell>
          <cell r="C6665" t="str">
            <v>Maqpoint Ferramentas E Acessorios Ltda</v>
          </cell>
          <cell r="D6665" t="str">
            <v>Maqpoint Ferramentas E Acessorios Ltda</v>
          </cell>
          <cell r="E6665" t="str">
            <v>BR_CNPJ</v>
          </cell>
          <cell r="F6665" t="str">
            <v>30.958.897/0002-02</v>
          </cell>
          <cell r="G6665" t="str">
            <v>MAQPOINT</v>
          </cell>
        </row>
        <row r="6666">
          <cell r="A6666">
            <v>49908</v>
          </cell>
          <cell r="B6666" t="str">
            <v>CORPORATION</v>
          </cell>
          <cell r="C6666" t="str">
            <v>O S De Oliveira</v>
          </cell>
          <cell r="D6666" t="str">
            <v>Motormaq Assistencia Tecnica</v>
          </cell>
          <cell r="E6666" t="str">
            <v>BR_CNPJ</v>
          </cell>
          <cell r="F6666" t="str">
            <v>34.455.967/0001-80</v>
          </cell>
        </row>
        <row r="6667">
          <cell r="A6667">
            <v>49910</v>
          </cell>
          <cell r="B6667" t="str">
            <v>CORPORATION</v>
          </cell>
          <cell r="C6667" t="str">
            <v>Jair Alves Pereira - Eireli</v>
          </cell>
          <cell r="D6667" t="str">
            <v>Revisa Auto Center</v>
          </cell>
          <cell r="E6667" t="str">
            <v>BR_CNPJ</v>
          </cell>
          <cell r="F6667" t="str">
            <v>34.819.211/0001-72</v>
          </cell>
        </row>
        <row r="6668">
          <cell r="A6668">
            <v>49922</v>
          </cell>
          <cell r="B6668" t="str">
            <v>CORPORATION</v>
          </cell>
          <cell r="C6668" t="str">
            <v>Faria Comercio De Variedades Ltda</v>
          </cell>
          <cell r="D6668" t="str">
            <v>Teim Teim Variedades</v>
          </cell>
          <cell r="E6668" t="str">
            <v>BR_CNPJ</v>
          </cell>
          <cell r="F6668" t="str">
            <v>40.818.972/0001-02</v>
          </cell>
        </row>
        <row r="6669">
          <cell r="A6669">
            <v>49924</v>
          </cell>
          <cell r="B6669" t="str">
            <v>CORPORATION</v>
          </cell>
          <cell r="C6669" t="str">
            <v>Ferragens Amazon Comercial Ltda</v>
          </cell>
          <cell r="D6669" t="str">
            <v>Ferragens Amazon</v>
          </cell>
          <cell r="E6669" t="str">
            <v>BR_CNPJ</v>
          </cell>
          <cell r="F6669" t="str">
            <v>35.851.277/0001-02</v>
          </cell>
        </row>
        <row r="6670">
          <cell r="A6670">
            <v>49928</v>
          </cell>
          <cell r="B6670" t="str">
            <v>CORPORATION</v>
          </cell>
          <cell r="C6670" t="str">
            <v>Zion Solucoes Industriais Eireli</v>
          </cell>
          <cell r="D6670" t="str">
            <v>Zion Solucoes Industriais Eireli</v>
          </cell>
          <cell r="E6670" t="str">
            <v>BR_CNPJ</v>
          </cell>
          <cell r="F6670" t="str">
            <v>27.162.832/0001-60</v>
          </cell>
        </row>
        <row r="6671">
          <cell r="A6671">
            <v>49956</v>
          </cell>
          <cell r="B6671" t="str">
            <v>CORPORATION</v>
          </cell>
          <cell r="C6671" t="str">
            <v>Andrade &amp; Fonseca Comercial Ltda</v>
          </cell>
          <cell r="D6671" t="str">
            <v>Comercial Farias</v>
          </cell>
          <cell r="E6671" t="str">
            <v>BR_CNPJ</v>
          </cell>
          <cell r="F6671" t="str">
            <v>10.467.097/0001-09</v>
          </cell>
        </row>
        <row r="6672">
          <cell r="A6672">
            <v>49962</v>
          </cell>
          <cell r="B6672" t="str">
            <v>CORPORATION</v>
          </cell>
          <cell r="C6672" t="str">
            <v>Alteanne Costa E Silva</v>
          </cell>
          <cell r="D6672" t="str">
            <v>Ferragista Baratao</v>
          </cell>
          <cell r="E6672" t="str">
            <v>BR_CNPJ</v>
          </cell>
          <cell r="F6672" t="str">
            <v>25.190.159/0001-47</v>
          </cell>
        </row>
        <row r="6673">
          <cell r="A6673">
            <v>49975</v>
          </cell>
          <cell r="B6673" t="str">
            <v>CORPORATION</v>
          </cell>
          <cell r="C6673" t="str">
            <v>Super Aco Comercio De Ferragens E Material De Construcao Ltda</v>
          </cell>
          <cell r="D6673" t="str">
            <v>Super Aco Home Center</v>
          </cell>
          <cell r="E6673" t="str">
            <v>BR_CNPJ</v>
          </cell>
          <cell r="F6673" t="str">
            <v>03.253.256/0001-07</v>
          </cell>
        </row>
        <row r="6674">
          <cell r="A6674">
            <v>49977</v>
          </cell>
          <cell r="B6674" t="str">
            <v>CORPORATION</v>
          </cell>
          <cell r="C6674" t="str">
            <v>Start Fixacoes E Servicos De Instalacao Ltda</v>
          </cell>
          <cell r="D6674" t="str">
            <v>Start Fixacoes</v>
          </cell>
          <cell r="E6674" t="str">
            <v>BR_CNPJ</v>
          </cell>
          <cell r="F6674" t="str">
            <v>39.460.146/0001-55</v>
          </cell>
        </row>
        <row r="6675">
          <cell r="A6675">
            <v>49978</v>
          </cell>
          <cell r="B6675" t="str">
            <v>CORPORATION</v>
          </cell>
          <cell r="C6675" t="str">
            <v>Vinicius Dos Santos Batista 11299519601</v>
          </cell>
          <cell r="D6675" t="str">
            <v>Brasil Ferragens</v>
          </cell>
          <cell r="E6675" t="str">
            <v>BR_CNPJ</v>
          </cell>
          <cell r="F6675" t="str">
            <v>26.304.498/0001-70</v>
          </cell>
        </row>
        <row r="6676">
          <cell r="A6676">
            <v>49979</v>
          </cell>
          <cell r="B6676" t="str">
            <v>CORPORATION</v>
          </cell>
          <cell r="C6676" t="str">
            <v>Nelson Ferramentas E Ferragens Material Eletrico E Hidraulico Tirol Ltda</v>
          </cell>
          <cell r="D6676" t="str">
            <v>Nelson Ferramentas Tirol</v>
          </cell>
          <cell r="E6676" t="str">
            <v>BR_CNPJ</v>
          </cell>
          <cell r="F6676" t="str">
            <v>53.337.690/0001-35</v>
          </cell>
          <cell r="G6676" t="str">
            <v>NELSON FERRAMENTAS</v>
          </cell>
        </row>
        <row r="6677">
          <cell r="A6677">
            <v>49983</v>
          </cell>
          <cell r="B6677" t="str">
            <v>CORPORATION</v>
          </cell>
          <cell r="C6677" t="str">
            <v>Augusto Cesar Da Fonseca Noronha</v>
          </cell>
          <cell r="D6677" t="str">
            <v>Casa Do Metalurgico</v>
          </cell>
          <cell r="E6677" t="str">
            <v>BR_CNPJ</v>
          </cell>
          <cell r="F6677" t="str">
            <v>16.942.067/0001-85</v>
          </cell>
        </row>
        <row r="6678">
          <cell r="A6678">
            <v>49985</v>
          </cell>
          <cell r="B6678" t="str">
            <v>CORPORATION</v>
          </cell>
          <cell r="C6678" t="str">
            <v>Natalia Beatriz Guimaraes De Castro 07001278602</v>
          </cell>
          <cell r="D6678" t="str">
            <v>Casarella - Casa E Construcao</v>
          </cell>
          <cell r="E6678" t="str">
            <v>BR_CNPJ</v>
          </cell>
          <cell r="F6678" t="str">
            <v>20.141.427/0001-17</v>
          </cell>
        </row>
        <row r="6679">
          <cell r="A6679">
            <v>49989</v>
          </cell>
          <cell r="B6679" t="str">
            <v>CORPORATION</v>
          </cell>
          <cell r="C6679" t="str">
            <v>Mg Ferragens E Acessorios Ltda</v>
          </cell>
          <cell r="D6679" t="str">
            <v>Mg Ferragens E Acessorios</v>
          </cell>
          <cell r="E6679" t="str">
            <v>BR_CNPJ</v>
          </cell>
          <cell r="F6679" t="str">
            <v>13.089.945/0001-73</v>
          </cell>
        </row>
        <row r="6680">
          <cell r="A6680">
            <v>49991</v>
          </cell>
          <cell r="B6680" t="str">
            <v>CORPORATION</v>
          </cell>
          <cell r="C6680" t="str">
            <v>Macro Ferragista E Utilidades Ltda</v>
          </cell>
          <cell r="D6680" t="str">
            <v>Macro Ferragista</v>
          </cell>
          <cell r="E6680" t="str">
            <v>BR_CNPJ</v>
          </cell>
          <cell r="F6680" t="str">
            <v>37.663.801/0001-47</v>
          </cell>
        </row>
        <row r="6681">
          <cell r="A6681">
            <v>49997</v>
          </cell>
          <cell r="B6681" t="str">
            <v>CORPORATION</v>
          </cell>
          <cell r="C6681" t="str">
            <v>Kausben Parafusos E Ferramentas Ltda</v>
          </cell>
          <cell r="D6681" t="str">
            <v>Kausben Parafusos E Ferramentas Ltda</v>
          </cell>
          <cell r="E6681" t="str">
            <v>BR_CNPJ</v>
          </cell>
          <cell r="F6681" t="str">
            <v>27.506.989/0001-66</v>
          </cell>
          <cell r="G6681" t="str">
            <v>KAUSBEN</v>
          </cell>
        </row>
        <row r="6682">
          <cell r="A6682">
            <v>50000</v>
          </cell>
          <cell r="B6682" t="str">
            <v>CORPORATION</v>
          </cell>
          <cell r="C6682" t="str">
            <v>Eletro Solda Maquinas E Ferramentas Ltda</v>
          </cell>
          <cell r="D6682" t="str">
            <v>Eletro Solda Maquinas E Ferramentas Ltda</v>
          </cell>
          <cell r="E6682" t="str">
            <v>BR_CNPJ</v>
          </cell>
          <cell r="F6682" t="str">
            <v>28.868.156/0001-08</v>
          </cell>
        </row>
        <row r="6683">
          <cell r="A6683">
            <v>50004</v>
          </cell>
          <cell r="B6683" t="str">
            <v>CORPORATION</v>
          </cell>
          <cell r="C6683" t="str">
            <v>Biomaq Comercio Manutencao E Locacao De Maquinas E Equipamentos Ltda</v>
          </cell>
          <cell r="D6683" t="str">
            <v>Biomaq</v>
          </cell>
          <cell r="E6683" t="str">
            <v>BR_CNPJ</v>
          </cell>
          <cell r="F6683" t="str">
            <v>10.492.984/0001-29</v>
          </cell>
        </row>
        <row r="6684">
          <cell r="A6684">
            <v>50008</v>
          </cell>
          <cell r="B6684" t="str">
            <v>CORPORATION</v>
          </cell>
          <cell r="C6684" t="str">
            <v>Jrt Eletronicos Ltda</v>
          </cell>
          <cell r="D6684" t="str">
            <v>Ta Na Sacola</v>
          </cell>
          <cell r="E6684" t="str">
            <v>BR_CNPJ</v>
          </cell>
          <cell r="F6684" t="str">
            <v>33.866.417/0001-90</v>
          </cell>
        </row>
        <row r="6685">
          <cell r="A6685">
            <v>50010</v>
          </cell>
          <cell r="B6685" t="str">
            <v>CORPORATION</v>
          </cell>
          <cell r="C6685" t="str">
            <v>55.569.480 Emily Assis De Paula Ferreira</v>
          </cell>
          <cell r="D6685" t="str">
            <v>Gemac 55.569.480 Emily Assis De Paula Ferreira</v>
          </cell>
          <cell r="E6685" t="str">
            <v>BR_CNPJ</v>
          </cell>
          <cell r="F6685" t="str">
            <v>55.569.480/0001-06</v>
          </cell>
          <cell r="G6685" t="str">
            <v>GEMAC</v>
          </cell>
        </row>
        <row r="6686">
          <cell r="A6686">
            <v>50017</v>
          </cell>
          <cell r="B6686" t="str">
            <v>CORPORATION</v>
          </cell>
          <cell r="C6686" t="str">
            <v>Ronini Servico De Fabricacao De Cabines E Carrocerias Eireli</v>
          </cell>
          <cell r="D6686" t="str">
            <v>Ronini</v>
          </cell>
          <cell r="E6686" t="str">
            <v>BR_CNPJ</v>
          </cell>
          <cell r="F6686" t="str">
            <v>39.696.656/0001-26</v>
          </cell>
        </row>
        <row r="6687">
          <cell r="A6687">
            <v>50019</v>
          </cell>
          <cell r="B6687" t="str">
            <v>CORPORATION</v>
          </cell>
          <cell r="C6687" t="str">
            <v>Mamuth Mangueiras E Conexoes Ltda</v>
          </cell>
          <cell r="D6687" t="str">
            <v>Mamuth Mangueiras E Conexoes Ltda</v>
          </cell>
          <cell r="E6687" t="str">
            <v>BR_CNPJ</v>
          </cell>
          <cell r="F6687" t="str">
            <v>06.176.579/0001-24</v>
          </cell>
          <cell r="G6687" t="str">
            <v>MAMUTH</v>
          </cell>
        </row>
        <row r="6688">
          <cell r="A6688">
            <v>50022</v>
          </cell>
          <cell r="B6688" t="str">
            <v>CORPORATION</v>
          </cell>
          <cell r="C6688" t="str">
            <v>Dico Maquinas E Ferramentas Ltda</v>
          </cell>
          <cell r="D6688" t="str">
            <v>Portal Ferragens</v>
          </cell>
          <cell r="E6688" t="str">
            <v>BR_CNPJ</v>
          </cell>
          <cell r="F6688" t="str">
            <v>20.782.023/0001-02</v>
          </cell>
          <cell r="G6688" t="str">
            <v>PORTAL FERRAGENS</v>
          </cell>
        </row>
        <row r="6689">
          <cell r="A6689">
            <v>50031</v>
          </cell>
          <cell r="B6689" t="str">
            <v>CORPORATION</v>
          </cell>
          <cell r="C6689" t="str">
            <v>Dafel Lagos Comercio De Aco E Maquinas Ltda</v>
          </cell>
          <cell r="D6689" t="str">
            <v>Dafel Lagos Comercio De Aco E Maquinas Ltda</v>
          </cell>
          <cell r="E6689" t="str">
            <v>BR_CNPJ</v>
          </cell>
          <cell r="F6689" t="str">
            <v>11.957.369/0001-03</v>
          </cell>
          <cell r="G6689" t="str">
            <v>DAFEL</v>
          </cell>
        </row>
        <row r="6690">
          <cell r="A6690">
            <v>50035</v>
          </cell>
          <cell r="B6690" t="str">
            <v>CORPORATION</v>
          </cell>
          <cell r="C6690" t="str">
            <v>Construdecor S/A</v>
          </cell>
          <cell r="D6690" t="str">
            <v>Sao Miguel (Sodimac)</v>
          </cell>
          <cell r="E6690" t="str">
            <v>BR_CNPJ</v>
          </cell>
          <cell r="F6690" t="str">
            <v>03.439.316/0017-30</v>
          </cell>
          <cell r="G6690" t="str">
            <v>SODIMAC</v>
          </cell>
        </row>
        <row r="6691">
          <cell r="A6691">
            <v>50036</v>
          </cell>
          <cell r="B6691" t="str">
            <v>CORPORATION</v>
          </cell>
          <cell r="C6691" t="str">
            <v>Attrezzi Ferramentas E Utilidades Ltda</v>
          </cell>
          <cell r="D6691" t="str">
            <v>Attrezzi Ferramentas E Utilidades Ltda</v>
          </cell>
          <cell r="E6691" t="str">
            <v>BR_CNPJ</v>
          </cell>
          <cell r="F6691" t="str">
            <v>36.838.770/0001-55</v>
          </cell>
        </row>
        <row r="6692">
          <cell r="A6692">
            <v>50042</v>
          </cell>
          <cell r="B6692" t="str">
            <v>CORPORATION</v>
          </cell>
          <cell r="C6692" t="str">
            <v>Costa E Leite Comercio E Distribuidora De Produtos Agropecuarios Ltda</v>
          </cell>
          <cell r="D6692" t="str">
            <v>Agroleite</v>
          </cell>
          <cell r="E6692" t="str">
            <v>BR_CNPJ</v>
          </cell>
          <cell r="F6692" t="str">
            <v>06.938.447/0001-92</v>
          </cell>
        </row>
        <row r="6693">
          <cell r="A6693">
            <v>50047</v>
          </cell>
          <cell r="B6693" t="str">
            <v>CORPORATION</v>
          </cell>
          <cell r="C6693" t="str">
            <v>Fabricio Wessler</v>
          </cell>
          <cell r="D6693" t="str">
            <v>D'Maq</v>
          </cell>
          <cell r="E6693" t="str">
            <v>BR_CNPJ</v>
          </cell>
          <cell r="F6693" t="str">
            <v>23.655.362/0001-16</v>
          </cell>
        </row>
        <row r="6694">
          <cell r="A6694">
            <v>50050</v>
          </cell>
          <cell r="B6694" t="str">
            <v>CORPORATION</v>
          </cell>
          <cell r="C6694" t="str">
            <v>Celmar Comercial E Importadora Limitada</v>
          </cell>
          <cell r="D6694" t="str">
            <v>Celmar Comercial E Importadora Limitada</v>
          </cell>
          <cell r="E6694" t="str">
            <v>BR_CNPJ</v>
          </cell>
          <cell r="F6694" t="str">
            <v>61.936.522/0001-94</v>
          </cell>
        </row>
        <row r="6695">
          <cell r="A6695">
            <v>50053</v>
          </cell>
          <cell r="B6695" t="str">
            <v>CORPORATION</v>
          </cell>
          <cell r="C6695" t="str">
            <v>Bet Mar Industrial E Comercial Ltda</v>
          </cell>
          <cell r="D6695" t="str">
            <v>Bet Mar Industrial E Comercial Ltda</v>
          </cell>
          <cell r="E6695" t="str">
            <v>BR_CNPJ</v>
          </cell>
          <cell r="F6695" t="str">
            <v>59.335.653/0001-74</v>
          </cell>
        </row>
        <row r="6696">
          <cell r="A6696">
            <v>50063</v>
          </cell>
          <cell r="B6696" t="str">
            <v>CORPORATION</v>
          </cell>
          <cell r="C6696" t="str">
            <v>Soldagem Araxa Ltda.</v>
          </cell>
          <cell r="D6696" t="str">
            <v>Soldagem Araxa</v>
          </cell>
          <cell r="E6696" t="str">
            <v>BR_CNPJ</v>
          </cell>
          <cell r="F6696" t="str">
            <v>16.726.961/0001-18</v>
          </cell>
        </row>
        <row r="6697">
          <cell r="A6697">
            <v>50067</v>
          </cell>
          <cell r="B6697" t="str">
            <v>CORPORATION</v>
          </cell>
          <cell r="C6697" t="str">
            <v>Eurocenter Comercial Ltda</v>
          </cell>
          <cell r="D6697" t="str">
            <v>Eurocenter Comercial Ltda</v>
          </cell>
          <cell r="E6697" t="str">
            <v>BR_CNPJ</v>
          </cell>
          <cell r="F6697" t="str">
            <v>18.379.970/0001-05</v>
          </cell>
        </row>
        <row r="6698">
          <cell r="A6698">
            <v>50071</v>
          </cell>
          <cell r="B6698" t="str">
            <v>CORPORATION</v>
          </cell>
          <cell r="C6698" t="str">
            <v>W. S Maquinas E Ferramentas Ltda</v>
          </cell>
          <cell r="D6698" t="str">
            <v>Portal Ferragens</v>
          </cell>
          <cell r="E6698" t="str">
            <v>BR_CNPJ</v>
          </cell>
          <cell r="F6698" t="str">
            <v>21.814.060/0001-18</v>
          </cell>
          <cell r="G6698" t="str">
            <v>PORTAL FERRAGENS</v>
          </cell>
        </row>
        <row r="6699">
          <cell r="A6699">
            <v>50090</v>
          </cell>
          <cell r="B6699" t="str">
            <v>CORPORATION</v>
          </cell>
          <cell r="C6699" t="str">
            <v>Thiara Larissa Caldeira 08586539660</v>
          </cell>
          <cell r="D6699" t="str">
            <v>Elite Bike</v>
          </cell>
          <cell r="E6699" t="str">
            <v>BR_CNPJ</v>
          </cell>
          <cell r="F6699" t="str">
            <v>23.197.330/0001-14</v>
          </cell>
        </row>
        <row r="6700">
          <cell r="A6700">
            <v>50100</v>
          </cell>
          <cell r="B6700" t="str">
            <v>CORPORATION</v>
          </cell>
          <cell r="C6700" t="str">
            <v>Dantas &amp; Castro Aco E Construcoes Ltda</v>
          </cell>
          <cell r="D6700" t="str">
            <v>Comercial 101 Distribuidora</v>
          </cell>
          <cell r="E6700" t="str">
            <v>BR_CNPJ</v>
          </cell>
          <cell r="F6700" t="str">
            <v>15.359.153/0001-05</v>
          </cell>
          <cell r="G6700" t="str">
            <v>COMERCIAL 101 DISTRIBUIDORA</v>
          </cell>
        </row>
        <row r="6701">
          <cell r="A6701">
            <v>50134</v>
          </cell>
          <cell r="B6701" t="str">
            <v>CORPORATION</v>
          </cell>
          <cell r="C6701" t="str">
            <v>Proferragens Comercio De Ferragens E Ferramentas Ltda</v>
          </cell>
          <cell r="D6701" t="str">
            <v>Proferragens</v>
          </cell>
          <cell r="E6701" t="str">
            <v>BR_CNPJ</v>
          </cell>
          <cell r="F6701" t="str">
            <v>32.752.556/0001-20</v>
          </cell>
        </row>
        <row r="6702">
          <cell r="A6702">
            <v>50139</v>
          </cell>
          <cell r="B6702" t="str">
            <v>CORPORATION</v>
          </cell>
          <cell r="C6702" t="str">
            <v>Casa Barbosa Ltda</v>
          </cell>
          <cell r="D6702" t="str">
            <v>Casa Barbosa</v>
          </cell>
          <cell r="E6702" t="str">
            <v>BR_CNPJ</v>
          </cell>
          <cell r="F6702" t="str">
            <v>57.754.751/0001-10</v>
          </cell>
        </row>
        <row r="6703">
          <cell r="A6703">
            <v>50151</v>
          </cell>
          <cell r="B6703" t="str">
            <v>CORPORATION</v>
          </cell>
          <cell r="C6703" t="str">
            <v>Interbrinq Comercial Eireli</v>
          </cell>
          <cell r="D6703" t="str">
            <v>Interbrinq Comercial Eireli</v>
          </cell>
          <cell r="E6703" t="str">
            <v>BR_CNPJ</v>
          </cell>
          <cell r="F6703" t="str">
            <v>31.999.655/0001-49</v>
          </cell>
        </row>
        <row r="6704">
          <cell r="A6704">
            <v>50155</v>
          </cell>
          <cell r="B6704" t="str">
            <v>CORPORATION</v>
          </cell>
          <cell r="C6704" t="str">
            <v>Amazon Comercio De Ferragens E Servicos De Instalacao Ltda.</v>
          </cell>
          <cell r="D6704" t="str">
            <v>Amazon Comercial</v>
          </cell>
          <cell r="E6704" t="str">
            <v>BR_CNPJ</v>
          </cell>
          <cell r="F6704" t="str">
            <v>17.127.759/0001-32</v>
          </cell>
          <cell r="G6704" t="str">
            <v>AMAZON COMERCIAL</v>
          </cell>
        </row>
        <row r="6705">
          <cell r="A6705">
            <v>50157</v>
          </cell>
          <cell r="B6705" t="str">
            <v>CORPORATION</v>
          </cell>
          <cell r="C6705" t="str">
            <v>Simpleman Gestao E Manutencao Industrial Ltda</v>
          </cell>
          <cell r="D6705" t="str">
            <v>Simpleman Gestao E Manutencao Industria</v>
          </cell>
          <cell r="E6705" t="str">
            <v>BR_CNPJ</v>
          </cell>
          <cell r="F6705" t="str">
            <v>41.793.865/0001-30</v>
          </cell>
        </row>
        <row r="6706">
          <cell r="A6706">
            <v>50175</v>
          </cell>
          <cell r="B6706" t="str">
            <v>CORPORATION</v>
          </cell>
          <cell r="C6706" t="str">
            <v>Ivan Ferramentas Ltda</v>
          </cell>
          <cell r="D6706" t="str">
            <v>Ivan Ferramentas Ltda (Ivam Ferragens)</v>
          </cell>
          <cell r="E6706" t="str">
            <v>BR_CNPJ</v>
          </cell>
          <cell r="F6706" t="str">
            <v>34.144.666/0001-35</v>
          </cell>
          <cell r="G6706" t="str">
            <v>IVAM FERRAGENS</v>
          </cell>
        </row>
        <row r="6707">
          <cell r="A6707">
            <v>50177</v>
          </cell>
          <cell r="B6707" t="str">
            <v>CORPORATION</v>
          </cell>
          <cell r="C6707" t="str">
            <v>A Seringueira Distribuidora De Maquinas E Equipamentos Ltda</v>
          </cell>
          <cell r="D6707" t="str">
            <v>A Seringueira Distribuidora</v>
          </cell>
          <cell r="E6707" t="str">
            <v>BR_CNPJ</v>
          </cell>
          <cell r="F6707" t="str">
            <v>53.285.304/0001-09</v>
          </cell>
          <cell r="G6707" t="str">
            <v>SERINGUEIRA</v>
          </cell>
        </row>
        <row r="6708">
          <cell r="A6708">
            <v>50183</v>
          </cell>
          <cell r="B6708" t="str">
            <v>CORPORATION</v>
          </cell>
          <cell r="C6708" t="str">
            <v>Bmb Material De Construcao S.A.</v>
          </cell>
          <cell r="D6708" t="str">
            <v>Obramax Cariacica</v>
          </cell>
          <cell r="E6708" t="str">
            <v>BR_CNPJ</v>
          </cell>
          <cell r="F6708" t="str">
            <v>23.476.033/0016-94</v>
          </cell>
          <cell r="G6708" t="str">
            <v>OBRAMAX</v>
          </cell>
        </row>
        <row r="6709">
          <cell r="A6709">
            <v>50186</v>
          </cell>
          <cell r="B6709" t="str">
            <v>CORPORATION</v>
          </cell>
          <cell r="C6709" t="str">
            <v>V. R. Martins E C. A. Pereira Ltda</v>
          </cell>
          <cell r="D6709" t="str">
            <v>Celeiro Agro Ferragens</v>
          </cell>
          <cell r="E6709" t="str">
            <v>BR_CNPJ</v>
          </cell>
          <cell r="F6709" t="str">
            <v>54.987.768/0001-20</v>
          </cell>
        </row>
        <row r="6710">
          <cell r="A6710">
            <v>50200</v>
          </cell>
          <cell r="B6710" t="str">
            <v>CORPORATION</v>
          </cell>
          <cell r="C6710" t="str">
            <v>Capital Profissional Shopping Das Ferramentas Ltda</v>
          </cell>
          <cell r="D6710" t="str">
            <v>Capital Profissional</v>
          </cell>
          <cell r="E6710" t="str">
            <v>BR_CNPJ</v>
          </cell>
          <cell r="F6710" t="str">
            <v>06.124.395/0001-10</v>
          </cell>
          <cell r="G6710" t="str">
            <v>CAPITAL PROFISSIONAL</v>
          </cell>
        </row>
        <row r="6711">
          <cell r="A6711">
            <v>50213</v>
          </cell>
          <cell r="B6711" t="str">
            <v>CORPORATION</v>
          </cell>
          <cell r="C6711" t="str">
            <v>Ferragens Sao Judas J.K.T. Ltda</v>
          </cell>
          <cell r="D6711" t="str">
            <v>Ferragens Sao Judas</v>
          </cell>
          <cell r="E6711" t="str">
            <v>BR_CNPJ</v>
          </cell>
          <cell r="F6711" t="str">
            <v>17.095.567/0001-91</v>
          </cell>
          <cell r="G6711" t="str">
            <v>FERRAGENS SÃO JUDAS</v>
          </cell>
        </row>
        <row r="6712">
          <cell r="A6712">
            <v>50223</v>
          </cell>
          <cell r="B6712" t="str">
            <v>CORPORATION</v>
          </cell>
          <cell r="C6712" t="str">
            <v>50.709.551 Renan Meyer Secco</v>
          </cell>
          <cell r="D6712" t="str">
            <v>50.709.551 Renan Meyer Secco</v>
          </cell>
          <cell r="E6712" t="str">
            <v>BR_CNPJ</v>
          </cell>
          <cell r="F6712" t="str">
            <v>50.709.551/0001-05</v>
          </cell>
        </row>
        <row r="6713">
          <cell r="A6713">
            <v>50237</v>
          </cell>
          <cell r="B6713" t="str">
            <v>CORPORATION</v>
          </cell>
          <cell r="C6713" t="str">
            <v>Eta Treinamentos E Consultoria Ltda</v>
          </cell>
          <cell r="D6713" t="str">
            <v>Eta Escola Tecnica Automotiva</v>
          </cell>
          <cell r="E6713" t="str">
            <v>BR_CNPJ</v>
          </cell>
          <cell r="F6713" t="str">
            <v>28.412.004/0001-04</v>
          </cell>
        </row>
        <row r="6714">
          <cell r="A6714">
            <v>50241</v>
          </cell>
          <cell r="B6714" t="str">
            <v>CORPORATION</v>
          </cell>
          <cell r="C6714" t="str">
            <v>Eisenfer Tubos E Acos Ltda</v>
          </cell>
          <cell r="D6714" t="str">
            <v>Eisenfer</v>
          </cell>
          <cell r="E6714" t="str">
            <v>BR_CNPJ</v>
          </cell>
          <cell r="F6714" t="str">
            <v>36.572.554/0001-00</v>
          </cell>
          <cell r="G6714" t="str">
            <v>EISENFER</v>
          </cell>
        </row>
        <row r="6715">
          <cell r="A6715">
            <v>50253</v>
          </cell>
          <cell r="B6715" t="str">
            <v>CORPORATION</v>
          </cell>
          <cell r="C6715" t="str">
            <v>Anderson Carlos Dantas Dos Santos</v>
          </cell>
          <cell r="D6715" t="str">
            <v>Casa Do Parafuso</v>
          </cell>
          <cell r="E6715" t="str">
            <v>BR_CNPJ</v>
          </cell>
          <cell r="F6715" t="str">
            <v>44.464.158/0001-98</v>
          </cell>
        </row>
        <row r="6716">
          <cell r="A6716">
            <v>50257</v>
          </cell>
          <cell r="B6716" t="str">
            <v>CORPORATION</v>
          </cell>
          <cell r="C6716" t="str">
            <v>Vps Brasil Suprimentos Industriais Ltda</v>
          </cell>
          <cell r="D6716" t="str">
            <v>Vps Brasil Suprimentos Industriais</v>
          </cell>
          <cell r="E6716" t="str">
            <v>BR_CNPJ</v>
          </cell>
          <cell r="F6716" t="str">
            <v>28.239.060/0001-80</v>
          </cell>
        </row>
        <row r="6717">
          <cell r="A6717">
            <v>50299</v>
          </cell>
          <cell r="B6717" t="str">
            <v>CORPORATION</v>
          </cell>
          <cell r="C6717" t="str">
            <v>J.G.G. Comercio De Gases Servicos E Transporte Ltda</v>
          </cell>
          <cell r="D6717" t="str">
            <v>J.G.G. Gases Industriais</v>
          </cell>
          <cell r="E6717" t="str">
            <v>BR_CNPJ</v>
          </cell>
          <cell r="F6717" t="str">
            <v>33.242.631/0001-76</v>
          </cell>
        </row>
        <row r="6718">
          <cell r="A6718">
            <v>50302</v>
          </cell>
          <cell r="B6718" t="str">
            <v>CORPORATION</v>
          </cell>
          <cell r="C6718" t="str">
            <v>22.220.854 Lazaro Ferreira De Souza</v>
          </cell>
          <cell r="D6718" t="str">
            <v>Fenix Ferramentas</v>
          </cell>
          <cell r="E6718" t="str">
            <v>BR_CNPJ</v>
          </cell>
          <cell r="F6718" t="str">
            <v>22.220.854/0001-16</v>
          </cell>
        </row>
        <row r="6719">
          <cell r="A6719">
            <v>50308</v>
          </cell>
          <cell r="B6719" t="str">
            <v>CORPORATION</v>
          </cell>
          <cell r="C6719" t="str">
            <v>Marfix - Fixadores E Ferramentas Ltda</v>
          </cell>
          <cell r="D6719" t="str">
            <v>Marfix - Fixadores E Ferramentas</v>
          </cell>
          <cell r="E6719" t="str">
            <v>BR_CNPJ</v>
          </cell>
          <cell r="F6719" t="str">
            <v>05.699.016/0001-58</v>
          </cell>
        </row>
        <row r="6720">
          <cell r="A6720">
            <v>50310</v>
          </cell>
          <cell r="B6720" t="str">
            <v>CORPORATION</v>
          </cell>
          <cell r="C6720" t="str">
            <v>Diferro - Ferro E Aco Ltda</v>
          </cell>
          <cell r="D6720" t="str">
            <v>Diferro</v>
          </cell>
          <cell r="E6720" t="str">
            <v>BR_CNPJ</v>
          </cell>
          <cell r="F6720" t="str">
            <v>35.178.573/0001-94</v>
          </cell>
          <cell r="G6720" t="str">
            <v>DIFERRO</v>
          </cell>
        </row>
        <row r="6721">
          <cell r="A6721">
            <v>50320</v>
          </cell>
          <cell r="B6721" t="str">
            <v>CORPORATION</v>
          </cell>
          <cell r="C6721" t="str">
            <v>R. Da S. Lima &amp; A. De O. Silva Ltda</v>
          </cell>
          <cell r="D6721" t="str">
            <v>A R Distribuicao E Servicos</v>
          </cell>
          <cell r="E6721" t="str">
            <v>BR_CNPJ</v>
          </cell>
          <cell r="F6721" t="str">
            <v>52.667.841/0001-50</v>
          </cell>
        </row>
        <row r="6722">
          <cell r="A6722">
            <v>50330</v>
          </cell>
          <cell r="B6722" t="str">
            <v>CORPORATION</v>
          </cell>
          <cell r="C6722" t="str">
            <v>Argon Comercial Ltda</v>
          </cell>
          <cell r="D6722" t="str">
            <v>Argon Comercial Ltda</v>
          </cell>
          <cell r="E6722" t="str">
            <v>BR_CNPJ</v>
          </cell>
          <cell r="F6722" t="str">
            <v>64.590.532/0001-09</v>
          </cell>
          <cell r="G6722" t="str">
            <v>MAMUTH</v>
          </cell>
        </row>
        <row r="6723">
          <cell r="A6723">
            <v>50333</v>
          </cell>
          <cell r="B6723" t="str">
            <v>CORPORATION</v>
          </cell>
          <cell r="C6723" t="str">
            <v>Luno Equipamentos De Seguranca Ltda</v>
          </cell>
          <cell r="D6723" t="str">
            <v>Luno Equipamentos</v>
          </cell>
          <cell r="E6723" t="str">
            <v>BR_CNPJ</v>
          </cell>
          <cell r="F6723" t="str">
            <v>40.942.335/0001-43</v>
          </cell>
        </row>
        <row r="6724">
          <cell r="A6724">
            <v>50345</v>
          </cell>
          <cell r="B6724" t="str">
            <v>CORPORATION</v>
          </cell>
          <cell r="C6724" t="str">
            <v>Cofil Comercio De Ferro Itabapoana Ltda</v>
          </cell>
          <cell r="D6724" t="str">
            <v>Cofil Comercio De Ferro Itabapoana Ltda</v>
          </cell>
          <cell r="E6724" t="str">
            <v>BR_CNPJ</v>
          </cell>
          <cell r="F6724" t="str">
            <v>27.023.563/0001-51</v>
          </cell>
        </row>
        <row r="6725">
          <cell r="A6725">
            <v>50386</v>
          </cell>
          <cell r="B6725" t="str">
            <v>CORPORATION</v>
          </cell>
          <cell r="C6725" t="str">
            <v>Nj Comercio De Aco Ltda</v>
          </cell>
          <cell r="D6725" t="str">
            <v>Eisenfer</v>
          </cell>
          <cell r="E6725" t="str">
            <v>BR_CNPJ</v>
          </cell>
          <cell r="F6725" t="str">
            <v>41.263.536/0001-87</v>
          </cell>
          <cell r="G6725" t="str">
            <v>EISENFER</v>
          </cell>
        </row>
        <row r="6726">
          <cell r="A6726">
            <v>50391</v>
          </cell>
          <cell r="B6726" t="str">
            <v>CORPORATION</v>
          </cell>
          <cell r="C6726" t="str">
            <v>Biazotto Solucoes Industriais Ltda</v>
          </cell>
          <cell r="D6726" t="str">
            <v>Biazotto Solucoes Industriais Ltda</v>
          </cell>
          <cell r="E6726" t="str">
            <v>BR_CNPJ</v>
          </cell>
          <cell r="F6726" t="str">
            <v>47.327.728/0001-96</v>
          </cell>
        </row>
        <row r="6727">
          <cell r="A6727">
            <v>50393</v>
          </cell>
          <cell r="B6727" t="str">
            <v>CORPORATION</v>
          </cell>
          <cell r="C6727" t="str">
            <v>Eletro-Ferragens Baratao Ltda</v>
          </cell>
          <cell r="D6727" t="str">
            <v>Eletro-Ferragens Baratao Ltda</v>
          </cell>
          <cell r="E6727" t="str">
            <v>BR_CNPJ</v>
          </cell>
          <cell r="F6727" t="str">
            <v>20.594.559/0001-02</v>
          </cell>
        </row>
        <row r="6728">
          <cell r="A6728">
            <v>50404</v>
          </cell>
          <cell r="B6728" t="str">
            <v>CORPORATION</v>
          </cell>
          <cell r="C6728" t="str">
            <v>W De O Schneider Ltda</v>
          </cell>
          <cell r="D6728" t="str">
            <v>I-Sow Ferramentas</v>
          </cell>
          <cell r="E6728" t="str">
            <v>BR_CNPJ</v>
          </cell>
          <cell r="F6728" t="str">
            <v>08.632.892/0001-55</v>
          </cell>
        </row>
        <row r="6729">
          <cell r="A6729">
            <v>50406</v>
          </cell>
          <cell r="B6729" t="str">
            <v>CORPORATION</v>
          </cell>
          <cell r="C6729" t="str">
            <v>M. Bergamo Pneus Ltda</v>
          </cell>
          <cell r="D6729" t="str">
            <v>Camaras E Pneus</v>
          </cell>
          <cell r="E6729" t="str">
            <v>BR_CNPJ</v>
          </cell>
          <cell r="F6729" t="str">
            <v>36.269.774/0001-60</v>
          </cell>
          <cell r="G6729" t="str">
            <v>BERGAMO</v>
          </cell>
        </row>
        <row r="6730">
          <cell r="A6730">
            <v>50408</v>
          </cell>
          <cell r="B6730" t="str">
            <v>CORPORATION</v>
          </cell>
          <cell r="C6730" t="str">
            <v>Rudson Da Cruz Rodrigues 61165546361</v>
          </cell>
          <cell r="D6730" t="str">
            <v>Rudson Da Cruz Rodrigues 61165546361</v>
          </cell>
          <cell r="E6730" t="str">
            <v>BR_CNPJ</v>
          </cell>
          <cell r="F6730" t="str">
            <v>46.629.026/0001-02</v>
          </cell>
        </row>
        <row r="6731">
          <cell r="A6731">
            <v>50415</v>
          </cell>
          <cell r="B6731" t="str">
            <v>CORPORATION</v>
          </cell>
          <cell r="C6731" t="str">
            <v>100limites Ferragens Ltda</v>
          </cell>
          <cell r="D6731" t="str">
            <v>100limites Ferragens</v>
          </cell>
          <cell r="E6731" t="str">
            <v>BR_CNPJ</v>
          </cell>
          <cell r="F6731" t="str">
            <v>23.635.208/0001-82</v>
          </cell>
        </row>
        <row r="6732">
          <cell r="A6732">
            <v>50419</v>
          </cell>
          <cell r="B6732" t="str">
            <v>CORPORATION</v>
          </cell>
          <cell r="C6732" t="str">
            <v>Monfardini Industria E Comercio De Madeiras Ltda</v>
          </cell>
          <cell r="D6732" t="str">
            <v>Monfardini Industria E Comercio De Madeiras Ltda</v>
          </cell>
          <cell r="E6732" t="str">
            <v>BR_CNPJ</v>
          </cell>
          <cell r="F6732" t="str">
            <v>00.127.817/0001-25</v>
          </cell>
          <cell r="G6732" t="str">
            <v>MONFARDINI</v>
          </cell>
        </row>
        <row r="6733">
          <cell r="A6733">
            <v>50423</v>
          </cell>
          <cell r="B6733" t="str">
            <v>CORPORATION</v>
          </cell>
          <cell r="C6733" t="str">
            <v>Nicole De Oliveira Celestino Martins 37718511812</v>
          </cell>
          <cell r="D6733" t="str">
            <v>Fermaq</v>
          </cell>
          <cell r="E6733" t="str">
            <v>BR_CNPJ</v>
          </cell>
          <cell r="F6733" t="str">
            <v>40.498.331/0001-18</v>
          </cell>
        </row>
        <row r="6734">
          <cell r="A6734">
            <v>50431</v>
          </cell>
          <cell r="B6734" t="str">
            <v>CORPORATION</v>
          </cell>
          <cell r="C6734" t="str">
            <v>51.889.778 Rondineli Da Silva Borges</v>
          </cell>
          <cell r="D6734" t="str">
            <v>Breviel Comercio E Manutenção</v>
          </cell>
          <cell r="E6734" t="str">
            <v>BR_CNPJ</v>
          </cell>
          <cell r="F6734" t="str">
            <v>51.889.778/0001-34</v>
          </cell>
        </row>
        <row r="6735">
          <cell r="A6735">
            <v>50440</v>
          </cell>
          <cell r="B6735" t="str">
            <v>CORPORATION</v>
          </cell>
          <cell r="C6735" t="str">
            <v>Cleiton Garcez Bueno</v>
          </cell>
          <cell r="D6735" t="str">
            <v>Jb Services</v>
          </cell>
          <cell r="E6735" t="str">
            <v>BR_CNPJ</v>
          </cell>
          <cell r="F6735" t="str">
            <v>31.005.045/0001-82</v>
          </cell>
        </row>
        <row r="6736">
          <cell r="A6736">
            <v>50465</v>
          </cell>
          <cell r="B6736" t="str">
            <v>CORPORATION</v>
          </cell>
          <cell r="C6736" t="str">
            <v>Colasa - Comercial Lagoa Santa Ltda</v>
          </cell>
          <cell r="D6736" t="str">
            <v>Locamonte Comercial</v>
          </cell>
          <cell r="E6736" t="str">
            <v>BR_CNPJ</v>
          </cell>
          <cell r="F6736" t="str">
            <v>15.531.367/0001-09</v>
          </cell>
        </row>
        <row r="6737">
          <cell r="A6737">
            <v>50496</v>
          </cell>
          <cell r="B6737" t="str">
            <v>CORPORATION</v>
          </cell>
          <cell r="C6737" t="str">
            <v>B G Da Silva Comercio De Maquinas E Ferramentas</v>
          </cell>
          <cell r="D6737" t="str">
            <v>Parecis Ferramentas E Epis</v>
          </cell>
          <cell r="E6737" t="str">
            <v>BR_CNPJ</v>
          </cell>
          <cell r="F6737" t="str">
            <v>29.596.329/0001-49</v>
          </cell>
        </row>
        <row r="6738">
          <cell r="A6738">
            <v>50530</v>
          </cell>
          <cell r="B6738" t="str">
            <v>CORPORATION</v>
          </cell>
          <cell r="C6738" t="str">
            <v>Carvalho Comercio De Ferramentas Ltda</v>
          </cell>
          <cell r="D6738" t="str">
            <v>Shopping Das Ferramentas</v>
          </cell>
          <cell r="E6738" t="str">
            <v>BR_CNPJ</v>
          </cell>
          <cell r="F6738" t="str">
            <v>05.641.539/0001-43</v>
          </cell>
        </row>
        <row r="6739">
          <cell r="A6739">
            <v>50559</v>
          </cell>
          <cell r="B6739" t="str">
            <v>CORPORATION</v>
          </cell>
          <cell r="C6739" t="str">
            <v>Leao Equipamentos E Ferramentas Ltda</v>
          </cell>
          <cell r="D6739" t="str">
            <v>Leao Equipamentos</v>
          </cell>
          <cell r="E6739" t="str">
            <v>BR_CNPJ</v>
          </cell>
          <cell r="F6739" t="str">
            <v>04.265.871/0001-98</v>
          </cell>
        </row>
        <row r="6740">
          <cell r="A6740">
            <v>50564</v>
          </cell>
          <cell r="B6740" t="str">
            <v>CORPORATION</v>
          </cell>
          <cell r="C6740" t="str">
            <v>Map Atacado E Varejo Ltda</v>
          </cell>
          <cell r="D6740" t="str">
            <v>Map Atacado E Varejo Ltda</v>
          </cell>
          <cell r="E6740" t="str">
            <v>BR_CNPJ</v>
          </cell>
          <cell r="F6740" t="str">
            <v>46.696.702/0001-52</v>
          </cell>
        </row>
        <row r="6741">
          <cell r="A6741">
            <v>50571</v>
          </cell>
          <cell r="B6741" t="str">
            <v>CORPORATION</v>
          </cell>
          <cell r="C6741" t="str">
            <v>Resolve Ferramentas Ltda</v>
          </cell>
          <cell r="D6741" t="str">
            <v>Resolve Ferramentas</v>
          </cell>
          <cell r="E6741" t="str">
            <v>BR_CNPJ</v>
          </cell>
          <cell r="F6741" t="str">
            <v>57.044.089/0001-05</v>
          </cell>
        </row>
        <row r="6742">
          <cell r="A6742">
            <v>50573</v>
          </cell>
          <cell r="B6742" t="str">
            <v>CORPORATION</v>
          </cell>
          <cell r="C6742" t="str">
            <v>Marize De Carvalho Almeida E Cia Ltda</v>
          </cell>
          <cell r="D6742" t="str">
            <v>Hidraulica Brasil</v>
          </cell>
          <cell r="E6742" t="str">
            <v>BR_CNPJ</v>
          </cell>
          <cell r="F6742" t="str">
            <v>04.903.545/0001-69</v>
          </cell>
        </row>
        <row r="6743">
          <cell r="A6743">
            <v>50630</v>
          </cell>
          <cell r="B6743" t="str">
            <v>CORPORATION</v>
          </cell>
          <cell r="C6743" t="str">
            <v>Ponto Forte Produtos Agropecuarios E Ferragista Ltda</v>
          </cell>
          <cell r="D6743" t="str">
            <v>Ponto Forte</v>
          </cell>
          <cell r="E6743" t="str">
            <v>BR_CNPJ</v>
          </cell>
          <cell r="F6743" t="str">
            <v>23.694.030/0001-40</v>
          </cell>
        </row>
        <row r="6744">
          <cell r="A6744">
            <v>50649</v>
          </cell>
          <cell r="B6744" t="str">
            <v>CORPORATION</v>
          </cell>
          <cell r="C6744" t="str">
            <v>Bm Comercio De Pecas E Usinagem Ltda</v>
          </cell>
          <cell r="D6744" t="str">
            <v>Bm Pecas</v>
          </cell>
          <cell r="E6744" t="str">
            <v>BR_CNPJ</v>
          </cell>
          <cell r="F6744" t="str">
            <v>51.375.209/0001-70</v>
          </cell>
        </row>
        <row r="6745">
          <cell r="A6745">
            <v>50663</v>
          </cell>
          <cell r="B6745" t="str">
            <v>CORPORATION</v>
          </cell>
          <cell r="C6745" t="str">
            <v>58.225.441 Leticia De Melo Morais Correia</v>
          </cell>
          <cell r="D6745" t="str">
            <v>Rt Correia Peças E Equipamentos Industriais</v>
          </cell>
          <cell r="E6745" t="str">
            <v>BR_CNPJ</v>
          </cell>
          <cell r="F6745" t="str">
            <v>58.225.441/0001-71</v>
          </cell>
        </row>
        <row r="6746">
          <cell r="A6746">
            <v>50700</v>
          </cell>
          <cell r="B6746" t="str">
            <v>CORPORATION</v>
          </cell>
          <cell r="C6746" t="str">
            <v>Solda Firme Comercio Ltda</v>
          </cell>
          <cell r="D6746" t="str">
            <v>Solda Firme Comercio</v>
          </cell>
          <cell r="E6746" t="str">
            <v>BR_CNPJ</v>
          </cell>
          <cell r="F6746" t="str">
            <v>50.378.182/0001-07</v>
          </cell>
        </row>
        <row r="6747">
          <cell r="A6747">
            <v>50702</v>
          </cell>
          <cell r="B6747" t="str">
            <v>CORPORATION</v>
          </cell>
          <cell r="C6747" t="str">
            <v>Paulo Jorge De Matos</v>
          </cell>
          <cell r="D6747" t="str">
            <v>Matheus Materiais De Construcoes E Ferragista</v>
          </cell>
          <cell r="E6747" t="str">
            <v>BR_CNPJ</v>
          </cell>
          <cell r="F6747" t="str">
            <v>02.630.418/0001-08</v>
          </cell>
        </row>
        <row r="6748">
          <cell r="A6748">
            <v>50707</v>
          </cell>
          <cell r="B6748" t="str">
            <v>CORPORATION</v>
          </cell>
          <cell r="C6748" t="str">
            <v>Cooperativa Triticola De Espumoso Ltda</v>
          </cell>
          <cell r="D6748" t="str">
            <v>Cotriel</v>
          </cell>
          <cell r="E6748" t="str">
            <v>BR_CNPJ</v>
          </cell>
          <cell r="F6748" t="str">
            <v>89.677.595/0001-28</v>
          </cell>
        </row>
        <row r="6749">
          <cell r="A6749">
            <v>50714</v>
          </cell>
          <cell r="B6749" t="str">
            <v>CORPORATION</v>
          </cell>
          <cell r="C6749" t="str">
            <v>Alexandre Lino Silva 05617168622</v>
          </cell>
          <cell r="D6749" t="str">
            <v>Alexandre Lino Silva 05617168622</v>
          </cell>
          <cell r="E6749" t="str">
            <v>BR_CNPJ</v>
          </cell>
          <cell r="F6749" t="str">
            <v>14.965.723/0001-30</v>
          </cell>
        </row>
        <row r="6750">
          <cell r="A6750">
            <v>50721</v>
          </cell>
          <cell r="B6750" t="str">
            <v>CORPORATION</v>
          </cell>
          <cell r="C6750" t="str">
            <v>W2 Ferramentas Importacao E Comercio Ltda</v>
          </cell>
          <cell r="D6750" t="str">
            <v>W2 Ferramentas</v>
          </cell>
          <cell r="E6750" t="str">
            <v>BR_CNPJ</v>
          </cell>
          <cell r="F6750" t="str">
            <v>49.958.351/0001-07</v>
          </cell>
        </row>
        <row r="6751">
          <cell r="A6751">
            <v>50731</v>
          </cell>
          <cell r="B6751" t="str">
            <v>CORPORATION</v>
          </cell>
          <cell r="C6751" t="str">
            <v>Innovtech Suprimentos Ltda</v>
          </cell>
          <cell r="D6751" t="str">
            <v>Edson Luiz Souza</v>
          </cell>
          <cell r="E6751" t="str">
            <v>BR_CNPJ</v>
          </cell>
          <cell r="F6751" t="str">
            <v>55.977.132/0001-60</v>
          </cell>
        </row>
        <row r="6752">
          <cell r="A6752">
            <v>50733</v>
          </cell>
          <cell r="B6752" t="str">
            <v>CORPORATION</v>
          </cell>
          <cell r="C6752" t="str">
            <v>Fersan Comercio De Abrasivos Ltda</v>
          </cell>
          <cell r="D6752" t="str">
            <v>Fersan Comercio De Abrasivos Ltda</v>
          </cell>
          <cell r="E6752" t="str">
            <v>BR_CNPJ</v>
          </cell>
          <cell r="F6752" t="str">
            <v>01.172.837/0001-80</v>
          </cell>
        </row>
        <row r="6753">
          <cell r="A6753">
            <v>50734</v>
          </cell>
          <cell r="B6753" t="str">
            <v>CORPORATION</v>
          </cell>
          <cell r="C6753" t="str">
            <v>Momesso Indústria De Máquinas Ltda</v>
          </cell>
          <cell r="D6753" t="str">
            <v>Momesso Indústria De Máquinas Ltda</v>
          </cell>
          <cell r="E6753" t="str">
            <v>BR_CNPJ</v>
          </cell>
          <cell r="F6753" t="str">
            <v>48.712.319/0001-76</v>
          </cell>
        </row>
        <row r="6754">
          <cell r="A6754">
            <v>50754</v>
          </cell>
          <cell r="B6754" t="str">
            <v>CORPORATION</v>
          </cell>
          <cell r="C6754" t="str">
            <v>Casa Dos Parafusos Itaim Ltda</v>
          </cell>
          <cell r="D6754" t="str">
            <v>Casa Dos Parafusos Itaim Ltda</v>
          </cell>
          <cell r="E6754" t="str">
            <v>BR_CNPJ</v>
          </cell>
          <cell r="F6754" t="str">
            <v>54.849.410/0001-30</v>
          </cell>
          <cell r="G6754" t="str">
            <v>MABERFIX</v>
          </cell>
        </row>
        <row r="6755">
          <cell r="A6755">
            <v>50766</v>
          </cell>
          <cell r="B6755" t="str">
            <v>CORPORATION</v>
          </cell>
          <cell r="C6755" t="str">
            <v>Leroy Merlin Companhia Brasileira De Bricolagem</v>
          </cell>
          <cell r="D6755" t="str">
            <v>0077 Loja Brasília Jardim Botânico</v>
          </cell>
          <cell r="E6755" t="str">
            <v>BR_CNPJ</v>
          </cell>
          <cell r="F6755" t="str">
            <v>01.438.784/0083-43</v>
          </cell>
          <cell r="G6755" t="str">
            <v>LEROY MERLIN</v>
          </cell>
        </row>
        <row r="6756">
          <cell r="A6756">
            <v>50784</v>
          </cell>
          <cell r="B6756" t="str">
            <v>CORPORATION</v>
          </cell>
          <cell r="C6756" t="str">
            <v>Santos De Oliveira Ferramentas Ltda</v>
          </cell>
          <cell r="D6756" t="str">
            <v>Santos E Oliveira Ferramentas</v>
          </cell>
          <cell r="E6756" t="str">
            <v>BR_CNPJ</v>
          </cell>
          <cell r="F6756" t="str">
            <v>53.540.336/0001-03</v>
          </cell>
        </row>
        <row r="6757">
          <cell r="A6757">
            <v>50786</v>
          </cell>
          <cell r="B6757" t="str">
            <v>CORPORATION</v>
          </cell>
          <cell r="C6757" t="str">
            <v>Dalton F Bastian Gases</v>
          </cell>
          <cell r="D6757" t="str">
            <v>Alemao Do Oxigenio</v>
          </cell>
          <cell r="E6757" t="str">
            <v>BR_CNPJ</v>
          </cell>
          <cell r="F6757" t="str">
            <v>37.229.889/0001-93</v>
          </cell>
        </row>
        <row r="6758">
          <cell r="A6758">
            <v>50787</v>
          </cell>
          <cell r="B6758" t="str">
            <v>CORPORATION</v>
          </cell>
          <cell r="C6758" t="str">
            <v>Casa Do Japones Maquinas E Pecas Ltda</v>
          </cell>
          <cell r="D6758" t="str">
            <v>Casa Do Japones Maquinas E Pecas Ltda</v>
          </cell>
          <cell r="E6758" t="str">
            <v>BR_CNPJ</v>
          </cell>
          <cell r="F6758" t="str">
            <v>42.179.135/0001-06</v>
          </cell>
        </row>
        <row r="6759">
          <cell r="A6759">
            <v>50788</v>
          </cell>
          <cell r="B6759" t="str">
            <v>CORPORATION</v>
          </cell>
          <cell r="C6759" t="str">
            <v>Claudio Pacheco De Lima 03692952694</v>
          </cell>
          <cell r="D6759" t="str">
            <v>Claudio Pacheco De Lima 03692952694</v>
          </cell>
          <cell r="E6759" t="str">
            <v>BR_CNPJ</v>
          </cell>
          <cell r="F6759" t="str">
            <v>19.359.659/0001-67</v>
          </cell>
        </row>
        <row r="6760">
          <cell r="A6760">
            <v>50790</v>
          </cell>
          <cell r="B6760" t="str">
            <v>CORPORATION</v>
          </cell>
          <cell r="C6760" t="str">
            <v>Sousolda Comercio E Locacao De Ferramentas Ltda</v>
          </cell>
          <cell r="D6760" t="str">
            <v>Oxfermaq</v>
          </cell>
          <cell r="E6760" t="str">
            <v>BR_CNPJ</v>
          </cell>
          <cell r="F6760" t="str">
            <v>24.468.833/0001-40</v>
          </cell>
        </row>
        <row r="6761">
          <cell r="A6761">
            <v>50794</v>
          </cell>
          <cell r="B6761" t="str">
            <v>CORPORATION</v>
          </cell>
          <cell r="C6761" t="str">
            <v>Terra Firme Construcao E Moveis Ltda</v>
          </cell>
          <cell r="D6761" t="str">
            <v>Construtelha</v>
          </cell>
          <cell r="E6761" t="str">
            <v>BR_CNPJ</v>
          </cell>
          <cell r="F6761" t="str">
            <v>10.614.265/0001-33</v>
          </cell>
        </row>
        <row r="6762">
          <cell r="A6762">
            <v>50799</v>
          </cell>
          <cell r="B6762" t="str">
            <v>CORPORATION</v>
          </cell>
          <cell r="C6762" t="str">
            <v>Royal Acofer Distribuidora De Ferragens Em Geral Ltda</v>
          </cell>
          <cell r="D6762" t="str">
            <v>Royal Acofer Comercio E Industria</v>
          </cell>
          <cell r="E6762" t="str">
            <v>BR_CNPJ</v>
          </cell>
          <cell r="F6762" t="str">
            <v>53.190.137/0001-12</v>
          </cell>
        </row>
        <row r="6763">
          <cell r="A6763">
            <v>50800</v>
          </cell>
          <cell r="B6763" t="str">
            <v>CORPORATION</v>
          </cell>
          <cell r="C6763" t="str">
            <v>Sta Rita - Ferramentas E Epis Ltda</v>
          </cell>
          <cell r="D6763" t="str">
            <v>Santa Rita Ferramentas, Parafusos E Epis</v>
          </cell>
          <cell r="E6763" t="str">
            <v>BR_CNPJ</v>
          </cell>
          <cell r="F6763" t="str">
            <v>55.991.799/0001-17</v>
          </cell>
        </row>
        <row r="6764">
          <cell r="A6764">
            <v>50813</v>
          </cell>
          <cell r="B6764" t="str">
            <v>CORPORATION</v>
          </cell>
          <cell r="C6764" t="str">
            <v>Vmr Suprimentos Industrial Ltda</v>
          </cell>
          <cell r="D6764" t="str">
            <v>Vmr Suprimentos Industrial</v>
          </cell>
          <cell r="E6764" t="str">
            <v>BR_CNPJ</v>
          </cell>
          <cell r="F6764" t="str">
            <v>48.452.493/0001-27</v>
          </cell>
        </row>
        <row r="6765">
          <cell r="A6765">
            <v>50816</v>
          </cell>
          <cell r="B6765" t="str">
            <v>CORPORATION</v>
          </cell>
          <cell r="C6765" t="str">
            <v>Arco2 Soldas Ltda</v>
          </cell>
          <cell r="D6765" t="str">
            <v>Arco</v>
          </cell>
          <cell r="E6765" t="str">
            <v>BR_CNPJ</v>
          </cell>
          <cell r="F6765" t="str">
            <v>55.717.249/0001-04</v>
          </cell>
        </row>
        <row r="6766">
          <cell r="A6766">
            <v>50837</v>
          </cell>
          <cell r="B6766" t="str">
            <v>CORPORATION</v>
          </cell>
          <cell r="C6766" t="str">
            <v>Mercado Do Epi Ltda</v>
          </cell>
          <cell r="D6766" t="str">
            <v>Casa Da Bota</v>
          </cell>
          <cell r="E6766" t="str">
            <v>BR_CNPJ</v>
          </cell>
          <cell r="F6766" t="str">
            <v>37.247.200/0001-53</v>
          </cell>
        </row>
        <row r="6767">
          <cell r="A6767">
            <v>50848</v>
          </cell>
          <cell r="B6767" t="str">
            <v>CORPORATION</v>
          </cell>
          <cell r="C6767" t="str">
            <v>Denise Munhoz De Oliveira</v>
          </cell>
          <cell r="D6767" t="str">
            <v>Santa Rita Ferro E Aco</v>
          </cell>
          <cell r="E6767" t="str">
            <v>BR_CNPJ</v>
          </cell>
          <cell r="F6767" t="str">
            <v>09.292.498/0001-88</v>
          </cell>
        </row>
        <row r="6768">
          <cell r="A6768">
            <v>50852</v>
          </cell>
          <cell r="B6768" t="str">
            <v>CORPORATION</v>
          </cell>
          <cell r="C6768" t="str">
            <v>Paraiso Do Mecanico Ltda</v>
          </cell>
          <cell r="D6768" t="str">
            <v>Paraiso Do Mecanico</v>
          </cell>
          <cell r="E6768" t="str">
            <v>BR_CNPJ</v>
          </cell>
          <cell r="F6768" t="str">
            <v>58.902.504/0001-87</v>
          </cell>
          <cell r="G6768" t="str">
            <v>CARATINGA</v>
          </cell>
        </row>
        <row r="6769">
          <cell r="A6769">
            <v>50866</v>
          </cell>
          <cell r="B6769" t="str">
            <v>CORPORATION</v>
          </cell>
          <cell r="C6769" t="str">
            <v>Fabiano Comercio Atacadista De Ferramentas E Materiais De Construcao Ltda</v>
          </cell>
          <cell r="D6769" t="str">
            <v>Fabiano Parafuso</v>
          </cell>
          <cell r="E6769" t="str">
            <v>BR_CNPJ</v>
          </cell>
          <cell r="F6769" t="str">
            <v>00.085.446/0001-66</v>
          </cell>
        </row>
        <row r="6770">
          <cell r="A6770">
            <v>50867</v>
          </cell>
          <cell r="B6770" t="str">
            <v>CORPORATION</v>
          </cell>
          <cell r="C6770" t="str">
            <v>R A Goncalves Ltda</v>
          </cell>
          <cell r="D6770" t="str">
            <v>Tocantins Borrachas</v>
          </cell>
          <cell r="E6770" t="str">
            <v>BR_CNPJ</v>
          </cell>
          <cell r="F6770" t="str">
            <v>08.064.835/0001-17</v>
          </cell>
          <cell r="G6770" t="str">
            <v>TO BORRACHAS</v>
          </cell>
        </row>
        <row r="6771">
          <cell r="A6771">
            <v>50868</v>
          </cell>
          <cell r="B6771" t="str">
            <v>CORPORATION</v>
          </cell>
          <cell r="C6771" t="str">
            <v>Goncalves E Teixeira Ltda</v>
          </cell>
          <cell r="D6771" t="str">
            <v>Tocantins Borrachas Paraiso</v>
          </cell>
          <cell r="E6771" t="str">
            <v>BR_CNPJ</v>
          </cell>
          <cell r="F6771" t="str">
            <v>42.232.896/0001-84</v>
          </cell>
          <cell r="G6771" t="str">
            <v>TO BORRACHAS</v>
          </cell>
        </row>
        <row r="6772">
          <cell r="A6772">
            <v>50870</v>
          </cell>
          <cell r="B6772" t="str">
            <v>CORPORATION</v>
          </cell>
          <cell r="C6772" t="str">
            <v>Imperio Parafusos Ltda</v>
          </cell>
          <cell r="D6772" t="str">
            <v>Imperio Parafusos</v>
          </cell>
          <cell r="E6772" t="str">
            <v>BR_CNPJ</v>
          </cell>
          <cell r="F6772" t="str">
            <v>24.766.753/0001-70</v>
          </cell>
        </row>
        <row r="6773">
          <cell r="A6773">
            <v>50872</v>
          </cell>
          <cell r="B6773" t="str">
            <v>CORPORATION</v>
          </cell>
          <cell r="C6773" t="str">
            <v>Pavao Comercio De Ferragens E Implementos Agricolas Ltda</v>
          </cell>
          <cell r="D6773" t="str">
            <v>Pavao Comercio De Ferragens E Implementos Agricola</v>
          </cell>
          <cell r="E6773" t="str">
            <v>BR_CNPJ</v>
          </cell>
          <cell r="F6773" t="str">
            <v>39.018.015/0001-12</v>
          </cell>
        </row>
        <row r="6774">
          <cell r="A6774">
            <v>50873</v>
          </cell>
          <cell r="B6774" t="str">
            <v>CORPORATION</v>
          </cell>
          <cell r="C6774" t="str">
            <v>54.349.715 Marcelly Paiva Medeiros</v>
          </cell>
          <cell r="D6774" t="str">
            <v>54.349.715 Marcelly Paiva Medeiros</v>
          </cell>
          <cell r="E6774" t="str">
            <v>BR_CNPJ</v>
          </cell>
          <cell r="F6774" t="str">
            <v>54.349.715/0001-83</v>
          </cell>
        </row>
        <row r="6775">
          <cell r="A6775">
            <v>50876</v>
          </cell>
          <cell r="B6775" t="str">
            <v>CORPORATION</v>
          </cell>
          <cell r="C6775" t="str">
            <v>Lima Ferragens E Ferramentas Ltda</v>
          </cell>
          <cell r="D6775" t="str">
            <v>Lima Ferragens E Ferramentas</v>
          </cell>
          <cell r="E6775" t="str">
            <v>BR_CNPJ</v>
          </cell>
          <cell r="F6775" t="str">
            <v>55.433.886/0001-59</v>
          </cell>
          <cell r="G6775" t="str">
            <v>MI FERRAGENS</v>
          </cell>
        </row>
        <row r="6776">
          <cell r="A6776">
            <v>50878</v>
          </cell>
          <cell r="B6776" t="str">
            <v>CORPORATION</v>
          </cell>
          <cell r="C6776" t="str">
            <v>Dicasa Ferragista Ltda</v>
          </cell>
          <cell r="D6776" t="str">
            <v>Dicasa Ferragista</v>
          </cell>
          <cell r="E6776" t="str">
            <v>BR_CNPJ</v>
          </cell>
          <cell r="F6776" t="str">
            <v>46.236.687/0001-60</v>
          </cell>
        </row>
        <row r="6777">
          <cell r="A6777">
            <v>50890</v>
          </cell>
          <cell r="B6777" t="str">
            <v>CORPORATION</v>
          </cell>
          <cell r="C6777" t="str">
            <v>Maq-Fix Comercio Ferragista Ltda</v>
          </cell>
          <cell r="D6777" t="str">
            <v>Maqfix</v>
          </cell>
          <cell r="E6777" t="str">
            <v>BR_CNPJ</v>
          </cell>
          <cell r="F6777" t="str">
            <v>47.437.476/0001-58</v>
          </cell>
        </row>
        <row r="6778">
          <cell r="A6778">
            <v>50894</v>
          </cell>
          <cell r="B6778" t="str">
            <v>CORPORATION</v>
          </cell>
          <cell r="C6778" t="str">
            <v>Norte Maquinas E Ferramentas Ltda</v>
          </cell>
          <cell r="D6778" t="str">
            <v>Norte Maquinas E Ferramentas Ltda</v>
          </cell>
          <cell r="E6778" t="str">
            <v>BR_CNPJ</v>
          </cell>
          <cell r="F6778" t="str">
            <v>33.362.460/0001-19</v>
          </cell>
        </row>
        <row r="6779">
          <cell r="A6779">
            <v>50895</v>
          </cell>
          <cell r="B6779" t="str">
            <v>CORPORATION</v>
          </cell>
          <cell r="C6779" t="str">
            <v>Atual Ferramentas Pecas E Motores Ltda</v>
          </cell>
          <cell r="D6779" t="str">
            <v>Atual Ferramentas, Pecas &amp; Motores</v>
          </cell>
          <cell r="E6779" t="str">
            <v>BR_CNPJ</v>
          </cell>
          <cell r="F6779" t="str">
            <v>49.939.571/0001-85</v>
          </cell>
        </row>
        <row r="6780">
          <cell r="A6780">
            <v>50931</v>
          </cell>
          <cell r="B6780" t="str">
            <v>CORPORATION</v>
          </cell>
          <cell r="C6780" t="str">
            <v>Graeus Comercio E Representacoes Ltda</v>
          </cell>
          <cell r="D6780" t="str">
            <v>Grade</v>
          </cell>
          <cell r="E6780" t="str">
            <v>BR_CNPJ</v>
          </cell>
          <cell r="F6780" t="str">
            <v>09.332.654/0001-97</v>
          </cell>
        </row>
        <row r="6781">
          <cell r="A6781">
            <v>50933</v>
          </cell>
          <cell r="B6781" t="str">
            <v>CORPORATION</v>
          </cell>
          <cell r="C6781" t="str">
            <v>Thiago Cearamicoli Vivaldini</v>
          </cell>
          <cell r="D6781" t="str">
            <v>Palix</v>
          </cell>
          <cell r="E6781" t="str">
            <v>BR_CNPJ</v>
          </cell>
          <cell r="F6781" t="str">
            <v>14.863.335/0001-48</v>
          </cell>
        </row>
        <row r="6782">
          <cell r="A6782">
            <v>50934</v>
          </cell>
          <cell r="B6782" t="str">
            <v>CORPORATION</v>
          </cell>
          <cell r="C6782" t="str">
            <v>J G Comercio E Servico De Maquinas E Equipamentos Ltda</v>
          </cell>
          <cell r="D6782" t="str">
            <v>Maqserra</v>
          </cell>
          <cell r="E6782" t="str">
            <v>BR_CNPJ</v>
          </cell>
          <cell r="F6782" t="str">
            <v>54.651.616/0001-51</v>
          </cell>
        </row>
        <row r="6783">
          <cell r="A6783">
            <v>50948</v>
          </cell>
          <cell r="B6783" t="str">
            <v>CORPORATION</v>
          </cell>
          <cell r="C6783" t="str">
            <v>A2g Comercial Ltda.</v>
          </cell>
          <cell r="D6783" t="str">
            <v>A2g Comercial Ltda.</v>
          </cell>
          <cell r="E6783" t="str">
            <v>BR_CNPJ</v>
          </cell>
          <cell r="F6783" t="str">
            <v>03.788.306/0001-42</v>
          </cell>
        </row>
        <row r="6784">
          <cell r="A6784">
            <v>50950</v>
          </cell>
          <cell r="B6784" t="str">
            <v>CORPORATION</v>
          </cell>
          <cell r="C6784" t="str">
            <v>Haustech Ltda</v>
          </cell>
          <cell r="D6784" t="str">
            <v>Haustech</v>
          </cell>
          <cell r="E6784" t="str">
            <v>BR_CNPJ</v>
          </cell>
          <cell r="F6784" t="str">
            <v>08.348.541/0001-17</v>
          </cell>
        </row>
        <row r="6785">
          <cell r="A6785">
            <v>50963</v>
          </cell>
          <cell r="B6785" t="str">
            <v>CORPORATION</v>
          </cell>
          <cell r="C6785" t="str">
            <v>53.383.637 Eduardo Carvalho Alves</v>
          </cell>
          <cell r="D6785" t="str">
            <v>53.383.637 Eduardo Carvalho Alves</v>
          </cell>
          <cell r="E6785" t="str">
            <v>BR_CNPJ</v>
          </cell>
          <cell r="F6785" t="str">
            <v>53.383.637/0001-70</v>
          </cell>
        </row>
        <row r="6786">
          <cell r="A6786">
            <v>50967</v>
          </cell>
          <cell r="B6786" t="str">
            <v>CORPORATION</v>
          </cell>
          <cell r="C6786" t="str">
            <v>Novaes Comercio E Representacao Ltda</v>
          </cell>
          <cell r="D6786" t="str">
            <v>Novaes Comercio E Representacao Ltda</v>
          </cell>
          <cell r="E6786" t="str">
            <v>BR_CNPJ</v>
          </cell>
          <cell r="F6786" t="str">
            <v>43.013.907/0001-06</v>
          </cell>
        </row>
        <row r="6787">
          <cell r="A6787">
            <v>50968</v>
          </cell>
          <cell r="B6787" t="str">
            <v>CORPORATION</v>
          </cell>
          <cell r="C6787" t="str">
            <v>Bonfim Parafusos E Ferragens Ltda</v>
          </cell>
          <cell r="D6787" t="str">
            <v>Casa Dos Parafusos Bonfim</v>
          </cell>
          <cell r="E6787" t="str">
            <v>BR_CNPJ</v>
          </cell>
          <cell r="F6787" t="str">
            <v>09.032.794/0001-40</v>
          </cell>
        </row>
        <row r="6788">
          <cell r="A6788">
            <v>50970</v>
          </cell>
          <cell r="B6788" t="str">
            <v>CORPORATION</v>
          </cell>
          <cell r="C6788" t="str">
            <v>Rdw Comercio De Ferro E Aco Ltda</v>
          </cell>
          <cell r="D6788" t="str">
            <v>Stampafer Boqueirao</v>
          </cell>
          <cell r="E6788" t="str">
            <v>BR_CNPJ</v>
          </cell>
          <cell r="F6788" t="str">
            <v>34.770.822/0001-73</v>
          </cell>
          <cell r="G6788" t="str">
            <v>STAMPAFER</v>
          </cell>
        </row>
        <row r="6789">
          <cell r="A6789">
            <v>50972</v>
          </cell>
          <cell r="B6789" t="str">
            <v>CORPORATION</v>
          </cell>
          <cell r="C6789" t="str">
            <v>Je Ferragista Ltda</v>
          </cell>
          <cell r="D6789" t="str">
            <v>Je Ferragista</v>
          </cell>
          <cell r="E6789" t="str">
            <v>BR_CNPJ</v>
          </cell>
          <cell r="F6789" t="str">
            <v>58.518.262/0001-22</v>
          </cell>
          <cell r="G6789" t="str">
            <v>INOVA METAI</v>
          </cell>
        </row>
        <row r="6790">
          <cell r="A6790">
            <v>50977</v>
          </cell>
          <cell r="B6790" t="str">
            <v>CORPORATION</v>
          </cell>
          <cell r="C6790" t="str">
            <v>Casa Das Cores Pvh Ltda</v>
          </cell>
          <cell r="D6790" t="str">
            <v>Casa Das Cores Pvh Ltda</v>
          </cell>
          <cell r="E6790" t="str">
            <v>BR_CNPJ</v>
          </cell>
          <cell r="F6790" t="str">
            <v>43.789.771/0001-12</v>
          </cell>
        </row>
        <row r="6791">
          <cell r="A6791">
            <v>50988</v>
          </cell>
          <cell r="B6791" t="str">
            <v>CORPORATION</v>
          </cell>
          <cell r="C6791" t="str">
            <v>Brweld Escola De Solda Ltda</v>
          </cell>
          <cell r="D6791" t="str">
            <v>Brweld Escola De Solda</v>
          </cell>
          <cell r="E6791" t="str">
            <v>BR_CNPJ</v>
          </cell>
          <cell r="F6791" t="str">
            <v>48.292.655/0001-07</v>
          </cell>
        </row>
        <row r="6792">
          <cell r="A6792">
            <v>51022</v>
          </cell>
          <cell r="B6792" t="str">
            <v>CORPORATION</v>
          </cell>
          <cell r="C6792" t="str">
            <v>Smd Comercio De Ferramentas E Materiais Em Gerais Ltda</v>
          </cell>
          <cell r="D6792" t="str">
            <v>Smd Solucoes Industriais</v>
          </cell>
          <cell r="E6792" t="str">
            <v>BR_CNPJ</v>
          </cell>
          <cell r="F6792" t="str">
            <v>45.201.499/0001-33</v>
          </cell>
        </row>
        <row r="6793">
          <cell r="A6793">
            <v>51047</v>
          </cell>
          <cell r="B6793" t="str">
            <v>CORPORATION</v>
          </cell>
          <cell r="C6793" t="str">
            <v>Palma Maquinas E Ferramentas Ltda</v>
          </cell>
          <cell r="D6793" t="str">
            <v>Palma Maquinas E Ferramentas Iii</v>
          </cell>
          <cell r="E6793" t="str">
            <v>BR_CNPJ</v>
          </cell>
          <cell r="F6793" t="str">
            <v>02.683.153/0003-78</v>
          </cell>
          <cell r="G6793" t="str">
            <v>PALMA PE</v>
          </cell>
        </row>
        <row r="6794">
          <cell r="A6794">
            <v>51049</v>
          </cell>
          <cell r="B6794" t="str">
            <v>CORPORATION</v>
          </cell>
          <cell r="C6794" t="str">
            <v>Leroy Merlin Companhia Brasileira De Bricolagem</v>
          </cell>
          <cell r="D6794" t="str">
            <v>0078 Loja Bauru</v>
          </cell>
          <cell r="E6794" t="str">
            <v>BR_CNPJ</v>
          </cell>
          <cell r="F6794" t="str">
            <v>01.438.784/0084-24</v>
          </cell>
          <cell r="G6794" t="str">
            <v>LEROY MERLIN</v>
          </cell>
        </row>
        <row r="6795">
          <cell r="A6795">
            <v>51051</v>
          </cell>
          <cell r="B6795" t="str">
            <v>CORPORATION</v>
          </cell>
          <cell r="C6795" t="str">
            <v>Hengel Comercio De Equipamentos Ltda.</v>
          </cell>
          <cell r="D6795" t="str">
            <v>Hengel Equipamentos</v>
          </cell>
          <cell r="E6795" t="str">
            <v>BR_CNPJ</v>
          </cell>
          <cell r="F6795" t="str">
            <v>96.649.157/0001-11</v>
          </cell>
        </row>
        <row r="6796">
          <cell r="A6796">
            <v>51053</v>
          </cell>
          <cell r="B6796" t="str">
            <v>CORPORATION</v>
          </cell>
          <cell r="C6796" t="str">
            <v>Yama Soldas Comercial Ltda</v>
          </cell>
          <cell r="D6796" t="str">
            <v>Yama Soldas 2</v>
          </cell>
          <cell r="E6796" t="str">
            <v>BR_CNPJ</v>
          </cell>
          <cell r="F6796" t="str">
            <v>34.854.162/0001-09</v>
          </cell>
          <cell r="G6796" t="str">
            <v>YAMA</v>
          </cell>
        </row>
        <row r="6797">
          <cell r="A6797">
            <v>51056</v>
          </cell>
          <cell r="B6797" t="str">
            <v>CORPORATION</v>
          </cell>
          <cell r="C6797" t="str">
            <v>G2m Comercio Ltda</v>
          </cell>
          <cell r="D6797" t="str">
            <v>Tuuls</v>
          </cell>
          <cell r="E6797" t="str">
            <v>BR_CNPJ</v>
          </cell>
          <cell r="F6797" t="str">
            <v>52.546.494/0001-08</v>
          </cell>
        </row>
        <row r="6798">
          <cell r="A6798">
            <v>51065</v>
          </cell>
          <cell r="B6798" t="str">
            <v>CORPORATION</v>
          </cell>
          <cell r="C6798" t="str">
            <v>Ricardo Cesar Gavlak</v>
          </cell>
          <cell r="D6798" t="str">
            <v>Chico Ferragens E Ferramentas</v>
          </cell>
          <cell r="E6798" t="str">
            <v>BR_CNPJ</v>
          </cell>
          <cell r="F6798" t="str">
            <v>59.194.938/0001-32</v>
          </cell>
          <cell r="G6798" t="str">
            <v>R3 SOLUCOES</v>
          </cell>
        </row>
        <row r="6799">
          <cell r="A6799">
            <v>51067</v>
          </cell>
          <cell r="B6799" t="str">
            <v>CORPORATION</v>
          </cell>
          <cell r="C6799" t="str">
            <v>Bap Comercio De Maquinas E Ferramentas Ltda</v>
          </cell>
          <cell r="D6799" t="str">
            <v>Bap Ferramentas</v>
          </cell>
          <cell r="E6799" t="str">
            <v>BR_CNPJ</v>
          </cell>
          <cell r="F6799" t="str">
            <v>21.466.001/0001-04</v>
          </cell>
        </row>
        <row r="6800">
          <cell r="A6800">
            <v>51089</v>
          </cell>
          <cell r="B6800" t="str">
            <v>CORPORATION</v>
          </cell>
          <cell r="C6800" t="str">
            <v>Tonello Equipamentos E Soldas Ltda</v>
          </cell>
          <cell r="D6800" t="str">
            <v>Tonello Equipamentos E Soldas Ltda</v>
          </cell>
          <cell r="E6800" t="str">
            <v>BR_CNPJ</v>
          </cell>
          <cell r="F6800" t="str">
            <v>05.597.644/0001-22</v>
          </cell>
        </row>
        <row r="6801">
          <cell r="A6801">
            <v>51128</v>
          </cell>
          <cell r="B6801" t="str">
            <v>CORPORATION</v>
          </cell>
          <cell r="C6801" t="str">
            <v>Parafer Comercial Ltda</v>
          </cell>
          <cell r="D6801" t="str">
            <v>Parafer</v>
          </cell>
          <cell r="E6801" t="str">
            <v>BR_CNPJ</v>
          </cell>
          <cell r="F6801" t="str">
            <v>25.288.914/0003-92</v>
          </cell>
        </row>
        <row r="6802">
          <cell r="A6802">
            <v>51133</v>
          </cell>
          <cell r="B6802" t="str">
            <v>CORPORATION</v>
          </cell>
          <cell r="C6802" t="str">
            <v>Jmf - Biondo Ltda</v>
          </cell>
          <cell r="D6802" t="str">
            <v>Agropecuria Biondo</v>
          </cell>
          <cell r="E6802" t="str">
            <v>BR_CNPJ</v>
          </cell>
          <cell r="F6802" t="str">
            <v>03.135.751/0001-03</v>
          </cell>
        </row>
        <row r="6803">
          <cell r="A6803">
            <v>51169</v>
          </cell>
          <cell r="B6803" t="str">
            <v>CORPORATION</v>
          </cell>
          <cell r="C6803" t="str">
            <v>Ferragista Conexao Trindade Ltda</v>
          </cell>
          <cell r="D6803" t="str">
            <v>Ferragista Conexao</v>
          </cell>
          <cell r="E6803" t="str">
            <v>BR_CNPJ</v>
          </cell>
          <cell r="F6803" t="str">
            <v>06.893.524/0001-35</v>
          </cell>
        </row>
        <row r="6804">
          <cell r="A6804">
            <v>51181</v>
          </cell>
          <cell r="B6804" t="str">
            <v>CORPORATION</v>
          </cell>
          <cell r="C6804" t="str">
            <v>Cv Maquinas E Produtos Agropecuarios Ltda</v>
          </cell>
          <cell r="D6804" t="str">
            <v>Cv Maquinas E Produtos Agropecuarios Ltda</v>
          </cell>
          <cell r="E6804" t="str">
            <v>BR_CNPJ</v>
          </cell>
          <cell r="F6804" t="str">
            <v>09.516.572/0001-00</v>
          </cell>
        </row>
        <row r="6805">
          <cell r="A6805">
            <v>51182</v>
          </cell>
          <cell r="B6805" t="str">
            <v>CORPORATION</v>
          </cell>
          <cell r="C6805" t="str">
            <v>Ferragista Rei Ltda</v>
          </cell>
          <cell r="D6805" t="str">
            <v>Casa De Parafusos - Ferragista Rei</v>
          </cell>
          <cell r="E6805" t="str">
            <v>BR_CNPJ</v>
          </cell>
          <cell r="F6805" t="str">
            <v>07.600.129/0001-80</v>
          </cell>
        </row>
        <row r="6806">
          <cell r="A6806">
            <v>51193</v>
          </cell>
          <cell r="B6806" t="str">
            <v>CORPORATION</v>
          </cell>
          <cell r="C6806" t="str">
            <v>Machado Distribuicao Comercio De Pecas Ltda</v>
          </cell>
          <cell r="D6806" t="str">
            <v>Mcd Distribuicao</v>
          </cell>
          <cell r="E6806" t="str">
            <v>BR_CNPJ</v>
          </cell>
          <cell r="F6806" t="str">
            <v>38.343.874/0001-14</v>
          </cell>
        </row>
        <row r="6807">
          <cell r="A6807">
            <v>51196</v>
          </cell>
          <cell r="B6807" t="str">
            <v>CORPORATION</v>
          </cell>
          <cell r="C6807" t="str">
            <v>Docolor Suprimentos De Comunicacao Visual Ltda</v>
          </cell>
          <cell r="D6807" t="str">
            <v>Do'Color Suprimentos De Comunicacao Visual</v>
          </cell>
          <cell r="E6807" t="str">
            <v>BR_CNPJ</v>
          </cell>
          <cell r="F6807" t="str">
            <v>58.364.510/0001-28</v>
          </cell>
        </row>
        <row r="6808">
          <cell r="A6808">
            <v>51199</v>
          </cell>
          <cell r="B6808" t="str">
            <v>CORPORATION</v>
          </cell>
          <cell r="C6808" t="str">
            <v>Sf Serafini Ltda</v>
          </cell>
          <cell r="D6808" t="str">
            <v>Garrincha Metalurgica</v>
          </cell>
          <cell r="E6808" t="str">
            <v>BR_CNPJ</v>
          </cell>
          <cell r="F6808" t="str">
            <v>45.659.988/0001-33</v>
          </cell>
        </row>
        <row r="6809">
          <cell r="A6809">
            <v>51201</v>
          </cell>
          <cell r="B6809" t="str">
            <v>CORPORATION</v>
          </cell>
          <cell r="C6809" t="str">
            <v>Giaro Equipamentos Comercio Importacao E Exportacao Ltda</v>
          </cell>
          <cell r="D6809" t="str">
            <v>Giaro Equipamentos Comercio Importacao E Exportacao Ltda</v>
          </cell>
          <cell r="E6809" t="str">
            <v>BR_CNPJ</v>
          </cell>
          <cell r="F6809" t="str">
            <v>21.650.199/0001-73</v>
          </cell>
        </row>
        <row r="6810">
          <cell r="A6810">
            <v>51206</v>
          </cell>
          <cell r="B6810" t="str">
            <v>CORPORATION</v>
          </cell>
          <cell r="C6810" t="str">
            <v>R J Franco Da Silva Ltda</v>
          </cell>
          <cell r="D6810" t="str">
            <v>Clara Eletros</v>
          </cell>
          <cell r="E6810" t="str">
            <v>BR_CNPJ</v>
          </cell>
          <cell r="F6810" t="str">
            <v>07.894.891/0004-69</v>
          </cell>
        </row>
        <row r="6811">
          <cell r="A6811">
            <v>51209</v>
          </cell>
          <cell r="B6811" t="str">
            <v>CORPORATION</v>
          </cell>
          <cell r="C6811" t="str">
            <v>Lider Parafusos Ltda</v>
          </cell>
          <cell r="D6811" t="str">
            <v>Lider Parafusos</v>
          </cell>
          <cell r="E6811" t="str">
            <v>BR_CNPJ</v>
          </cell>
          <cell r="F6811" t="str">
            <v>26.523.111/0001-76</v>
          </cell>
        </row>
        <row r="6812">
          <cell r="A6812">
            <v>51216</v>
          </cell>
          <cell r="B6812" t="str">
            <v>CORPORATION</v>
          </cell>
          <cell r="C6812" t="str">
            <v>Max Widia - Comercio De Ferramentas Ltda</v>
          </cell>
          <cell r="D6812" t="str">
            <v>Max Widia - Comercio De Ferramentas Ltda</v>
          </cell>
          <cell r="E6812" t="str">
            <v>BR_CNPJ</v>
          </cell>
          <cell r="F6812" t="str">
            <v>30.045.227/0001-14</v>
          </cell>
        </row>
        <row r="6813">
          <cell r="A6813">
            <v>51219</v>
          </cell>
          <cell r="B6813" t="str">
            <v>CORPORATION</v>
          </cell>
          <cell r="C6813" t="str">
            <v>Perola Comercio De Maquinas E Motores Ltda</v>
          </cell>
          <cell r="D6813" t="str">
            <v>Comam Maquinas E Motores</v>
          </cell>
          <cell r="E6813" t="str">
            <v>BR_CNPJ</v>
          </cell>
          <cell r="F6813" t="str">
            <v>24.701.811/0002-69</v>
          </cell>
        </row>
        <row r="6814">
          <cell r="A6814">
            <v>51222</v>
          </cell>
          <cell r="B6814" t="str">
            <v>CORPORATION</v>
          </cell>
          <cell r="C6814" t="str">
            <v>Fazotech Comercio De Maquinas-Ferramentas Eirelli - Me</v>
          </cell>
          <cell r="D6814" t="str">
            <v>Fazotech</v>
          </cell>
          <cell r="E6814" t="str">
            <v>BR_CNPJ</v>
          </cell>
          <cell r="F6814" t="str">
            <v>01.061.463/0001-26</v>
          </cell>
          <cell r="G6814" t="str">
            <v>FAZO</v>
          </cell>
        </row>
        <row r="6815">
          <cell r="A6815">
            <v>51274</v>
          </cell>
          <cell r="B6815" t="str">
            <v>CORPORATION</v>
          </cell>
          <cell r="C6815" t="str">
            <v>Ferro E Aco Contagem Ltda</v>
          </cell>
          <cell r="D6815" t="str">
            <v>Ferro E Aco Expressa</v>
          </cell>
          <cell r="E6815" t="str">
            <v>BR_CNPJ</v>
          </cell>
          <cell r="F6815" t="str">
            <v>54.090.124/0001-34</v>
          </cell>
          <cell r="G6815" t="str">
            <v>EXPRESSA</v>
          </cell>
        </row>
        <row r="6816">
          <cell r="A6816">
            <v>51356</v>
          </cell>
          <cell r="B6816" t="str">
            <v>CORPORATION</v>
          </cell>
          <cell r="C6816" t="str">
            <v>Rw Soluções Industriais Ltda</v>
          </cell>
          <cell r="D6816" t="str">
            <v>Rw Soluções Industriais Ltda</v>
          </cell>
          <cell r="E6816" t="str">
            <v>BR_CNPJ</v>
          </cell>
          <cell r="F6816" t="str">
            <v>44.133.357/0001-13</v>
          </cell>
        </row>
        <row r="6817">
          <cell r="A6817">
            <v>51364</v>
          </cell>
          <cell r="B6817" t="str">
            <v>CORPORATION</v>
          </cell>
          <cell r="C6817" t="str">
            <v>Cassio F. V. De Oliveira</v>
          </cell>
          <cell r="D6817" t="str">
            <v>Casfer Ferragens</v>
          </cell>
          <cell r="E6817" t="str">
            <v>BR_CNPJ</v>
          </cell>
          <cell r="F6817" t="str">
            <v>13.384.842/0001-36</v>
          </cell>
        </row>
        <row r="6818">
          <cell r="A6818">
            <v>51368</v>
          </cell>
          <cell r="B6818" t="str">
            <v>CORPORATION</v>
          </cell>
          <cell r="C6818" t="str">
            <v>Andre Pereira Da Silva Filho 43339947805</v>
          </cell>
          <cell r="D6818" t="str">
            <v>Potencia Welding</v>
          </cell>
          <cell r="E6818" t="str">
            <v>BR_CNPJ</v>
          </cell>
          <cell r="F6818" t="str">
            <v>40.249.821/0001-80</v>
          </cell>
          <cell r="G6818" t="str">
            <v>POTENCIA WELDING</v>
          </cell>
        </row>
        <row r="6819">
          <cell r="A6819">
            <v>51371</v>
          </cell>
          <cell r="B6819" t="str">
            <v>CORPORATION</v>
          </cell>
          <cell r="C6819" t="str">
            <v>D &amp; D Ferramentas E Maquinas Ltda</v>
          </cell>
          <cell r="D6819" t="str">
            <v>D &amp; D Ferramentas E Maquinas Ltda</v>
          </cell>
          <cell r="E6819" t="str">
            <v>BR_CNPJ</v>
          </cell>
          <cell r="F6819" t="str">
            <v>49.268.562/0001-00</v>
          </cell>
        </row>
        <row r="6820">
          <cell r="A6820">
            <v>51404</v>
          </cell>
          <cell r="B6820" t="str">
            <v>CORPORATION</v>
          </cell>
          <cell r="C6820" t="str">
            <v>Real Parafusos &amp; Ferramentas Ltda</v>
          </cell>
          <cell r="D6820" t="str">
            <v>Real Parafusos</v>
          </cell>
          <cell r="E6820" t="str">
            <v>BR_CNPJ</v>
          </cell>
          <cell r="F6820" t="str">
            <v>34.760.647/0001-33</v>
          </cell>
        </row>
        <row r="6821">
          <cell r="A6821">
            <v>51456</v>
          </cell>
          <cell r="B6821" t="str">
            <v>CORPORATION</v>
          </cell>
          <cell r="C6821" t="str">
            <v>J. O. Da S. Paixao Comercio Atacadista Ltda</v>
          </cell>
          <cell r="D6821" t="str">
            <v>Baratão Ferro E Aço</v>
          </cell>
          <cell r="E6821" t="str">
            <v>BR_CNPJ</v>
          </cell>
          <cell r="F6821" t="str">
            <v>54.593.334/0001-45</v>
          </cell>
          <cell r="G6821" t="str">
            <v xml:space="preserve">BARATÃO FERRO E AÇO </v>
          </cell>
        </row>
        <row r="6822">
          <cell r="A6822">
            <v>51482</v>
          </cell>
          <cell r="B6822" t="str">
            <v>CORPORATION</v>
          </cell>
          <cell r="C6822" t="str">
            <v>58.142.283 Ellen Nunes Silva</v>
          </cell>
          <cell r="D6822" t="str">
            <v>58.142.283 Ellen Nunes Silva</v>
          </cell>
          <cell r="E6822" t="str">
            <v>BR_CNPJ</v>
          </cell>
          <cell r="F6822" t="str">
            <v>58.142.283/0001-96</v>
          </cell>
        </row>
        <row r="6823">
          <cell r="A6823">
            <v>51483</v>
          </cell>
          <cell r="B6823" t="str">
            <v>CORPORATION</v>
          </cell>
          <cell r="C6823" t="str">
            <v>R A Ferramentas E Ferragens Ltda</v>
          </cell>
          <cell r="D6823" t="str">
            <v>Galpao Das Ferragens E Ferramentas</v>
          </cell>
          <cell r="E6823" t="str">
            <v>BR_CNPJ</v>
          </cell>
          <cell r="F6823" t="str">
            <v>56.334.630/0001-57</v>
          </cell>
        </row>
        <row r="6824">
          <cell r="A6824">
            <v>51538</v>
          </cell>
          <cell r="B6824" t="str">
            <v>CORPORATION</v>
          </cell>
          <cell r="C6824" t="str">
            <v>Plasticos Amazonas Ltda Me</v>
          </cell>
          <cell r="D6824" t="str">
            <v>Madefer</v>
          </cell>
          <cell r="E6824" t="str">
            <v>BR_CNPJ</v>
          </cell>
          <cell r="F6824" t="str">
            <v>09.552.378/0001-72</v>
          </cell>
        </row>
        <row r="6825">
          <cell r="A6825">
            <v>51539</v>
          </cell>
          <cell r="B6825" t="str">
            <v>CORPORATION</v>
          </cell>
          <cell r="C6825" t="str">
            <v>Tavares Gama Comercial Ltda. - Epp</v>
          </cell>
          <cell r="D6825" t="str">
            <v>Sanferro Construcao</v>
          </cell>
          <cell r="E6825" t="str">
            <v>BR_CNPJ</v>
          </cell>
          <cell r="F6825" t="str">
            <v>12.881.923/0001-89</v>
          </cell>
        </row>
        <row r="6826">
          <cell r="A6826">
            <v>51547</v>
          </cell>
          <cell r="B6826" t="str">
            <v>CORPORATION</v>
          </cell>
          <cell r="C6826" t="str">
            <v>R C Comercio E Servico Ltda</v>
          </cell>
          <cell r="D6826" t="str">
            <v>Grupo Supper Brisa</v>
          </cell>
          <cell r="E6826" t="str">
            <v>BR_CNPJ</v>
          </cell>
          <cell r="F6826" t="str">
            <v>38.164.617/0001-15</v>
          </cell>
        </row>
        <row r="6827">
          <cell r="A6827">
            <v>51561</v>
          </cell>
          <cell r="B6827" t="str">
            <v>CORPORATION</v>
          </cell>
          <cell r="C6827" t="str">
            <v>M M Ribeiro</v>
          </cell>
          <cell r="D6827" t="str">
            <v>Araguaia Materiais De Construcao</v>
          </cell>
          <cell r="E6827" t="str">
            <v>BR_CNPJ</v>
          </cell>
          <cell r="F6827" t="str">
            <v>20.731.306/0001-25</v>
          </cell>
        </row>
        <row r="6828">
          <cell r="A6828">
            <v>51563</v>
          </cell>
          <cell r="B6828" t="str">
            <v>CORPORATION</v>
          </cell>
          <cell r="C6828" t="str">
            <v>Torres Bertolini Comercio De Maquinas E Equipamentos Ltda</v>
          </cell>
          <cell r="E6828" t="str">
            <v>BR_CNPJ</v>
          </cell>
          <cell r="F6828" t="str">
            <v>28.274.022/0001-69</v>
          </cell>
        </row>
        <row r="6829">
          <cell r="A6829">
            <v>51564</v>
          </cell>
          <cell r="B6829" t="str">
            <v>CORPORATION</v>
          </cell>
          <cell r="C6829" t="str">
            <v>Centro Oeste Servicos De Locacao De Maquinas De Solda E Comercio De Equipamentos E Consumiveis Ltda</v>
          </cell>
          <cell r="D6829" t="str">
            <v>Servsolda</v>
          </cell>
          <cell r="E6829" t="str">
            <v>BR_CNPJ</v>
          </cell>
          <cell r="F6829" t="str">
            <v>54.804.458/0001-22</v>
          </cell>
          <cell r="G6829" t="str">
            <v>SERVWELD</v>
          </cell>
        </row>
        <row r="6830">
          <cell r="A6830">
            <v>51590</v>
          </cell>
          <cell r="B6830" t="str">
            <v>CORPORATION</v>
          </cell>
          <cell r="C6830" t="str">
            <v>Multifuso Comercial De Parafusos E Ferragens Ltda.</v>
          </cell>
          <cell r="D6830" t="str">
            <v>Multifuso</v>
          </cell>
          <cell r="E6830" t="str">
            <v>BR_CNPJ</v>
          </cell>
          <cell r="F6830" t="str">
            <v>54.322.570/0001-27</v>
          </cell>
        </row>
        <row r="6831">
          <cell r="A6831">
            <v>51594</v>
          </cell>
          <cell r="B6831" t="str">
            <v>CORPORATION</v>
          </cell>
          <cell r="C6831" t="str">
            <v>Alfa Ferramentas E Parafusos Ltda</v>
          </cell>
          <cell r="D6831" t="str">
            <v>Go Ferramentas</v>
          </cell>
          <cell r="E6831" t="str">
            <v>BR_CNPJ</v>
          </cell>
          <cell r="F6831" t="str">
            <v>59.163.556/0001-41</v>
          </cell>
        </row>
        <row r="6832">
          <cell r="A6832">
            <v>51607</v>
          </cell>
          <cell r="B6832" t="str">
            <v>CORPORATION</v>
          </cell>
          <cell r="C6832" t="str">
            <v>Varipar Comercio De Parafusos Ltda</v>
          </cell>
          <cell r="D6832" t="str">
            <v>Varipar</v>
          </cell>
          <cell r="E6832" t="str">
            <v>BR_CNPJ</v>
          </cell>
          <cell r="F6832" t="str">
            <v>74.355.447/0001-10</v>
          </cell>
        </row>
        <row r="6833">
          <cell r="A6833">
            <v>51608</v>
          </cell>
          <cell r="B6833" t="str">
            <v>CORPORATION</v>
          </cell>
          <cell r="C6833" t="str">
            <v>Mario Marcio Tome Paulo</v>
          </cell>
          <cell r="D6833" t="str">
            <v>Eletrica Polako</v>
          </cell>
          <cell r="E6833" t="str">
            <v>BR_CNPJ</v>
          </cell>
          <cell r="F6833" t="str">
            <v>13.091.943/0001-19</v>
          </cell>
        </row>
        <row r="6834">
          <cell r="A6834">
            <v>51648</v>
          </cell>
          <cell r="B6834" t="str">
            <v>CORPORATION</v>
          </cell>
          <cell r="C6834" t="str">
            <v>Hengel Comercial Ltda</v>
          </cell>
          <cell r="D6834" t="str">
            <v>Comercial Hengel</v>
          </cell>
          <cell r="E6834" t="str">
            <v>BR_CNPJ</v>
          </cell>
          <cell r="F6834" t="str">
            <v>54.812.268/0001-57</v>
          </cell>
        </row>
        <row r="6835">
          <cell r="A6835">
            <v>51673</v>
          </cell>
          <cell r="B6835" t="str">
            <v>CORPORATION</v>
          </cell>
          <cell r="C6835" t="str">
            <v>Aluminaco Ltda</v>
          </cell>
          <cell r="D6835" t="str">
            <v>Aluminaco</v>
          </cell>
          <cell r="E6835" t="str">
            <v>BR_CNPJ</v>
          </cell>
          <cell r="F6835" t="str">
            <v>04.849.863/0001-99</v>
          </cell>
        </row>
        <row r="6836">
          <cell r="A6836">
            <v>51675</v>
          </cell>
          <cell r="B6836" t="str">
            <v>CORPORATION</v>
          </cell>
          <cell r="C6836" t="str">
            <v>Mml Comercio E Manutencao De Maquinas Agricolas Ltda</v>
          </cell>
          <cell r="E6836" t="str">
            <v>BR_CNPJ</v>
          </cell>
          <cell r="F6836" t="str">
            <v>46.784.628/0001-26</v>
          </cell>
        </row>
        <row r="6837">
          <cell r="A6837">
            <v>51683</v>
          </cell>
          <cell r="B6837" t="str">
            <v>CORPORATION</v>
          </cell>
          <cell r="C6837" t="str">
            <v>Worldferro Comercio De Ferro E Aco Ltda</v>
          </cell>
          <cell r="D6837" t="str">
            <v>Wordferro</v>
          </cell>
          <cell r="E6837" t="str">
            <v>BR_CNPJ</v>
          </cell>
          <cell r="F6837" t="str">
            <v>05.343.117/0001-91</v>
          </cell>
        </row>
        <row r="6838">
          <cell r="A6838">
            <v>51684</v>
          </cell>
          <cell r="B6838" t="str">
            <v>CORPORATION</v>
          </cell>
          <cell r="C6838" t="str">
            <v>S. Krauze Industria E Comercio De Esquadrias Ltda</v>
          </cell>
          <cell r="D6838" t="str">
            <v>S. Krauze Esquadrias</v>
          </cell>
          <cell r="E6838" t="str">
            <v>BR_CNPJ</v>
          </cell>
          <cell r="F6838" t="str">
            <v>11.739.045/0001-07</v>
          </cell>
        </row>
        <row r="6839">
          <cell r="A6839">
            <v>51698</v>
          </cell>
          <cell r="B6839" t="str">
            <v>CORPORATION</v>
          </cell>
          <cell r="C6839" t="str">
            <v>Comercial Zanotti Ltda</v>
          </cell>
          <cell r="E6839" t="str">
            <v>BR_CNPJ</v>
          </cell>
          <cell r="F6839" t="str">
            <v>57.202.046/0001-00</v>
          </cell>
        </row>
        <row r="6840">
          <cell r="A6840">
            <v>51716</v>
          </cell>
          <cell r="B6840" t="str">
            <v>CORPORATION</v>
          </cell>
          <cell r="C6840" t="str">
            <v>Nort Calhas E Telhas Industria E Comercio Ltda</v>
          </cell>
          <cell r="D6840" t="str">
            <v>Nort Calhas</v>
          </cell>
          <cell r="E6840" t="str">
            <v>BR_CNPJ</v>
          </cell>
          <cell r="F6840" t="str">
            <v>06.995.889/0001-70</v>
          </cell>
        </row>
        <row r="6841">
          <cell r="A6841">
            <v>51762</v>
          </cell>
          <cell r="B6841" t="str">
            <v>CORPORATION</v>
          </cell>
          <cell r="C6841" t="str">
            <v>Reimac Redencao Implementos E Maquinas Agricolas Ltda</v>
          </cell>
          <cell r="D6841" t="str">
            <v>Reimac Casa E Campo</v>
          </cell>
          <cell r="E6841" t="str">
            <v>BR_CNPJ</v>
          </cell>
          <cell r="F6841" t="str">
            <v>04.741.161/0001-97</v>
          </cell>
          <cell r="G6841" t="str">
            <v>REIMAC</v>
          </cell>
        </row>
        <row r="6842">
          <cell r="A6842">
            <v>51764</v>
          </cell>
          <cell r="B6842" t="str">
            <v>CORPORATION</v>
          </cell>
          <cell r="C6842" t="str">
            <v>Cooperativa Dos Plantadores De Cana Do Estado Sao Paulo</v>
          </cell>
          <cell r="D6842" t="str">
            <v>Coplacana (Sao Jose Do Rio Preto)</v>
          </cell>
          <cell r="E6842" t="str">
            <v>BR_CNPJ</v>
          </cell>
          <cell r="F6842" t="str">
            <v>54.366.547/0035-83</v>
          </cell>
          <cell r="G6842" t="str">
            <v>COPLACANA</v>
          </cell>
        </row>
        <row r="6843">
          <cell r="A6843">
            <v>51772</v>
          </cell>
          <cell r="B6843" t="str">
            <v>CORPORATION</v>
          </cell>
          <cell r="C6843" t="str">
            <v>Soares E Moraes Empreendimentos Ltda</v>
          </cell>
          <cell r="E6843" t="str">
            <v>BR_CNPJ</v>
          </cell>
          <cell r="F6843" t="str">
            <v>57.582.784/0001-20</v>
          </cell>
        </row>
        <row r="6844">
          <cell r="A6844">
            <v>51774</v>
          </cell>
          <cell r="B6844" t="str">
            <v>CORPORATION</v>
          </cell>
          <cell r="C6844" t="str">
            <v>2az Builder Soluctions Ltda</v>
          </cell>
          <cell r="D6844" t="str">
            <v>2az</v>
          </cell>
          <cell r="E6844" t="str">
            <v>BR_CNPJ</v>
          </cell>
          <cell r="F6844" t="str">
            <v>50.805.383/0001-43</v>
          </cell>
        </row>
        <row r="6845">
          <cell r="A6845">
            <v>51775</v>
          </cell>
          <cell r="B6845" t="str">
            <v>CORPORATION</v>
          </cell>
          <cell r="C6845" t="str">
            <v>Ferramentas Pinheiros Comercial Ltda</v>
          </cell>
          <cell r="D6845" t="str">
            <v>Ferramentas Pinheiros</v>
          </cell>
          <cell r="E6845" t="str">
            <v>BR_CNPJ</v>
          </cell>
          <cell r="F6845" t="str">
            <v>19.969.335/0001-40</v>
          </cell>
        </row>
        <row r="6846">
          <cell r="A6846">
            <v>51790</v>
          </cell>
          <cell r="B6846" t="str">
            <v>CORPORATION</v>
          </cell>
          <cell r="C6846" t="str">
            <v>Roparts Comercio De Pecas E Acessorios Ltda</v>
          </cell>
          <cell r="D6846" t="str">
            <v>Roparts Comercio De Pecas E Acessorios</v>
          </cell>
          <cell r="E6846" t="str">
            <v>BR_CNPJ</v>
          </cell>
          <cell r="F6846" t="str">
            <v>55.484.582/0001-10</v>
          </cell>
        </row>
        <row r="6847">
          <cell r="A6847">
            <v>51825</v>
          </cell>
          <cell r="B6847" t="str">
            <v>CORPORATION</v>
          </cell>
          <cell r="C6847" t="str">
            <v>Vp Ferramentas E Jardinagem Ltda</v>
          </cell>
          <cell r="D6847" t="str">
            <v>Vp Ferramentas</v>
          </cell>
          <cell r="E6847" t="str">
            <v>BR_CNPJ</v>
          </cell>
          <cell r="F6847" t="str">
            <v>08.690.025/0001-76</v>
          </cell>
        </row>
        <row r="6848">
          <cell r="A6848">
            <v>51869</v>
          </cell>
          <cell r="B6848" t="str">
            <v>CORPORATION</v>
          </cell>
          <cell r="C6848" t="str">
            <v>Casa Dos Parafusos Ltda</v>
          </cell>
          <cell r="D6848" t="str">
            <v>Casa Dos Parafusos</v>
          </cell>
          <cell r="E6848" t="str">
            <v>BR_CNPJ</v>
          </cell>
          <cell r="F6848" t="str">
            <v>39.824.050/0001-29</v>
          </cell>
        </row>
        <row r="6849">
          <cell r="A6849">
            <v>51870</v>
          </cell>
          <cell r="B6849" t="str">
            <v>CORPORATION</v>
          </cell>
          <cell r="C6849" t="str">
            <v>Materiais De Construcao Struzik Ltda</v>
          </cell>
          <cell r="E6849" t="str">
            <v>BR_CNPJ</v>
          </cell>
          <cell r="F6849" t="str">
            <v>82.615.972/0001-55</v>
          </cell>
        </row>
        <row r="6850">
          <cell r="A6850">
            <v>51881</v>
          </cell>
          <cell r="B6850" t="str">
            <v>CORPORATION</v>
          </cell>
          <cell r="C6850" t="str">
            <v>Maneco Ferragens E Ferramentas Ltda</v>
          </cell>
          <cell r="D6850" t="str">
            <v>Maneco Ferragens E Ferramentas</v>
          </cell>
          <cell r="E6850" t="str">
            <v>BR_CNPJ</v>
          </cell>
          <cell r="F6850" t="str">
            <v>53.062.109/0001-10</v>
          </cell>
        </row>
        <row r="6851">
          <cell r="A6851">
            <v>51894</v>
          </cell>
          <cell r="B6851" t="str">
            <v>CORPORATION</v>
          </cell>
          <cell r="C6851" t="str">
            <v>Gabriel Martins Verissimo Dos Santos</v>
          </cell>
          <cell r="D6851" t="str">
            <v>Dos Santos Pecas E Servicos</v>
          </cell>
          <cell r="E6851" t="str">
            <v>BR_CNPJ</v>
          </cell>
          <cell r="F6851" t="str">
            <v>31.301.243/0001-93</v>
          </cell>
        </row>
        <row r="6852">
          <cell r="A6852">
            <v>51905</v>
          </cell>
          <cell r="B6852" t="str">
            <v>CORPORATION</v>
          </cell>
          <cell r="C6852" t="str">
            <v>Nexus Importacao E Comercio Ltda</v>
          </cell>
          <cell r="D6852" t="str">
            <v>Nexus</v>
          </cell>
          <cell r="E6852" t="str">
            <v>BR_CNPJ</v>
          </cell>
          <cell r="F6852" t="str">
            <v>58.074.213/0001-48</v>
          </cell>
          <cell r="G6852" t="str">
            <v>HIDROLUZ</v>
          </cell>
        </row>
        <row r="6853">
          <cell r="A6853">
            <v>51906</v>
          </cell>
          <cell r="B6853" t="str">
            <v>CORPORATION</v>
          </cell>
          <cell r="C6853" t="str">
            <v>Clayton Joseph Modesto</v>
          </cell>
          <cell r="D6853" t="str">
            <v>Mundo Das Cores</v>
          </cell>
          <cell r="E6853" t="str">
            <v>BR_CNPJ</v>
          </cell>
          <cell r="F6853" t="str">
            <v>11.317.800/0001-57</v>
          </cell>
        </row>
        <row r="6854">
          <cell r="A6854">
            <v>51907</v>
          </cell>
          <cell r="B6854" t="str">
            <v>CORPORATION</v>
          </cell>
          <cell r="C6854" t="str">
            <v>Reimac Redencao Implementos E Maquinas Agricolas Ltda</v>
          </cell>
          <cell r="D6854" t="str">
            <v>Reimac Ii</v>
          </cell>
          <cell r="E6854" t="str">
            <v>BR_CNPJ</v>
          </cell>
          <cell r="F6854" t="str">
            <v>04.741.161/0004-30</v>
          </cell>
          <cell r="G6854" t="str">
            <v>REIMAC</v>
          </cell>
        </row>
        <row r="6855">
          <cell r="A6855">
            <v>51908</v>
          </cell>
          <cell r="B6855" t="str">
            <v>CORPORATION</v>
          </cell>
          <cell r="C6855" t="str">
            <v>Thais Vanessa Kussano Salvadori</v>
          </cell>
          <cell r="D6855" t="str">
            <v>Fiel</v>
          </cell>
          <cell r="E6855" t="str">
            <v>BR_CNPJ</v>
          </cell>
          <cell r="F6855" t="str">
            <v>11.459.636/0001-12</v>
          </cell>
        </row>
        <row r="6856">
          <cell r="A6856">
            <v>51909</v>
          </cell>
          <cell r="B6856" t="str">
            <v>CORPORATION</v>
          </cell>
          <cell r="C6856" t="str">
            <v>Comercio De Ferramentas E Ferragens Versatil Ltda</v>
          </cell>
          <cell r="D6856" t="str">
            <v>Comercio De Ferramentas E Ferragens Versatil</v>
          </cell>
          <cell r="E6856" t="str">
            <v>BR_CNPJ</v>
          </cell>
          <cell r="F6856" t="str">
            <v>43.160.166/0001-88</v>
          </cell>
        </row>
        <row r="6857">
          <cell r="A6857">
            <v>51945</v>
          </cell>
          <cell r="B6857" t="str">
            <v>CORPORATION</v>
          </cell>
          <cell r="C6857" t="str">
            <v>Gm Agro Ltda</v>
          </cell>
          <cell r="D6857" t="str">
            <v>Gm Agro</v>
          </cell>
          <cell r="E6857" t="str">
            <v>BR_CNPJ</v>
          </cell>
          <cell r="F6857" t="str">
            <v>37.937.781/0001-55</v>
          </cell>
        </row>
        <row r="6858">
          <cell r="A6858">
            <v>51948</v>
          </cell>
          <cell r="B6858" t="str">
            <v>CORPORATION</v>
          </cell>
          <cell r="C6858" t="str">
            <v>57.263.131 Samara Janice De Abreu</v>
          </cell>
          <cell r="E6858" t="str">
            <v>BR_CNPJ</v>
          </cell>
          <cell r="F6858" t="str">
            <v>57.263.131/0001-89</v>
          </cell>
        </row>
        <row r="6859">
          <cell r="A6859">
            <v>51949</v>
          </cell>
          <cell r="B6859" t="str">
            <v>CORPORATION</v>
          </cell>
          <cell r="C6859" t="str">
            <v>F2 Comercio De Artigos Esportivos E Acessorios Ltda</v>
          </cell>
          <cell r="D6859" t="str">
            <v>Eracks</v>
          </cell>
          <cell r="E6859" t="str">
            <v>BR_CNPJ</v>
          </cell>
          <cell r="F6859" t="str">
            <v>39.544.860/0001-21</v>
          </cell>
        </row>
        <row r="6860">
          <cell r="A6860">
            <v>51951</v>
          </cell>
          <cell r="B6860" t="str">
            <v>CORPORATION</v>
          </cell>
          <cell r="C6860" t="str">
            <v>Vauliziane Aparecida Brand Leandro</v>
          </cell>
          <cell r="D6860" t="str">
            <v>Gj Ferragens</v>
          </cell>
          <cell r="E6860" t="str">
            <v>BR_CNPJ</v>
          </cell>
          <cell r="F6860" t="str">
            <v>21.147.583/0001-58</v>
          </cell>
        </row>
        <row r="6861">
          <cell r="A6861">
            <v>51963</v>
          </cell>
          <cell r="B6861" t="str">
            <v>CORPORATION</v>
          </cell>
          <cell r="C6861" t="str">
            <v>49.451.802 Gabriel Barbosa Da Silva</v>
          </cell>
          <cell r="E6861" t="str">
            <v>BR_CNPJ</v>
          </cell>
          <cell r="F6861" t="str">
            <v>49.451.802/0001-07</v>
          </cell>
        </row>
        <row r="6862">
          <cell r="A6862">
            <v>51975</v>
          </cell>
          <cell r="B6862" t="str">
            <v>CORPORATION</v>
          </cell>
          <cell r="C6862" t="str">
            <v>Antonio Carlos Augustinho De Melo 21716231876</v>
          </cell>
          <cell r="E6862" t="str">
            <v>BR_CNPJ</v>
          </cell>
          <cell r="F6862" t="str">
            <v>47.762.106/0001-96</v>
          </cell>
        </row>
        <row r="6863">
          <cell r="A6863">
            <v>51978</v>
          </cell>
          <cell r="B6863" t="str">
            <v>CORPORATION</v>
          </cell>
          <cell r="C6863" t="str">
            <v>Dk Gold Produtos Para Mineracao Ltda</v>
          </cell>
          <cell r="D6863" t="str">
            <v>Dk Gold</v>
          </cell>
          <cell r="E6863" t="str">
            <v>BR_CNPJ</v>
          </cell>
          <cell r="F6863" t="str">
            <v>43.122.461/0001-40</v>
          </cell>
        </row>
        <row r="6864">
          <cell r="A6864">
            <v>51982</v>
          </cell>
          <cell r="B6864" t="str">
            <v>CORPORATION</v>
          </cell>
          <cell r="C6864" t="str">
            <v>Materiais De Construcao Buachack Ltda</v>
          </cell>
          <cell r="E6864" t="str">
            <v>BR_CNPJ</v>
          </cell>
          <cell r="F6864" t="str">
            <v>82.273.939/0001-94</v>
          </cell>
        </row>
        <row r="6865">
          <cell r="A6865">
            <v>51983</v>
          </cell>
          <cell r="B6865" t="str">
            <v>CORPORATION</v>
          </cell>
          <cell r="C6865" t="str">
            <v>Df Eletrotecnica Comercio Manutencao E Locacao De Equipamentos Eletricos Ltda</v>
          </cell>
          <cell r="D6865" t="str">
            <v>Df Eletroeletronica</v>
          </cell>
          <cell r="E6865" t="str">
            <v>BR_CNPJ</v>
          </cell>
          <cell r="F6865" t="str">
            <v>31.170.338/0001-15</v>
          </cell>
        </row>
        <row r="6866">
          <cell r="A6866">
            <v>52024</v>
          </cell>
          <cell r="B6866" t="str">
            <v>CORPORATION</v>
          </cell>
          <cell r="C6866" t="str">
            <v>Roberto Wagner Cavalcanti De Siqueira Junior Ltda</v>
          </cell>
          <cell r="D6866" t="str">
            <v>Palma Maquinas E Ferramentas Ii</v>
          </cell>
          <cell r="E6866" t="str">
            <v>BR_CNPJ</v>
          </cell>
          <cell r="F6866" t="str">
            <v>39.986.148/0001-82</v>
          </cell>
          <cell r="G6866" t="str">
            <v>PALMA PE</v>
          </cell>
        </row>
        <row r="6867">
          <cell r="A6867">
            <v>52030</v>
          </cell>
          <cell r="B6867" t="str">
            <v>CORPORATION</v>
          </cell>
          <cell r="C6867" t="str">
            <v>Parafusos Siam Ltda</v>
          </cell>
          <cell r="E6867" t="str">
            <v>BR_CNPJ</v>
          </cell>
          <cell r="F6867" t="str">
            <v>68.620.541/0001-56</v>
          </cell>
        </row>
        <row r="6868">
          <cell r="A6868">
            <v>52032</v>
          </cell>
          <cell r="B6868" t="str">
            <v>CORPORATION</v>
          </cell>
          <cell r="C6868" t="str">
            <v>Stockpar Comercio De Parafusos E Pecas Ltda</v>
          </cell>
          <cell r="E6868" t="str">
            <v>BR_CNPJ</v>
          </cell>
          <cell r="F6868" t="str">
            <v>14.516.618/0001-13</v>
          </cell>
        </row>
        <row r="6869">
          <cell r="A6869">
            <v>52035</v>
          </cell>
          <cell r="B6869" t="str">
            <v>CORPORATION</v>
          </cell>
          <cell r="C6869" t="str">
            <v>Mais Epi E Comercio De Maquinas-Ferramentas Ltda.</v>
          </cell>
          <cell r="E6869" t="str">
            <v>BR_CNPJ</v>
          </cell>
          <cell r="F6869" t="str">
            <v>03.023.889/0001-10</v>
          </cell>
        </row>
        <row r="6870">
          <cell r="A6870">
            <v>52036</v>
          </cell>
          <cell r="B6870" t="str">
            <v>CORPORATION</v>
          </cell>
          <cell r="C6870" t="str">
            <v>Palma Maquinas E Ferramentas Ltda</v>
          </cell>
          <cell r="D6870" t="str">
            <v>Palma Maquinas E Ferramentas Vi</v>
          </cell>
          <cell r="E6870" t="str">
            <v>BR_CNPJ</v>
          </cell>
          <cell r="F6870" t="str">
            <v>02.683.153/0002-97</v>
          </cell>
          <cell r="G6870" t="str">
            <v>PALMA PE</v>
          </cell>
        </row>
        <row r="6871">
          <cell r="A6871">
            <v>52063</v>
          </cell>
          <cell r="B6871" t="str">
            <v>CORPORATION</v>
          </cell>
          <cell r="C6871" t="str">
            <v>Lm Chapas E Bobinas De Aco Ltda</v>
          </cell>
          <cell r="D6871" t="str">
            <v>Lm Chapas E Bobinas De Aco Ltda</v>
          </cell>
          <cell r="E6871" t="str">
            <v>BR_CNPJ</v>
          </cell>
          <cell r="F6871" t="str">
            <v>18.287.478/0001-00</v>
          </cell>
        </row>
        <row r="6872">
          <cell r="A6872">
            <v>52067</v>
          </cell>
          <cell r="B6872" t="str">
            <v>CORPORATION</v>
          </cell>
          <cell r="C6872" t="str">
            <v>60.402.866 Ltda</v>
          </cell>
          <cell r="D6872" t="str">
            <v>Cofepar Web</v>
          </cell>
          <cell r="E6872" t="str">
            <v>BR_CNPJ</v>
          </cell>
          <cell r="F6872" t="str">
            <v>60.402.866/0001-50</v>
          </cell>
          <cell r="G6872" t="str">
            <v>COFEPAR</v>
          </cell>
        </row>
        <row r="6873">
          <cell r="A6873">
            <v>52071</v>
          </cell>
          <cell r="B6873" t="str">
            <v>CORPORATION</v>
          </cell>
          <cell r="C6873" t="str">
            <v>Az Comercio E Distribuicao Ltda</v>
          </cell>
          <cell r="D6873" t="str">
            <v>Agrosensores</v>
          </cell>
          <cell r="E6873" t="str">
            <v>BR_CNPJ</v>
          </cell>
          <cell r="F6873" t="str">
            <v>07.093.835/0001-82</v>
          </cell>
          <cell r="G6873" t="str">
            <v>ERACKS</v>
          </cell>
        </row>
        <row r="6874">
          <cell r="A6874">
            <v>52091</v>
          </cell>
          <cell r="B6874" t="str">
            <v>CORPORATION</v>
          </cell>
          <cell r="C6874" t="str">
            <v>Agroazzi Comercial Ltda</v>
          </cell>
          <cell r="D6874" t="str">
            <v>Agroazzi Comercial</v>
          </cell>
          <cell r="E6874" t="str">
            <v>BR_CNPJ</v>
          </cell>
          <cell r="F6874" t="str">
            <v>56.002.877/0001-76</v>
          </cell>
        </row>
        <row r="6875">
          <cell r="A6875">
            <v>52109</v>
          </cell>
          <cell r="B6875" t="str">
            <v>CORPORATION</v>
          </cell>
          <cell r="C6875" t="str">
            <v>Direct Comercio E Automacao Ltda</v>
          </cell>
          <cell r="D6875" t="str">
            <v>Direct Grupo</v>
          </cell>
          <cell r="E6875" t="str">
            <v>BR_CNPJ</v>
          </cell>
          <cell r="F6875" t="str">
            <v>18.376.050/0001-33</v>
          </cell>
        </row>
        <row r="6876">
          <cell r="A6876">
            <v>52215</v>
          </cell>
          <cell r="B6876" t="str">
            <v>CORPORATION</v>
          </cell>
          <cell r="C6876" t="str">
            <v>Speed Stock Tintas E Ferragens Ltda.</v>
          </cell>
          <cell r="D6876" t="str">
            <v>Speed Stock</v>
          </cell>
          <cell r="E6876" t="str">
            <v>BR_CNPJ</v>
          </cell>
          <cell r="F6876" t="str">
            <v>18.720.260/0001-05</v>
          </cell>
        </row>
        <row r="6877">
          <cell r="A6877">
            <v>52216</v>
          </cell>
          <cell r="B6877" t="str">
            <v>CORPORATION</v>
          </cell>
          <cell r="C6877" t="str">
            <v>57.502.979 Andressa Ferreira Teixeira Oliveira</v>
          </cell>
          <cell r="E6877" t="str">
            <v>BR_CNPJ</v>
          </cell>
          <cell r="F6877" t="str">
            <v>57.502.979/0001-13</v>
          </cell>
        </row>
        <row r="6878">
          <cell r="A6878">
            <v>52220</v>
          </cell>
          <cell r="B6878" t="str">
            <v>CORPORATION</v>
          </cell>
          <cell r="C6878" t="str">
            <v>Dg Comercio De Maquinas E Ferramentas Ltda</v>
          </cell>
          <cell r="E6878" t="str">
            <v>BR_CNPJ</v>
          </cell>
          <cell r="F6878" t="str">
            <v>57.157.586/0001-10</v>
          </cell>
        </row>
        <row r="6879">
          <cell r="A6879">
            <v>52269</v>
          </cell>
          <cell r="B6879" t="str">
            <v>CORPORATION</v>
          </cell>
          <cell r="C6879" t="str">
            <v>Bortolini Acos Ltda</v>
          </cell>
          <cell r="E6879" t="str">
            <v>BR_CNPJ</v>
          </cell>
          <cell r="F6879" t="str">
            <v>10.940.747/0003-45</v>
          </cell>
          <cell r="G6879" t="str">
            <v>CNPH</v>
          </cell>
        </row>
        <row r="6880">
          <cell r="A6880">
            <v>52275</v>
          </cell>
          <cell r="B6880" t="str">
            <v>CORPORATION</v>
          </cell>
          <cell r="C6880" t="str">
            <v>Belem Inox Tec. Comercio E Servicos Ltda</v>
          </cell>
          <cell r="D6880" t="str">
            <v>Belem Inox Tec.</v>
          </cell>
          <cell r="E6880" t="str">
            <v>BR_CNPJ</v>
          </cell>
          <cell r="F6880" t="str">
            <v>52.511.066/0001-40</v>
          </cell>
        </row>
        <row r="6881">
          <cell r="A6881">
            <v>52281</v>
          </cell>
          <cell r="B6881" t="str">
            <v>CORPORATION</v>
          </cell>
          <cell r="C6881" t="str">
            <v>J. C. Paz Comercio E Assistencia De Maquinas Ltda</v>
          </cell>
          <cell r="E6881" t="str">
            <v>BR_CNPJ</v>
          </cell>
          <cell r="F6881" t="str">
            <v>59.976.318/0001-55</v>
          </cell>
        </row>
        <row r="6882">
          <cell r="A6882">
            <v>52282</v>
          </cell>
          <cell r="B6882" t="str">
            <v>CORPORATION</v>
          </cell>
          <cell r="C6882" t="str">
            <v>A.J.A. Comercio De Ferramentas Ltda</v>
          </cell>
          <cell r="D6882" t="str">
            <v>Central Ferramentas</v>
          </cell>
          <cell r="E6882" t="str">
            <v>BR_CNPJ</v>
          </cell>
          <cell r="F6882" t="str">
            <v>13.327.892/0001-81</v>
          </cell>
        </row>
        <row r="6883">
          <cell r="A6883">
            <v>52293</v>
          </cell>
          <cell r="B6883" t="str">
            <v>CORPORATION</v>
          </cell>
          <cell r="C6883" t="str">
            <v>Vf Ferragens Ltda</v>
          </cell>
          <cell r="E6883" t="str">
            <v>BR_CNPJ</v>
          </cell>
          <cell r="F6883" t="str">
            <v>60.548.596/0001-90</v>
          </cell>
        </row>
        <row r="6884">
          <cell r="A6884">
            <v>52294</v>
          </cell>
          <cell r="B6884" t="str">
            <v>CORPORATION</v>
          </cell>
          <cell r="C6884" t="str">
            <v>Jdf Tecnologia Em Centrifugas Ltda</v>
          </cell>
          <cell r="E6884" t="str">
            <v>BR_CNPJ</v>
          </cell>
          <cell r="F6884" t="str">
            <v>56.495.740/0001-09</v>
          </cell>
        </row>
        <row r="6885">
          <cell r="A6885">
            <v>52298</v>
          </cell>
          <cell r="B6885" t="str">
            <v>CORPORATION</v>
          </cell>
          <cell r="C6885" t="str">
            <v>J R Comercio E Representacoes Ltda</v>
          </cell>
          <cell r="D6885" t="str">
            <v>Shopping Do Mecanico</v>
          </cell>
          <cell r="E6885" t="str">
            <v>BR_CNPJ</v>
          </cell>
          <cell r="F6885" t="str">
            <v>27.486.027/0001-92</v>
          </cell>
        </row>
        <row r="6886">
          <cell r="A6886">
            <v>52299</v>
          </cell>
          <cell r="B6886" t="str">
            <v>CORPORATION</v>
          </cell>
          <cell r="C6886" t="str">
            <v>Zame Solda, Corte E Epis Ltda</v>
          </cell>
          <cell r="D6886" t="str">
            <v>Zame Solda, Corte E Epis</v>
          </cell>
          <cell r="E6886" t="str">
            <v>BR_CNPJ</v>
          </cell>
          <cell r="F6886" t="str">
            <v>55.915.349/0001-45</v>
          </cell>
          <cell r="G6886" t="str">
            <v>ZANIN</v>
          </cell>
        </row>
        <row r="6887">
          <cell r="A6887">
            <v>52301</v>
          </cell>
          <cell r="B6887" t="str">
            <v>CORPORATION</v>
          </cell>
          <cell r="C6887" t="str">
            <v>Paratudo Distribuidora Ltda</v>
          </cell>
          <cell r="E6887" t="str">
            <v>BR_CNPJ</v>
          </cell>
          <cell r="F6887" t="str">
            <v>20.873.544/0001-75</v>
          </cell>
        </row>
        <row r="6888">
          <cell r="A6888">
            <v>52310</v>
          </cell>
          <cell r="B6888" t="str">
            <v>CORPORATION</v>
          </cell>
          <cell r="C6888" t="str">
            <v>Tijomad Comercio De Materiais Para Construcao Ltda</v>
          </cell>
          <cell r="D6888" t="str">
            <v>Construmad</v>
          </cell>
          <cell r="E6888" t="str">
            <v>BR_CNPJ</v>
          </cell>
          <cell r="F6888" t="str">
            <v>26.304.077/0001-49</v>
          </cell>
        </row>
        <row r="6889">
          <cell r="A6889">
            <v>52311</v>
          </cell>
          <cell r="B6889" t="str">
            <v>CORPORATION</v>
          </cell>
          <cell r="C6889" t="str">
            <v>Oxisoldas Equipamentos Limitada</v>
          </cell>
          <cell r="D6889" t="str">
            <v>Oxisoldas</v>
          </cell>
          <cell r="E6889" t="str">
            <v>BR_CNPJ</v>
          </cell>
          <cell r="F6889" t="str">
            <v>53.584.314/0001-45</v>
          </cell>
        </row>
        <row r="6890">
          <cell r="A6890">
            <v>52314</v>
          </cell>
          <cell r="B6890" t="str">
            <v>CORPORATION</v>
          </cell>
          <cell r="C6890" t="str">
            <v>M J Stiirmer &amp; Cia Ltda</v>
          </cell>
          <cell r="D6890" t="str">
            <v>Acacia Ferramentas</v>
          </cell>
          <cell r="E6890" t="str">
            <v>BR_CNPJ</v>
          </cell>
          <cell r="F6890" t="str">
            <v>07.951.257/0001-78</v>
          </cell>
        </row>
        <row r="6891">
          <cell r="A6891">
            <v>52320</v>
          </cell>
          <cell r="B6891" t="str">
            <v>CORPORATION</v>
          </cell>
          <cell r="C6891" t="str">
            <v>A Bitencourt Comercio De Ferragens Ltda</v>
          </cell>
          <cell r="D6891" t="str">
            <v>A Bitencourt Comercio De Ferragens Ltda</v>
          </cell>
          <cell r="E6891" t="str">
            <v>BR_CNPJ</v>
          </cell>
          <cell r="F6891" t="str">
            <v>75.104.406/0007-09</v>
          </cell>
        </row>
        <row r="6892">
          <cell r="A6892">
            <v>52331</v>
          </cell>
          <cell r="B6892" t="str">
            <v>CORPORATION</v>
          </cell>
          <cell r="C6892" t="str">
            <v>Multiagro Agronegocios Chapadinha - Multiagro</v>
          </cell>
          <cell r="D6892" t="str">
            <v>Multiagro</v>
          </cell>
          <cell r="E6892" t="str">
            <v>BR_CNPJ</v>
          </cell>
          <cell r="F6892" t="str">
            <v>55.046.442/0001-60</v>
          </cell>
        </row>
        <row r="6893">
          <cell r="A6893">
            <v>52370</v>
          </cell>
          <cell r="B6893" t="str">
            <v>CORPORATION</v>
          </cell>
          <cell r="C6893" t="str">
            <v>Central Agro Produtos E Serviços Ltda</v>
          </cell>
          <cell r="D6893" t="str">
            <v>Central Agro Produtos E Serviços</v>
          </cell>
          <cell r="E6893" t="str">
            <v>BR_CNPJ</v>
          </cell>
          <cell r="F6893" t="str">
            <v>42.046.154/0001-64</v>
          </cell>
        </row>
        <row r="6894">
          <cell r="A6894">
            <v>52376</v>
          </cell>
          <cell r="B6894" t="str">
            <v>CORPORATION</v>
          </cell>
          <cell r="C6894" t="str">
            <v>L. L. Pohsner &amp; Cia Ltda</v>
          </cell>
          <cell r="D6894" t="str">
            <v>L P Comercio, Representacao E Distribuicao</v>
          </cell>
          <cell r="E6894" t="str">
            <v>BR_CNPJ</v>
          </cell>
          <cell r="F6894" t="str">
            <v>52.437.923/0001-09</v>
          </cell>
        </row>
        <row r="6895">
          <cell r="A6895">
            <v>52377</v>
          </cell>
          <cell r="B6895" t="str">
            <v>CORPORATION</v>
          </cell>
          <cell r="C6895" t="str">
            <v>Auparts Auto Pecas Ltda</v>
          </cell>
          <cell r="D6895" t="str">
            <v>Auparts</v>
          </cell>
          <cell r="E6895" t="str">
            <v>BR_CNPJ</v>
          </cell>
          <cell r="F6895" t="str">
            <v>39.963.344/0001-31</v>
          </cell>
        </row>
        <row r="6896">
          <cell r="A6896">
            <v>52381</v>
          </cell>
          <cell r="B6896" t="str">
            <v>CORPORATION</v>
          </cell>
          <cell r="C6896" t="str">
            <v>Bmb Material De Construcao S.A.</v>
          </cell>
          <cell r="D6896" t="str">
            <v>Obramax Sao Gonçalo</v>
          </cell>
          <cell r="E6896" t="str">
            <v>BR_CNPJ</v>
          </cell>
          <cell r="F6896" t="str">
            <v>23.476.033/0007-01</v>
          </cell>
          <cell r="G6896" t="str">
            <v>OBRAMAX</v>
          </cell>
        </row>
        <row r="6897">
          <cell r="A6897">
            <v>52438</v>
          </cell>
          <cell r="B6897" t="str">
            <v>CORPORATION</v>
          </cell>
          <cell r="C6897" t="str">
            <v>Paraiso Eletro Maquinas Ltda</v>
          </cell>
          <cell r="D6897" t="str">
            <v>N C Motores</v>
          </cell>
          <cell r="E6897" t="str">
            <v>BR_CNPJ</v>
          </cell>
          <cell r="F6897" t="str">
            <v>25.024.614/0001-34</v>
          </cell>
        </row>
        <row r="6898">
          <cell r="A6898">
            <v>52482</v>
          </cell>
          <cell r="B6898" t="str">
            <v>CORPORATION</v>
          </cell>
          <cell r="C6898" t="str">
            <v>Cnc Sul Maquinas Ltda</v>
          </cell>
          <cell r="E6898" t="str">
            <v>BR_CNPJ</v>
          </cell>
          <cell r="F6898" t="str">
            <v>60.739.835/0001-90</v>
          </cell>
        </row>
        <row r="6899">
          <cell r="A6899">
            <v>52491</v>
          </cell>
          <cell r="B6899" t="str">
            <v>CORPORATION</v>
          </cell>
          <cell r="C6899" t="str">
            <v>Leandro Gabriel Trafane</v>
          </cell>
          <cell r="D6899" t="str">
            <v>Trafamaq Equipamentos Agricolas</v>
          </cell>
          <cell r="E6899" t="str">
            <v>BR_CNPJ</v>
          </cell>
          <cell r="F6899" t="str">
            <v>29.831.654/0001-49</v>
          </cell>
        </row>
        <row r="6900">
          <cell r="A6900">
            <v>52492</v>
          </cell>
          <cell r="B6900" t="str">
            <v>CORPORATION</v>
          </cell>
          <cell r="C6900" t="str">
            <v>Sul Comercio De Gases E Manutencao Em Equipamentos Ltda</v>
          </cell>
          <cell r="D6900" t="str">
            <v xml:space="preserve">Oxigênio Mix									</v>
          </cell>
          <cell r="E6900" t="str">
            <v>BR_CNPJ</v>
          </cell>
          <cell r="F6900" t="str">
            <v>41.822.760/0001-61</v>
          </cell>
          <cell r="G6900" t="str">
            <v>OXIGENIO MIX</v>
          </cell>
        </row>
        <row r="6901">
          <cell r="A6901">
            <v>52509</v>
          </cell>
          <cell r="B6901" t="str">
            <v>CORPORATION</v>
          </cell>
          <cell r="C6901" t="str">
            <v>Agrosoldas Ltda</v>
          </cell>
          <cell r="D6901" t="str">
            <v>Agrosoldas</v>
          </cell>
          <cell r="E6901" t="str">
            <v>BR_CNPJ</v>
          </cell>
          <cell r="F6901" t="str">
            <v>36.893.397/0001-35</v>
          </cell>
        </row>
        <row r="6902">
          <cell r="A6902">
            <v>52525</v>
          </cell>
          <cell r="B6902" t="str">
            <v>CORPORATION</v>
          </cell>
          <cell r="C6902" t="str">
            <v>Paraiso Eletro Maquinas Ltda</v>
          </cell>
          <cell r="D6902" t="str">
            <v>N C Motores</v>
          </cell>
          <cell r="E6902" t="str">
            <v>BR_CNPJ</v>
          </cell>
          <cell r="F6902" t="str">
            <v>25.024.614/0002-15</v>
          </cell>
        </row>
        <row r="6903">
          <cell r="A6903">
            <v>52526</v>
          </cell>
          <cell r="B6903" t="str">
            <v>CORPORATION</v>
          </cell>
          <cell r="C6903" t="str">
            <v>Bmb Material De Construcao S.A.</v>
          </cell>
          <cell r="D6903" t="str">
            <v>Obramax Uberlandia</v>
          </cell>
          <cell r="E6903" t="str">
            <v>BR_CNPJ</v>
          </cell>
          <cell r="F6903" t="str">
            <v>23.476.033/0021-51</v>
          </cell>
          <cell r="G6903" t="str">
            <v>OBRAMAX</v>
          </cell>
        </row>
        <row r="6904">
          <cell r="A6904">
            <v>52527</v>
          </cell>
          <cell r="B6904" t="str">
            <v>CORPORATION</v>
          </cell>
          <cell r="C6904" t="str">
            <v>Europpa Maquinas E Ferramentas Ltda</v>
          </cell>
          <cell r="D6904" t="str">
            <v>Europpa Maquinas E Ferramentas</v>
          </cell>
          <cell r="E6904" t="str">
            <v>BR_CNPJ</v>
          </cell>
          <cell r="F6904" t="str">
            <v>16.655.596/0001-06</v>
          </cell>
        </row>
        <row r="6905">
          <cell r="A6905">
            <v>52529</v>
          </cell>
          <cell r="B6905" t="str">
            <v>CORPORATION</v>
          </cell>
          <cell r="C6905" t="str">
            <v>Stock Comercio De Equipamentos Industriais E De Seguranca Ltda</v>
          </cell>
          <cell r="D6905" t="str">
            <v>Stock Equipamentos</v>
          </cell>
          <cell r="E6905" t="str">
            <v>BR_CNPJ</v>
          </cell>
          <cell r="F6905" t="str">
            <v>05.588.797/0002-94</v>
          </cell>
          <cell r="G6905" t="str">
            <v>STOCK COMERCIO</v>
          </cell>
        </row>
        <row r="6906">
          <cell r="A6906">
            <v>52535</v>
          </cell>
          <cell r="B6906" t="str">
            <v>CORPORATION</v>
          </cell>
          <cell r="C6906" t="str">
            <v>W. Spadrizani Imp E Exp De Pecas E Acessorios Automotivos Eireli</v>
          </cell>
          <cell r="D6906" t="str">
            <v>Ponto Do Borracheiro</v>
          </cell>
          <cell r="E6906" t="str">
            <v>BR_CNPJ</v>
          </cell>
          <cell r="F6906" t="str">
            <v>15.662.601/0002-18</v>
          </cell>
          <cell r="G6906" t="str">
            <v>W. SPADRIZANI</v>
          </cell>
        </row>
        <row r="6907">
          <cell r="A6907">
            <v>52536</v>
          </cell>
          <cell r="B6907" t="str">
            <v>CORPORATION</v>
          </cell>
          <cell r="C6907" t="str">
            <v>Molina &amp; Rizzo Eletrica E Hidraulica Ltda</v>
          </cell>
          <cell r="D6907" t="str">
            <v>Rizzo Eletrica E Hidraulica</v>
          </cell>
          <cell r="E6907" t="str">
            <v>BR_CNPJ</v>
          </cell>
          <cell r="F6907" t="str">
            <v>10.681.026/0001-04</v>
          </cell>
        </row>
        <row r="6908">
          <cell r="A6908">
            <v>52540</v>
          </cell>
          <cell r="B6908" t="str">
            <v>CORPORATION</v>
          </cell>
          <cell r="C6908" t="str">
            <v>Cascavel Soldas Comercio De Abrasivos Ltda</v>
          </cell>
          <cell r="D6908" t="str">
            <v>Cascavel Soldas</v>
          </cell>
          <cell r="E6908" t="str">
            <v>BR_CNPJ</v>
          </cell>
          <cell r="F6908" t="str">
            <v>08.262.604/0003-80</v>
          </cell>
          <cell r="G6908" t="str">
            <v>CASCAVEL</v>
          </cell>
        </row>
        <row r="6909">
          <cell r="A6909">
            <v>52547</v>
          </cell>
          <cell r="B6909" t="str">
            <v>CORPORATION</v>
          </cell>
          <cell r="C6909" t="str">
            <v>L S Com Ltda</v>
          </cell>
          <cell r="D6909" t="str">
            <v>Laman</v>
          </cell>
          <cell r="E6909" t="str">
            <v>BR_CNPJ</v>
          </cell>
          <cell r="F6909" t="str">
            <v>21.852.051/0001-11</v>
          </cell>
        </row>
        <row r="6910">
          <cell r="A6910">
            <v>52579</v>
          </cell>
          <cell r="B6910" t="str">
            <v>CORPORATION</v>
          </cell>
          <cell r="C6910" t="str">
            <v>Terra Comercio E Distribuidora Ltda</v>
          </cell>
          <cell r="D6910" t="str">
            <v>Terra Comercio E Distribuidora Ltda</v>
          </cell>
          <cell r="E6910" t="str">
            <v>BR_CNPJ</v>
          </cell>
          <cell r="F6910" t="str">
            <v>02.537.353/0001-50</v>
          </cell>
          <cell r="G6910" t="str">
            <v>BRASFER</v>
          </cell>
        </row>
        <row r="6911">
          <cell r="A6911">
            <v>52599</v>
          </cell>
          <cell r="B6911" t="str">
            <v>CORPORATION</v>
          </cell>
          <cell r="C6911" t="str">
            <v>Goiatendas Unipessoal Ltda</v>
          </cell>
          <cell r="D6911" t="str">
            <v>Ferragista Ferro E Aco Leandro</v>
          </cell>
          <cell r="E6911" t="str">
            <v>BR_CNPJ</v>
          </cell>
          <cell r="F6911" t="str">
            <v>21.762.626/0002-96</v>
          </cell>
          <cell r="G6911" t="str">
            <v>GOIATENDAS</v>
          </cell>
        </row>
        <row r="6912">
          <cell r="A6912">
            <v>52600</v>
          </cell>
          <cell r="B6912" t="str">
            <v>CORPORATION</v>
          </cell>
          <cell r="C6912" t="str">
            <v>Estilo Metalurgica Ltda</v>
          </cell>
          <cell r="D6912" t="str">
            <v>Estilo Metalurgica</v>
          </cell>
          <cell r="E6912" t="str">
            <v>BR_CNPJ</v>
          </cell>
          <cell r="F6912" t="str">
            <v>14.752.288/0001-65</v>
          </cell>
        </row>
        <row r="6913">
          <cell r="A6913">
            <v>52614</v>
          </cell>
          <cell r="B6913" t="str">
            <v>CORPORATION</v>
          </cell>
          <cell r="C6913" t="str">
            <v>Jvl Solucoes Em Automacao Industrial Ltda</v>
          </cell>
          <cell r="D6913" t="str">
            <v>Jvl Maquinas Cnc</v>
          </cell>
          <cell r="E6913" t="str">
            <v>BR_CNPJ</v>
          </cell>
          <cell r="F6913" t="str">
            <v>28.038.726/0001-32</v>
          </cell>
        </row>
        <row r="6914">
          <cell r="A6914">
            <v>52619</v>
          </cell>
          <cell r="B6914" t="str">
            <v>CORPORATION</v>
          </cell>
          <cell r="C6914" t="str">
            <v>Norteflex Comercio De Materiais Hidraulicos Ltda</v>
          </cell>
          <cell r="D6914" t="str">
            <v>Norteflex</v>
          </cell>
          <cell r="E6914" t="str">
            <v>BR_CNPJ</v>
          </cell>
          <cell r="F6914" t="str">
            <v>35.267.321/0001-31</v>
          </cell>
        </row>
        <row r="6915">
          <cell r="A6915">
            <v>52638</v>
          </cell>
          <cell r="B6915" t="str">
            <v>CORPORATION</v>
          </cell>
          <cell r="C6915" t="str">
            <v>Mestre Multi Ltda</v>
          </cell>
          <cell r="D6915" t="str">
            <v>Mestre Multi</v>
          </cell>
          <cell r="E6915" t="str">
            <v>BR_CNPJ</v>
          </cell>
          <cell r="F6915" t="str">
            <v>16.466.494/0001-34</v>
          </cell>
        </row>
        <row r="6916">
          <cell r="A6916">
            <v>52658</v>
          </cell>
          <cell r="B6916" t="str">
            <v>CORPORATION</v>
          </cell>
          <cell r="C6916" t="str">
            <v>Paulo Cesar Da Luz Comercio De Ferragens</v>
          </cell>
          <cell r="D6916" t="str">
            <v>Lider Ferragens</v>
          </cell>
          <cell r="E6916" t="str">
            <v>BR_CNPJ</v>
          </cell>
          <cell r="F6916" t="str">
            <v>24.221.193/0001-79</v>
          </cell>
          <cell r="G6916" t="str">
            <v>GRUPO DA LUZ</v>
          </cell>
        </row>
        <row r="6917">
          <cell r="A6917">
            <v>52663</v>
          </cell>
          <cell r="B6917" t="str">
            <v>CORPORATION</v>
          </cell>
          <cell r="C6917" t="str">
            <v>Dorda Comercio De Ferragens E Ferramentas Ltda</v>
          </cell>
          <cell r="D6917" t="str">
            <v>Maqffer</v>
          </cell>
          <cell r="E6917" t="str">
            <v>BR_CNPJ</v>
          </cell>
          <cell r="F6917" t="str">
            <v>14.842.101/0001-14</v>
          </cell>
        </row>
        <row r="6918">
          <cell r="A6918">
            <v>52669</v>
          </cell>
          <cell r="B6918" t="str">
            <v>CORPORATION</v>
          </cell>
          <cell r="C6918" t="str">
            <v>Hb Mais Ferramentas E Variedades Ltda</v>
          </cell>
          <cell r="D6918" t="str">
            <v>Hb Mais Ferramentas</v>
          </cell>
          <cell r="E6918" t="str">
            <v>BR_CNPJ</v>
          </cell>
          <cell r="F6918" t="str">
            <v>54.499.531/0001-08</v>
          </cell>
        </row>
        <row r="6919">
          <cell r="A6919">
            <v>52705</v>
          </cell>
          <cell r="B6919" t="str">
            <v>CORPORATION</v>
          </cell>
          <cell r="C6919" t="str">
            <v>Motores Eletricos Itatiba Ltda</v>
          </cell>
          <cell r="D6919" t="str">
            <v>Motores Eletricos Itatiba</v>
          </cell>
          <cell r="E6919" t="str">
            <v>BR_CNPJ</v>
          </cell>
          <cell r="F6919" t="str">
            <v>57.764.951/0001-54</v>
          </cell>
          <cell r="G6919" t="str">
            <v>MOTORBASS</v>
          </cell>
        </row>
        <row r="6920">
          <cell r="A6920">
            <v>52706</v>
          </cell>
          <cell r="B6920" t="str">
            <v>CORPORATION</v>
          </cell>
          <cell r="C6920" t="str">
            <v>W G Rosa Ltda</v>
          </cell>
          <cell r="D6920" t="str">
            <v>Wg Comercial</v>
          </cell>
          <cell r="E6920" t="str">
            <v>BR_CNPJ</v>
          </cell>
          <cell r="F6920" t="str">
            <v>08.290.531/0001-78</v>
          </cell>
        </row>
        <row r="6921">
          <cell r="A6921">
            <v>52715</v>
          </cell>
          <cell r="B6921" t="str">
            <v>CORPORATION</v>
          </cell>
          <cell r="C6921" t="str">
            <v>Ma Vdc Pecas E Ferragens Ltda</v>
          </cell>
          <cell r="D6921" t="str">
            <v>Ma Vdc Pecas E Ferragens</v>
          </cell>
          <cell r="E6921" t="str">
            <v>BR_CNPJ</v>
          </cell>
          <cell r="F6921" t="str">
            <v>57.979.077/0001-72</v>
          </cell>
        </row>
        <row r="6922">
          <cell r="A6922">
            <v>52732</v>
          </cell>
          <cell r="B6922" t="str">
            <v>CORPORATION</v>
          </cell>
          <cell r="C6922" t="str">
            <v>Bella Casa Material Eletrico Ltda</v>
          </cell>
          <cell r="D6922" t="str">
            <v>Bella Casa</v>
          </cell>
          <cell r="E6922" t="str">
            <v>BR_CNPJ</v>
          </cell>
          <cell r="F6922" t="str">
            <v>53.971.530/0001-43</v>
          </cell>
        </row>
        <row r="6923">
          <cell r="A6923">
            <v>52734</v>
          </cell>
          <cell r="B6923" t="str">
            <v>CORPORATION</v>
          </cell>
          <cell r="C6923" t="str">
            <v>Bmb Material De Construcao S.A.</v>
          </cell>
          <cell r="D6923" t="str">
            <v>Obramax Londrina</v>
          </cell>
          <cell r="E6923" t="str">
            <v>BR_CNPJ</v>
          </cell>
          <cell r="F6923" t="str">
            <v>23.476.033/0015-03</v>
          </cell>
          <cell r="G6923" t="str">
            <v>OBRAMAX</v>
          </cell>
        </row>
        <row r="6924">
          <cell r="A6924">
            <v>52748</v>
          </cell>
          <cell r="B6924" t="str">
            <v>CORPORATION</v>
          </cell>
          <cell r="C6924" t="str">
            <v>Casa De Ferreiro Ltda</v>
          </cell>
          <cell r="D6924" t="str">
            <v>Casa De Ferreiro</v>
          </cell>
          <cell r="E6924" t="str">
            <v>BR_CNPJ</v>
          </cell>
          <cell r="F6924" t="str">
            <v>51.813.217/0001-51</v>
          </cell>
          <cell r="G6924" t="str">
            <v>FERRASUL</v>
          </cell>
        </row>
        <row r="6925">
          <cell r="A6925">
            <v>52753</v>
          </cell>
          <cell r="B6925" t="str">
            <v>CORPORATION</v>
          </cell>
          <cell r="C6925" t="str">
            <v>Paraiso Do Mecanico Ltda</v>
          </cell>
          <cell r="D6925" t="str">
            <v>Paraiso Do Mecanico</v>
          </cell>
          <cell r="E6925" t="str">
            <v>BR_CNPJ</v>
          </cell>
          <cell r="F6925" t="str">
            <v>58.902.504/0002-68</v>
          </cell>
          <cell r="G6925" t="str">
            <v>CARATINGA</v>
          </cell>
        </row>
        <row r="6926">
          <cell r="A6926">
            <v>52754</v>
          </cell>
          <cell r="B6926" t="str">
            <v>CORPORATION</v>
          </cell>
          <cell r="C6926" t="str">
            <v>Sousa Costa &amp; Costa Soares Ltda</v>
          </cell>
          <cell r="D6926" t="str">
            <v>Comercial Gm</v>
          </cell>
          <cell r="E6926" t="str">
            <v>BR_CNPJ</v>
          </cell>
          <cell r="F6926" t="str">
            <v>04.407.712/0001-80</v>
          </cell>
        </row>
        <row r="6927">
          <cell r="A6927">
            <v>52761</v>
          </cell>
          <cell r="B6927" t="str">
            <v>CORPORATION</v>
          </cell>
          <cell r="C6927" t="str">
            <v>Real Ferragens E Ferramentas Ltda</v>
          </cell>
          <cell r="D6927" t="str">
            <v>Real Ferragista</v>
          </cell>
          <cell r="E6927" t="str">
            <v>BR_CNPJ</v>
          </cell>
          <cell r="F6927" t="str">
            <v>48.240.332/0001-70</v>
          </cell>
        </row>
        <row r="6928">
          <cell r="A6928">
            <v>52784</v>
          </cell>
          <cell r="B6928" t="str">
            <v>CORPORATION</v>
          </cell>
          <cell r="C6928" t="str">
            <v>Ug Comercio Importacao E Exportacao Ltda</v>
          </cell>
          <cell r="D6928" t="str">
            <v>G Comercio Importação E Exportação Ltda</v>
          </cell>
          <cell r="E6928" t="str">
            <v>BR_CNPJ</v>
          </cell>
          <cell r="F6928" t="str">
            <v>55.055.329/0001-41</v>
          </cell>
        </row>
        <row r="6929">
          <cell r="A6929">
            <v>52831</v>
          </cell>
          <cell r="B6929" t="str">
            <v>CORPORATION</v>
          </cell>
          <cell r="C6929" t="str">
            <v>Ags Pneumaticas Ltda</v>
          </cell>
          <cell r="D6929" t="str">
            <v>Ags Pneumáticas</v>
          </cell>
          <cell r="E6929" t="str">
            <v>BR_CNPJ</v>
          </cell>
          <cell r="F6929" t="str">
            <v>40.390.158/0001-30</v>
          </cell>
        </row>
        <row r="6930">
          <cell r="A6930">
            <v>52851</v>
          </cell>
          <cell r="B6930" t="str">
            <v>CORPORATION</v>
          </cell>
          <cell r="C6930" t="str">
            <v>R. B. Coimbra Ltda</v>
          </cell>
          <cell r="D6930" t="str">
            <v>Coimbra Motores &amp; Ferramentas</v>
          </cell>
          <cell r="E6930" t="str">
            <v>BR_CNPJ</v>
          </cell>
          <cell r="F6930" t="str">
            <v>36.684.483/0005-61</v>
          </cell>
          <cell r="G6930" t="str">
            <v>R. B. COIMBRA</v>
          </cell>
        </row>
        <row r="6931">
          <cell r="A6931">
            <v>52855</v>
          </cell>
          <cell r="B6931" t="str">
            <v>CORPORATION</v>
          </cell>
          <cell r="C6931" t="str">
            <v>Emporio Palotina Ltda</v>
          </cell>
          <cell r="E6931" t="str">
            <v>BR_CNPJ</v>
          </cell>
          <cell r="F6931" t="str">
            <v>77.855.385/0001-01</v>
          </cell>
        </row>
        <row r="6932">
          <cell r="A6932">
            <v>52892</v>
          </cell>
          <cell r="B6932" t="str">
            <v>CORPORATION</v>
          </cell>
          <cell r="C6932" t="str">
            <v>Barao Comercio De Ferro E Aco Ltda</v>
          </cell>
          <cell r="D6932" t="str">
            <v>Barao Ferro E Aco</v>
          </cell>
          <cell r="E6932" t="str">
            <v>BR_CNPJ</v>
          </cell>
          <cell r="F6932" t="str">
            <v>00.840.894/0001-28</v>
          </cell>
        </row>
        <row r="6933">
          <cell r="A6933">
            <v>52962</v>
          </cell>
          <cell r="B6933" t="str">
            <v>CORPORATION</v>
          </cell>
          <cell r="C6933" t="str">
            <v>Pulse Automacao Industrial Ltda</v>
          </cell>
          <cell r="D6933" t="str">
            <v>Pulse Automacao</v>
          </cell>
          <cell r="E6933" t="str">
            <v>BR_CNPJ</v>
          </cell>
          <cell r="F6933" t="str">
            <v>20.399.662/0001-93</v>
          </cell>
          <cell r="G6933" t="str">
            <v>INTERPLASMA</v>
          </cell>
        </row>
        <row r="6934">
          <cell r="A6934">
            <v>52966</v>
          </cell>
          <cell r="B6934" t="str">
            <v>CORPORATION</v>
          </cell>
          <cell r="C6934" t="str">
            <v>Metalcor Tintas, Ferramentas E Suprimentos Ltda</v>
          </cell>
          <cell r="D6934" t="str">
            <v>Metalcor Tintas Automotivas E Industriais</v>
          </cell>
          <cell r="E6934" t="str">
            <v>BR_CNPJ</v>
          </cell>
          <cell r="F6934" t="str">
            <v>26.699.891/0001-00</v>
          </cell>
        </row>
        <row r="6935">
          <cell r="A6935">
            <v>52968</v>
          </cell>
          <cell r="B6935" t="str">
            <v>CORPORATION</v>
          </cell>
          <cell r="C6935" t="str">
            <v>Materiais De Construcao Casa Guerreiro Ltda</v>
          </cell>
          <cell r="D6935" t="str">
            <v>Casa Guerreiro</v>
          </cell>
          <cell r="E6935" t="str">
            <v>BR_CNPJ</v>
          </cell>
          <cell r="F6935" t="str">
            <v>06.372.701/0001-38</v>
          </cell>
        </row>
        <row r="6936">
          <cell r="A6936">
            <v>52969</v>
          </cell>
          <cell r="B6936" t="str">
            <v>CORPORATION</v>
          </cell>
          <cell r="C6936" t="str">
            <v>Nestor Bortolini &amp; Cia Ltda</v>
          </cell>
          <cell r="E6936" t="str">
            <v>BR_CNPJ</v>
          </cell>
          <cell r="F6936" t="str">
            <v>89.945.133/0001-44</v>
          </cell>
          <cell r="G6936" t="str">
            <v>CNPH</v>
          </cell>
        </row>
        <row r="6937">
          <cell r="A6937">
            <v>53007</v>
          </cell>
          <cell r="B6937" t="str">
            <v>CORPORATION</v>
          </cell>
          <cell r="C6937" t="str">
            <v>Asteri Maquinas E Ferramentas Ltda</v>
          </cell>
          <cell r="D6937" t="str">
            <v>Asteri Manutencao De Maquinas E Ferramentas Eletrica</v>
          </cell>
          <cell r="E6937" t="str">
            <v>BR_CNPJ</v>
          </cell>
          <cell r="F6937" t="str">
            <v>60.143.729/0001-49</v>
          </cell>
        </row>
        <row r="6938">
          <cell r="A6938">
            <v>53048</v>
          </cell>
          <cell r="B6938" t="str">
            <v>CORPORATION</v>
          </cell>
          <cell r="C6938" t="str">
            <v>Tr Distribuidora De Equipamentos De Seguranca Ltda</v>
          </cell>
          <cell r="D6938" t="str">
            <v>Tr Distribuidora De E.P.I.</v>
          </cell>
          <cell r="E6938" t="str">
            <v>BR_CNPJ</v>
          </cell>
          <cell r="F6938" t="str">
            <v>14.213.841/0001-91</v>
          </cell>
        </row>
        <row r="6939">
          <cell r="A6939">
            <v>53076</v>
          </cell>
          <cell r="B6939" t="str">
            <v>CORPORATION</v>
          </cell>
          <cell r="C6939" t="str">
            <v>Wm Parafusos E Ferramentas Ltda</v>
          </cell>
          <cell r="D6939" t="str">
            <v>Wm Parafusos E Ferramentas</v>
          </cell>
          <cell r="E6939" t="str">
            <v>BR_CNPJ</v>
          </cell>
          <cell r="F6939" t="str">
            <v>37.396.462/0001-80</v>
          </cell>
        </row>
        <row r="6940">
          <cell r="A6940">
            <v>53082</v>
          </cell>
          <cell r="B6940" t="str">
            <v>CORPORATION</v>
          </cell>
          <cell r="C6940" t="str">
            <v>Edmaq Comercio See Ltda</v>
          </cell>
          <cell r="D6940" t="str">
            <v>Edmaq</v>
          </cell>
          <cell r="E6940" t="str">
            <v>BR_CNPJ</v>
          </cell>
          <cell r="F6940" t="str">
            <v>61.258.118/0001-09</v>
          </cell>
          <cell r="G6940" t="str">
            <v>ED MAQ</v>
          </cell>
        </row>
        <row r="6941">
          <cell r="A6941">
            <v>53084</v>
          </cell>
          <cell r="B6941" t="str">
            <v>CORPORATION</v>
          </cell>
          <cell r="C6941" t="str">
            <v>Ferragens Maranhao Ltda</v>
          </cell>
          <cell r="D6941" t="str">
            <v>Ferragens Maranhao</v>
          </cell>
          <cell r="E6941" t="str">
            <v>BR_CNPJ</v>
          </cell>
          <cell r="F6941" t="str">
            <v>26.602.033/0001-03</v>
          </cell>
        </row>
        <row r="6942">
          <cell r="A6942">
            <v>53121</v>
          </cell>
          <cell r="B6942" t="str">
            <v>CORPORATION</v>
          </cell>
          <cell r="C6942" t="str">
            <v>O Caipira - Acessorios Ferragens E Parafusos Ltda</v>
          </cell>
          <cell r="D6942" t="str">
            <v>O Caipira Acessorios</v>
          </cell>
          <cell r="E6942" t="str">
            <v>BR_CNPJ</v>
          </cell>
          <cell r="F6942" t="str">
            <v>58.346.358/0001-50</v>
          </cell>
        </row>
        <row r="6943">
          <cell r="A6943">
            <v>53171</v>
          </cell>
          <cell r="B6943" t="str">
            <v>CORPORATION</v>
          </cell>
          <cell r="C6943" t="str">
            <v>Rs Produtos Metalurgicos Ltda</v>
          </cell>
          <cell r="D6943" t="str">
            <v>Mineiraco Ii</v>
          </cell>
          <cell r="E6943" t="str">
            <v>BR_CNPJ</v>
          </cell>
          <cell r="F6943" t="str">
            <v>38.071.544/0002-06</v>
          </cell>
          <cell r="G6943" t="str">
            <v>MINEIRAÇO</v>
          </cell>
        </row>
        <row r="6944">
          <cell r="A6944">
            <v>53172</v>
          </cell>
          <cell r="B6944" t="str">
            <v>CORPORATION</v>
          </cell>
          <cell r="C6944" t="str">
            <v>Barros E Bezerra Comercio E Assistencia De Maquinas Ltda</v>
          </cell>
          <cell r="D6944" t="str">
            <v>Comercial Teixeira</v>
          </cell>
          <cell r="E6944" t="str">
            <v>BR_CNPJ</v>
          </cell>
          <cell r="F6944" t="str">
            <v>59.554.620/0001-15</v>
          </cell>
          <cell r="G6944" t="str">
            <v>COMERCIAL TEIXEIRA</v>
          </cell>
        </row>
        <row r="6945">
          <cell r="A6945">
            <v>53174</v>
          </cell>
          <cell r="B6945" t="str">
            <v>CORPORATION</v>
          </cell>
          <cell r="C6945" t="str">
            <v>Rab - Comercio Varejista De Material Eletrico Ltda</v>
          </cell>
          <cell r="D6945" t="str">
            <v>Centro Do Eletricista</v>
          </cell>
          <cell r="E6945" t="str">
            <v>BR_CNPJ</v>
          </cell>
          <cell r="F6945" t="str">
            <v>35.062.192/0001-45</v>
          </cell>
        </row>
        <row r="6946">
          <cell r="A6946">
            <v>53228</v>
          </cell>
          <cell r="B6946" t="str">
            <v>CORPORATION</v>
          </cell>
          <cell r="C6946" t="str">
            <v>D. Dos Santos De Oliveira Ltda</v>
          </cell>
          <cell r="D6946" t="str">
            <v>Casa &amp; Cia</v>
          </cell>
          <cell r="E6946" t="str">
            <v>BR_CNPJ</v>
          </cell>
          <cell r="F6946" t="str">
            <v>39.981.157/0001-80</v>
          </cell>
        </row>
        <row r="6947">
          <cell r="A6947">
            <v>53229</v>
          </cell>
          <cell r="B6947" t="str">
            <v>CORPORATION</v>
          </cell>
          <cell r="C6947" t="str">
            <v>Agro Pecuaria Dellamutta Ltda</v>
          </cell>
          <cell r="E6947" t="str">
            <v>BR_CNPJ</v>
          </cell>
          <cell r="F6947" t="str">
            <v>54.081.732/0001-82</v>
          </cell>
        </row>
        <row r="6948">
          <cell r="A6948">
            <v>53241</v>
          </cell>
          <cell r="B6948" t="str">
            <v>CORPORATION</v>
          </cell>
          <cell r="C6948" t="str">
            <v>Volaron Comercial Ltda</v>
          </cell>
          <cell r="D6948" t="str">
            <v>Volaron Comercial</v>
          </cell>
          <cell r="E6948" t="str">
            <v>BR_CNPJ</v>
          </cell>
          <cell r="F6948" t="str">
            <v>40.004.197/0001-51</v>
          </cell>
        </row>
        <row r="6949">
          <cell r="A6949">
            <v>53242</v>
          </cell>
          <cell r="B6949" t="str">
            <v>CORPORATION</v>
          </cell>
          <cell r="C6949" t="str">
            <v>Alex Henrique Ferragens</v>
          </cell>
          <cell r="D6949" t="str">
            <v>Papagaio Ferragens</v>
          </cell>
          <cell r="E6949" t="str">
            <v>BR_CNPJ</v>
          </cell>
          <cell r="F6949" t="str">
            <v>15.743.015/0001-17</v>
          </cell>
        </row>
        <row r="6950">
          <cell r="A6950">
            <v>53251</v>
          </cell>
          <cell r="B6950" t="str">
            <v>CORPORATION</v>
          </cell>
          <cell r="C6950" t="str">
            <v>D Sousa Da Cruz Ltda</v>
          </cell>
          <cell r="D6950" t="str">
            <v>Torneadora Tavares</v>
          </cell>
          <cell r="E6950" t="str">
            <v>BR_CNPJ</v>
          </cell>
          <cell r="F6950" t="str">
            <v>58.164.480/0001-06</v>
          </cell>
        </row>
        <row r="6951">
          <cell r="A6951">
            <v>53268</v>
          </cell>
          <cell r="B6951" t="str">
            <v>CORPORATION</v>
          </cell>
          <cell r="C6951" t="str">
            <v>M. Fortes Barbosa Ferramentas</v>
          </cell>
          <cell r="D6951" t="str">
            <v>M.M Ferramentas</v>
          </cell>
          <cell r="E6951" t="str">
            <v>BR_CNPJ</v>
          </cell>
          <cell r="F6951" t="str">
            <v>61.080.516/0001-88</v>
          </cell>
        </row>
        <row r="6952">
          <cell r="A6952">
            <v>53298</v>
          </cell>
          <cell r="B6952" t="str">
            <v>CORPORATION</v>
          </cell>
          <cell r="C6952" t="str">
            <v>Armazem Das Ferramentas Ltda</v>
          </cell>
          <cell r="D6952" t="str">
            <v>Armazem Das Ferramentas</v>
          </cell>
          <cell r="E6952" t="str">
            <v>BR_CNPJ</v>
          </cell>
          <cell r="F6952" t="str">
            <v>46.948.482/0001-07</v>
          </cell>
        </row>
        <row r="6953">
          <cell r="A6953">
            <v>53301</v>
          </cell>
          <cell r="B6953" t="str">
            <v>CORPORATION</v>
          </cell>
          <cell r="C6953" t="str">
            <v>S Filho Materiais Ltda</v>
          </cell>
          <cell r="D6953" t="str">
            <v>S Filho Materiais</v>
          </cell>
          <cell r="E6953" t="str">
            <v>BR_CNPJ</v>
          </cell>
          <cell r="F6953" t="str">
            <v>51.491.981/0001-58</v>
          </cell>
        </row>
        <row r="6954">
          <cell r="A6954">
            <v>53327</v>
          </cell>
          <cell r="B6954" t="str">
            <v>CORPORATION</v>
          </cell>
          <cell r="C6954" t="str">
            <v>J V Comercio De Ferramentas, Servicos De Construcao E Consultoria Em Gestao Empresarial Ltda</v>
          </cell>
          <cell r="D6954" t="str">
            <v>Raibran Multicoisas</v>
          </cell>
          <cell r="E6954" t="str">
            <v>BR_CNPJ</v>
          </cell>
          <cell r="F6954" t="str">
            <v>59.481.595/0001-97</v>
          </cell>
        </row>
        <row r="6955">
          <cell r="A6955">
            <v>53399</v>
          </cell>
          <cell r="B6955" t="str">
            <v>CORPORATION</v>
          </cell>
          <cell r="C6955" t="str">
            <v>Maceiofer Ferramentaria E Usinagem Ltda</v>
          </cell>
          <cell r="D6955" t="str">
            <v>Maceiofer Ferramentaria E Usinagem Ltda</v>
          </cell>
          <cell r="E6955" t="str">
            <v>BR_CNPJ</v>
          </cell>
          <cell r="F6955" t="str">
            <v>58.302.147/0001-16</v>
          </cell>
        </row>
        <row r="6956">
          <cell r="A6956">
            <v>53429</v>
          </cell>
          <cell r="B6956" t="str">
            <v>CORPORATION</v>
          </cell>
          <cell r="C6956" t="str">
            <v>Serra Sul Comercio De Materiais Hidraulicos Ltda</v>
          </cell>
          <cell r="D6956" t="str">
            <v>Serra Sul</v>
          </cell>
          <cell r="E6956" t="str">
            <v>BR_CNPJ</v>
          </cell>
          <cell r="F6956" t="str">
            <v>16.480.876/0001-12</v>
          </cell>
        </row>
        <row r="6957">
          <cell r="A6957">
            <v>53431</v>
          </cell>
          <cell r="B6957" t="str">
            <v>CORPORATION</v>
          </cell>
          <cell r="C6957" t="str">
            <v>Ferramentas Franca Ltda</v>
          </cell>
          <cell r="E6957" t="str">
            <v>BR_CNPJ</v>
          </cell>
          <cell r="F6957" t="str">
            <v>13.471.276/0001-08</v>
          </cell>
        </row>
        <row r="6958">
          <cell r="A6958">
            <v>53475</v>
          </cell>
          <cell r="B6958" t="str">
            <v>CORPORATION</v>
          </cell>
          <cell r="C6958" t="str">
            <v>Gmis Comercial De Ferramentas Ltda</v>
          </cell>
          <cell r="E6958" t="str">
            <v>BR_CNPJ</v>
          </cell>
          <cell r="F6958" t="str">
            <v>25.054.760/0001-02</v>
          </cell>
        </row>
        <row r="6959">
          <cell r="A6959">
            <v>53476</v>
          </cell>
          <cell r="B6959" t="str">
            <v>CORPORATION</v>
          </cell>
          <cell r="C6959" t="str">
            <v>Roth &amp; Strusinski Ltda</v>
          </cell>
          <cell r="D6959" t="str">
            <v>Central Ferragens 2</v>
          </cell>
          <cell r="E6959" t="str">
            <v>BR_CNPJ</v>
          </cell>
          <cell r="F6959" t="str">
            <v>43.330.589/0001-07</v>
          </cell>
        </row>
        <row r="6960">
          <cell r="A6960">
            <v>53477</v>
          </cell>
          <cell r="B6960" t="str">
            <v>CORPORATION</v>
          </cell>
          <cell r="C6960" t="str">
            <v>56.364.020 Bruna Barbosa Marinho Teles</v>
          </cell>
          <cell r="E6960" t="str">
            <v>BR_CNPJ</v>
          </cell>
          <cell r="F6960" t="str">
            <v>56.364.020/0001-04</v>
          </cell>
        </row>
        <row r="6961">
          <cell r="A6961">
            <v>53478</v>
          </cell>
          <cell r="B6961" t="str">
            <v>CORPORATION</v>
          </cell>
          <cell r="C6961" t="str">
            <v>A C Flix Casa De Parafusos E Agroindustria Ltda</v>
          </cell>
          <cell r="D6961" t="str">
            <v>A C Flix Casa De Parafusos E Agroindustria</v>
          </cell>
          <cell r="E6961" t="str">
            <v>BR_CNPJ</v>
          </cell>
          <cell r="F6961" t="str">
            <v>48.397.929/0001-22</v>
          </cell>
        </row>
        <row r="6962">
          <cell r="A6962">
            <v>53480</v>
          </cell>
          <cell r="B6962" t="str">
            <v>CORPORATION</v>
          </cell>
          <cell r="C6962" t="str">
            <v>Central Alcides Bahia Ltda</v>
          </cell>
          <cell r="D6962" t="str">
            <v>Central Alcides Bahia</v>
          </cell>
          <cell r="E6962" t="str">
            <v>BR_CNPJ</v>
          </cell>
          <cell r="F6962" t="str">
            <v>51.931.294/0001-06</v>
          </cell>
        </row>
        <row r="6963">
          <cell r="A6963">
            <v>53481</v>
          </cell>
          <cell r="B6963" t="str">
            <v>CORPORATION</v>
          </cell>
          <cell r="C6963" t="str">
            <v>Marilza Zazula Comercio De Maquinas E Ferramentas - Ltda</v>
          </cell>
          <cell r="D6963" t="str">
            <v>Lima Maquinas E Ferramentas</v>
          </cell>
          <cell r="E6963" t="str">
            <v>BR_CNPJ</v>
          </cell>
          <cell r="F6963" t="str">
            <v>08.927.277/0001-76</v>
          </cell>
        </row>
        <row r="6964">
          <cell r="A6964">
            <v>53483</v>
          </cell>
          <cell r="B6964" t="str">
            <v>CORPORATION</v>
          </cell>
          <cell r="C6964" t="str">
            <v>Casa Cavalcante Ltda</v>
          </cell>
          <cell r="D6964" t="str">
            <v>Casa Cavalcante</v>
          </cell>
          <cell r="E6964" t="str">
            <v>BR_CNPJ</v>
          </cell>
          <cell r="F6964" t="str">
            <v>43.134.539/0001-46</v>
          </cell>
        </row>
        <row r="6965">
          <cell r="A6965">
            <v>53485</v>
          </cell>
          <cell r="B6965" t="str">
            <v>CORPORATION</v>
          </cell>
          <cell r="C6965" t="str">
            <v>Ronaldo Williame Souza Sena Ltda</v>
          </cell>
          <cell r="D6965" t="str">
            <v>Ronaldo Material Para Construcao</v>
          </cell>
          <cell r="E6965" t="str">
            <v>BR_CNPJ</v>
          </cell>
          <cell r="F6965" t="str">
            <v>43.111.524/0001-62</v>
          </cell>
        </row>
        <row r="6966">
          <cell r="A6966">
            <v>53556</v>
          </cell>
          <cell r="B6966" t="str">
            <v>CORPORATION</v>
          </cell>
          <cell r="C6966" t="str">
            <v>Rg Solucoes Comercio E Servicos De Locacao Ltda</v>
          </cell>
          <cell r="D6966" t="str">
            <v>Rg Multi Solucoes</v>
          </cell>
          <cell r="E6966" t="str">
            <v>BR_CNPJ</v>
          </cell>
          <cell r="F6966" t="str">
            <v>14.471.895/0001-57</v>
          </cell>
        </row>
        <row r="6967">
          <cell r="A6967">
            <v>53561</v>
          </cell>
          <cell r="B6967" t="str">
            <v>CORPORATION</v>
          </cell>
          <cell r="C6967" t="str">
            <v>Compemol Ltda</v>
          </cell>
          <cell r="D6967" t="str">
            <v>Compemol</v>
          </cell>
          <cell r="E6967" t="str">
            <v>BR_CNPJ</v>
          </cell>
          <cell r="F6967" t="str">
            <v>35.188.689/0001-04</v>
          </cell>
        </row>
        <row r="6968">
          <cell r="A6968">
            <v>53578</v>
          </cell>
          <cell r="B6968" t="str">
            <v>CORPORATION</v>
          </cell>
          <cell r="C6968" t="str">
            <v>Brb Materiais De Construcao Ltda</v>
          </cell>
          <cell r="D6968" t="str">
            <v>Cd Brb (Brasferro)</v>
          </cell>
          <cell r="E6968" t="str">
            <v>BR_CNPJ</v>
          </cell>
          <cell r="F6968" t="str">
            <v>54.629.141/0003-69</v>
          </cell>
          <cell r="G6968" t="str">
            <v>BRASFERRO</v>
          </cell>
        </row>
        <row r="6969">
          <cell r="A6969">
            <v>53579</v>
          </cell>
          <cell r="B6969" t="str">
            <v>CORPORATION</v>
          </cell>
          <cell r="C6969" t="str">
            <v>Oxi Expresso Comercio De Gases Especiais Ltda</v>
          </cell>
          <cell r="D6969" t="str">
            <v>Oxi Expresso Comercio De Oxigenio</v>
          </cell>
          <cell r="E6969" t="str">
            <v>BR_CNPJ</v>
          </cell>
          <cell r="F6969" t="str">
            <v>04.845.919/0001-37</v>
          </cell>
        </row>
        <row r="6970">
          <cell r="A6970">
            <v>53585</v>
          </cell>
          <cell r="B6970" t="str">
            <v>CORPORATION</v>
          </cell>
          <cell r="C6970" t="str">
            <v>Gns Gases E Equipamentos Ltda</v>
          </cell>
          <cell r="D6970" t="str">
            <v>Gas Norte</v>
          </cell>
          <cell r="E6970" t="str">
            <v>BR_CNPJ</v>
          </cell>
          <cell r="F6970" t="str">
            <v>34.472.085/0001-22</v>
          </cell>
        </row>
        <row r="6971">
          <cell r="A6971">
            <v>53587</v>
          </cell>
          <cell r="B6971" t="str">
            <v>CORPORATION</v>
          </cell>
          <cell r="C6971" t="str">
            <v>Rs Silva Comercio Varejista De Pecas Automotivos Ltda</v>
          </cell>
          <cell r="D6971" t="str">
            <v>Rr Ferramentas</v>
          </cell>
          <cell r="E6971" t="str">
            <v>BR_CNPJ</v>
          </cell>
          <cell r="F6971" t="str">
            <v>46.694.663/0001-54</v>
          </cell>
        </row>
        <row r="6972">
          <cell r="A6972">
            <v>53595</v>
          </cell>
          <cell r="B6972" t="str">
            <v>CORPORATION</v>
          </cell>
          <cell r="C6972" t="str">
            <v>Soma Distribuidora Ltda</v>
          </cell>
          <cell r="D6972" t="str">
            <v>Soma Distribuidora</v>
          </cell>
          <cell r="E6972" t="str">
            <v>BR_CNPJ</v>
          </cell>
          <cell r="F6972" t="str">
            <v>24.289.016/0001-24</v>
          </cell>
        </row>
        <row r="6973">
          <cell r="A6973">
            <v>53596</v>
          </cell>
          <cell r="B6973" t="str">
            <v>CORPORATION</v>
          </cell>
          <cell r="C6973" t="str">
            <v>Jose Rubens De Oliveira</v>
          </cell>
          <cell r="D6973" t="str">
            <v>Dianopolis Oxigenio</v>
          </cell>
          <cell r="E6973" t="str">
            <v>BR_CNPJ</v>
          </cell>
          <cell r="F6973" t="str">
            <v>00.727.515/0001-98</v>
          </cell>
        </row>
        <row r="6974">
          <cell r="A6974">
            <v>53619</v>
          </cell>
          <cell r="B6974" t="str">
            <v>CORPORATION</v>
          </cell>
          <cell r="C6974" t="str">
            <v>S. H. Vieira</v>
          </cell>
          <cell r="E6974" t="str">
            <v>BR_CNPJ</v>
          </cell>
          <cell r="F6974" t="str">
            <v>20.264.306/0001-62</v>
          </cell>
          <cell r="G6974" t="str">
            <v>S. H. Vieira</v>
          </cell>
        </row>
        <row r="6975">
          <cell r="A6975">
            <v>53651</v>
          </cell>
          <cell r="B6975" t="str">
            <v>CORPORATION</v>
          </cell>
          <cell r="C6975" t="str">
            <v>J2d Do Brasil Ltda</v>
          </cell>
          <cell r="D6975" t="str">
            <v>J2d Comercio De Ferragens E Ferramentas E Demais</v>
          </cell>
          <cell r="E6975" t="str">
            <v>BR_CNPJ</v>
          </cell>
          <cell r="F6975" t="str">
            <v>25.264.826/0001-99</v>
          </cell>
        </row>
        <row r="6976">
          <cell r="A6976">
            <v>53662</v>
          </cell>
          <cell r="B6976" t="str">
            <v>CORPORATION</v>
          </cell>
          <cell r="C6976" t="str">
            <v>Amazonas Distribuidora Ltda</v>
          </cell>
          <cell r="D6976" t="str">
            <v>Amazonas Distribuidora</v>
          </cell>
          <cell r="E6976" t="str">
            <v>BR_CNPJ</v>
          </cell>
          <cell r="F6976" t="str">
            <v>39.746.810/0001-27</v>
          </cell>
        </row>
        <row r="6977">
          <cell r="A6977">
            <v>53665</v>
          </cell>
          <cell r="B6977" t="str">
            <v>CORPORATION</v>
          </cell>
          <cell r="C6977" t="str">
            <v>Construdecor S/A</v>
          </cell>
          <cell r="D6977" t="str">
            <v>Sodimac Ribeirao Preto</v>
          </cell>
          <cell r="E6977" t="str">
            <v>BR_CNPJ</v>
          </cell>
          <cell r="F6977" t="str">
            <v>03.439.316/0070-02</v>
          </cell>
          <cell r="G6977" t="str">
            <v>SODIMAC</v>
          </cell>
        </row>
        <row r="6978">
          <cell r="A6978">
            <v>53696</v>
          </cell>
          <cell r="B6978" t="str">
            <v>CORPORATION</v>
          </cell>
          <cell r="C6978" t="str">
            <v>Mj Comercio E Atacado Ltda</v>
          </cell>
          <cell r="D6978" t="str">
            <v>Fortes Ferragista</v>
          </cell>
          <cell r="E6978" t="str">
            <v>BR_CNPJ</v>
          </cell>
          <cell r="F6978" t="str">
            <v>59.576.246/0001-59</v>
          </cell>
          <cell r="G6978" t="str">
            <v xml:space="preserve">MJ COMERCIO </v>
          </cell>
        </row>
        <row r="6979">
          <cell r="A6979">
            <v>53750</v>
          </cell>
          <cell r="B6979" t="str">
            <v>CORPORATION</v>
          </cell>
          <cell r="C6979" t="str">
            <v>Gd Atacadista Ltda</v>
          </cell>
          <cell r="D6979" t="str">
            <v>Gd Atacadista</v>
          </cell>
          <cell r="E6979" t="str">
            <v>BR_CNPJ</v>
          </cell>
          <cell r="F6979" t="str">
            <v>58.263.626/0001-70</v>
          </cell>
        </row>
        <row r="6980">
          <cell r="A6980">
            <v>53753</v>
          </cell>
          <cell r="B6980" t="str">
            <v>CORPORATION</v>
          </cell>
          <cell r="C6980" t="str">
            <v>Lm Ferramentas Ltda</v>
          </cell>
          <cell r="D6980" t="str">
            <v>Lm Ferramentas</v>
          </cell>
          <cell r="E6980" t="str">
            <v>BR_CNPJ</v>
          </cell>
          <cell r="F6980" t="str">
            <v>59.842.576/0001-49</v>
          </cell>
        </row>
        <row r="6981">
          <cell r="A6981">
            <v>53755</v>
          </cell>
          <cell r="B6981" t="str">
            <v>CORPORATION</v>
          </cell>
          <cell r="C6981" t="str">
            <v>Ls Ferragens</v>
          </cell>
          <cell r="D6981" t="str">
            <v>Ls Ferragens</v>
          </cell>
          <cell r="E6981" t="str">
            <v>BR_CNPJ</v>
          </cell>
          <cell r="F6981" t="str">
            <v>48.592.413/0001-39</v>
          </cell>
        </row>
        <row r="6982">
          <cell r="A6982">
            <v>53790</v>
          </cell>
          <cell r="B6982" t="str">
            <v>CORPORATION</v>
          </cell>
          <cell r="C6982" t="str">
            <v>Triameira Ferramentas Ltda</v>
          </cell>
          <cell r="D6982" t="str">
            <v>Trianorte 2</v>
          </cell>
          <cell r="E6982" t="str">
            <v>BR_CNPJ</v>
          </cell>
          <cell r="F6982" t="str">
            <v>12.605.511/0001-16</v>
          </cell>
          <cell r="G6982" t="str">
            <v>TRIANORTE</v>
          </cell>
        </row>
        <row r="6983">
          <cell r="A6983">
            <v>53802</v>
          </cell>
          <cell r="B6983" t="str">
            <v>CORPORATION</v>
          </cell>
          <cell r="C6983" t="str">
            <v>Janaina Pereira Pecanha</v>
          </cell>
          <cell r="D6983" t="str">
            <v>Jjcorp Robotica Avancada</v>
          </cell>
          <cell r="E6983" t="str">
            <v>BR_CNPJ</v>
          </cell>
          <cell r="F6983" t="str">
            <v>60.446.238/0001-77</v>
          </cell>
          <cell r="G6983" t="str">
            <v>PROMA ROBOTICA</v>
          </cell>
        </row>
        <row r="6984">
          <cell r="A6984">
            <v>53822</v>
          </cell>
          <cell r="B6984" t="str">
            <v>CORPORATION</v>
          </cell>
          <cell r="C6984" t="str">
            <v>Pier Brasil Comercio De Maquinas, Ferramentas E Acessorios Industriais Ltda</v>
          </cell>
          <cell r="D6984" t="str">
            <v>Pier Brasil Comercio De Maquinas, Ferramentas E Acessorios Industriais Ltda</v>
          </cell>
          <cell r="E6984" t="str">
            <v>BR_CNPJ</v>
          </cell>
          <cell r="F6984" t="str">
            <v>54.043.090/0001-27</v>
          </cell>
        </row>
        <row r="6985">
          <cell r="A6985">
            <v>53852</v>
          </cell>
          <cell r="B6985" t="str">
            <v>CORPORATION</v>
          </cell>
          <cell r="C6985" t="str">
            <v>Wide Comercial Ltda</v>
          </cell>
          <cell r="D6985" t="str">
            <v>Wide Comercial</v>
          </cell>
          <cell r="E6985" t="str">
            <v>BR_CNPJ</v>
          </cell>
          <cell r="F6985" t="str">
            <v>47.304.790/0001-62</v>
          </cell>
        </row>
        <row r="6986">
          <cell r="A6986">
            <v>53881</v>
          </cell>
          <cell r="B6986" t="str">
            <v>CORPORATION</v>
          </cell>
          <cell r="C6986" t="str">
            <v>Metal Ferreira Comercio De Aco Ltda</v>
          </cell>
          <cell r="D6986" t="str">
            <v>Brasfer - O Lojao Do Aco</v>
          </cell>
          <cell r="E6986" t="str">
            <v>BR_CNPJ</v>
          </cell>
          <cell r="F6986" t="str">
            <v>35.815.486/0004-43</v>
          </cell>
          <cell r="G6986" t="str">
            <v>Brasfer - O Lojao Do Aco</v>
          </cell>
        </row>
        <row r="6987">
          <cell r="A6987">
            <v>53892</v>
          </cell>
          <cell r="B6987" t="str">
            <v>CORPORATION</v>
          </cell>
          <cell r="C6987" t="str">
            <v>Construsol Atacadista De Mercadorias Ltda</v>
          </cell>
          <cell r="D6987" t="str">
            <v>Construsol Atacadista</v>
          </cell>
          <cell r="E6987" t="str">
            <v>BR_CNPJ</v>
          </cell>
          <cell r="F6987" t="str">
            <v>07.391.638/0001-40</v>
          </cell>
        </row>
        <row r="6988">
          <cell r="A6988">
            <v>53921</v>
          </cell>
          <cell r="B6988" t="str">
            <v>CORPORATION</v>
          </cell>
          <cell r="C6988" t="str">
            <v>Importadora E Distribuidora Connect Center Ltda</v>
          </cell>
          <cell r="D6988" t="str">
            <v>Connect Center</v>
          </cell>
          <cell r="E6988" t="str">
            <v>BR_CNPJ</v>
          </cell>
          <cell r="F6988" t="str">
            <v>32.149.642/0001-43</v>
          </cell>
        </row>
        <row r="6989">
          <cell r="A6989">
            <v>53950</v>
          </cell>
          <cell r="B6989" t="str">
            <v>CORPORATION</v>
          </cell>
          <cell r="C6989" t="str">
            <v>Cordeiro Ferragista Slu Ltda</v>
          </cell>
          <cell r="D6989" t="str">
            <v>Cordeiro Ferragista</v>
          </cell>
          <cell r="E6989" t="str">
            <v>BR_CNPJ</v>
          </cell>
          <cell r="F6989" t="str">
            <v>61.063.930/0001-89</v>
          </cell>
        </row>
        <row r="6990">
          <cell r="A6990">
            <v>53952</v>
          </cell>
          <cell r="B6990" t="str">
            <v>CORPORATION</v>
          </cell>
          <cell r="C6990" t="str">
            <v>Aline Da Silva Siqueira Castro</v>
          </cell>
          <cell r="D6990" t="str">
            <v>Mundial Ferramentas</v>
          </cell>
          <cell r="E6990" t="str">
            <v>BR_CNPJ</v>
          </cell>
          <cell r="F6990" t="str">
            <v>37.561.227/0001-16</v>
          </cell>
        </row>
        <row r="6991">
          <cell r="A6991">
            <v>53953</v>
          </cell>
          <cell r="B6991" t="str">
            <v>CORPORATION</v>
          </cell>
          <cell r="C6991" t="str">
            <v>Rego Barros &amp; Cia Ltda</v>
          </cell>
          <cell r="D6991" t="str">
            <v>3-D</v>
          </cell>
          <cell r="E6991" t="str">
            <v>BR_CNPJ</v>
          </cell>
          <cell r="F6991" t="str">
            <v>11.224.749/0001-39</v>
          </cell>
        </row>
        <row r="6992">
          <cell r="A6992">
            <v>53954</v>
          </cell>
          <cell r="B6992" t="str">
            <v>CORPORATION</v>
          </cell>
          <cell r="C6992" t="str">
            <v>Cooperativa Agraria De Machado Limitada</v>
          </cell>
          <cell r="D6992" t="str">
            <v>Coopama</v>
          </cell>
          <cell r="E6992" t="str">
            <v>BR_CNPJ</v>
          </cell>
          <cell r="F6992" t="str">
            <v>22.226.476/0028-06</v>
          </cell>
        </row>
        <row r="6993">
          <cell r="A6993">
            <v>53956</v>
          </cell>
          <cell r="B6993" t="str">
            <v>CORPORATION</v>
          </cell>
          <cell r="C6993" t="str">
            <v>Mayer E Piekarski Ltda</v>
          </cell>
          <cell r="D6993" t="str">
            <v>Mayer E Piekarski Ltda</v>
          </cell>
          <cell r="E6993" t="str">
            <v>BR_CNPJ</v>
          </cell>
          <cell r="F6993" t="str">
            <v>57.037.421/0001-04</v>
          </cell>
        </row>
        <row r="6994">
          <cell r="A6994">
            <v>53987</v>
          </cell>
          <cell r="B6994" t="str">
            <v>CORPORATION</v>
          </cell>
          <cell r="C6994" t="str">
            <v>Agro Quilombense Agropecuaria Ltda</v>
          </cell>
          <cell r="D6994" t="str">
            <v>Agro Quilombense</v>
          </cell>
          <cell r="E6994" t="str">
            <v>BR_CNPJ</v>
          </cell>
          <cell r="F6994" t="str">
            <v>30.545.373/0001-09</v>
          </cell>
        </row>
        <row r="6995">
          <cell r="A6995">
            <v>54015</v>
          </cell>
          <cell r="B6995" t="str">
            <v>CORPORATION</v>
          </cell>
          <cell r="C6995" t="str">
            <v>Nishida Multiloja Ltda-Me</v>
          </cell>
          <cell r="D6995" t="str">
            <v>Nishida Multiloja Ltda-Me</v>
          </cell>
          <cell r="E6995" t="str">
            <v>BR_CNPJ</v>
          </cell>
          <cell r="F6995" t="str">
            <v>02.421.848/0001-10</v>
          </cell>
        </row>
        <row r="6996">
          <cell r="A6996">
            <v>54024</v>
          </cell>
          <cell r="B6996" t="str">
            <v>CORPORATION</v>
          </cell>
          <cell r="C6996" t="str">
            <v>Rufino Da Costa &amp; Filhos Ltda</v>
          </cell>
          <cell r="D6996" t="str">
            <v>Casa Parafuso</v>
          </cell>
          <cell r="E6996" t="str">
            <v>BR_CNPJ</v>
          </cell>
          <cell r="F6996" t="str">
            <v>69.243.137/0001-73</v>
          </cell>
        </row>
        <row r="6997">
          <cell r="A6997">
            <v>54057</v>
          </cell>
          <cell r="B6997" t="str">
            <v>CORPORATION</v>
          </cell>
          <cell r="C6997" t="str">
            <v>Excelence Comercio E Servicos Ltda</v>
          </cell>
          <cell r="D6997" t="str">
            <v>Dm Log</v>
          </cell>
          <cell r="E6997" t="str">
            <v>BR_CNPJ</v>
          </cell>
          <cell r="F6997" t="str">
            <v>28.564.416/0001-51</v>
          </cell>
        </row>
        <row r="6998">
          <cell r="A6998">
            <v>54068</v>
          </cell>
          <cell r="B6998" t="str">
            <v>CORPORATION</v>
          </cell>
          <cell r="C6998" t="str">
            <v>Dielma Souza Guimaraes Rezende</v>
          </cell>
          <cell r="D6998" t="str">
            <v>Mundial Eletronica</v>
          </cell>
          <cell r="E6998" t="str">
            <v>BR_CNPJ</v>
          </cell>
          <cell r="F6998" t="str">
            <v>08.337.436/0001-82</v>
          </cell>
        </row>
        <row r="6999">
          <cell r="A6999">
            <v>54070</v>
          </cell>
          <cell r="B6999" t="str">
            <v>CORPORATION</v>
          </cell>
          <cell r="C6999" t="str">
            <v>Carioba Artefatos De Pinus Ltda</v>
          </cell>
          <cell r="E6999" t="str">
            <v>BR_CNPJ</v>
          </cell>
          <cell r="F6999" t="str">
            <v>04.600.126/0001-58</v>
          </cell>
        </row>
        <row r="7000">
          <cell r="A7000">
            <v>54095</v>
          </cell>
          <cell r="B7000" t="str">
            <v>CORPORATION</v>
          </cell>
          <cell r="C7000" t="str">
            <v>Juan Carlos De Almeida Filho Ltda</v>
          </cell>
          <cell r="D7000" t="str">
            <v>Ferraco</v>
          </cell>
          <cell r="E7000" t="str">
            <v>BR_CNPJ</v>
          </cell>
          <cell r="F7000" t="str">
            <v>59.652.969/0001-90</v>
          </cell>
        </row>
        <row r="7001">
          <cell r="A7001">
            <v>54123</v>
          </cell>
          <cell r="B7001" t="str">
            <v>CORPORATION</v>
          </cell>
          <cell r="C7001" t="str">
            <v>Minas Aco Ltda</v>
          </cell>
          <cell r="D7001" t="str">
            <v>Minasfer</v>
          </cell>
          <cell r="E7001" t="str">
            <v>BR_CNPJ</v>
          </cell>
          <cell r="F7001" t="str">
            <v>18.978.292/0001-05</v>
          </cell>
        </row>
        <row r="7002">
          <cell r="A7002">
            <v>54161</v>
          </cell>
          <cell r="B7002" t="str">
            <v>CORPORATION</v>
          </cell>
          <cell r="C7002" t="str">
            <v>Ferlan Equipamentos, Ferramentas E Maquinas Em Geral Ltda</v>
          </cell>
          <cell r="D7002" t="str">
            <v>Ferlan Equipqmentos</v>
          </cell>
          <cell r="E7002" t="str">
            <v>BR_CNPJ</v>
          </cell>
          <cell r="F7002" t="str">
            <v>47.405.458/0001-94</v>
          </cell>
        </row>
        <row r="7003">
          <cell r="A7003">
            <v>54162</v>
          </cell>
          <cell r="B7003" t="str">
            <v>CORPORATION</v>
          </cell>
          <cell r="C7003" t="str">
            <v>Loja Das Ferragens Comercio De Ferramentas Ltda</v>
          </cell>
          <cell r="D7003" t="str">
            <v>Eletrimaq</v>
          </cell>
          <cell r="E7003" t="str">
            <v>BR_CNPJ</v>
          </cell>
          <cell r="F7003" t="str">
            <v>08.729.969/0001-00</v>
          </cell>
        </row>
        <row r="7004">
          <cell r="A7004">
            <v>54170</v>
          </cell>
          <cell r="B7004" t="str">
            <v>CORPORATION</v>
          </cell>
          <cell r="C7004" t="str">
            <v>Max Vale Ltda</v>
          </cell>
          <cell r="D7004" t="str">
            <v>Max Vale Ltda</v>
          </cell>
          <cell r="E7004" t="str">
            <v>BR_CNPJ</v>
          </cell>
          <cell r="F7004" t="str">
            <v>07.859.403/0001-30</v>
          </cell>
        </row>
        <row r="7005">
          <cell r="A7005">
            <v>54192</v>
          </cell>
          <cell r="B7005" t="str">
            <v>CORPORATION</v>
          </cell>
          <cell r="C7005" t="str">
            <v>V P G Maquinas E Ferramentas Ltda</v>
          </cell>
          <cell r="D7005" t="str">
            <v>Guarapari Maquinas E Ferramentas</v>
          </cell>
          <cell r="E7005" t="str">
            <v>BR_CNPJ</v>
          </cell>
          <cell r="F7005" t="str">
            <v>62.056.259/0001-01</v>
          </cell>
        </row>
        <row r="7006">
          <cell r="A7006">
            <v>54194</v>
          </cell>
          <cell r="B7006" t="str">
            <v>CORPORATION</v>
          </cell>
          <cell r="C7006" t="str">
            <v>Domus Comercio E Importacao Ltda</v>
          </cell>
          <cell r="D7006" t="str">
            <v>Rolandia Colchoes Ltda</v>
          </cell>
          <cell r="E7006" t="str">
            <v>BR_CNPJ</v>
          </cell>
          <cell r="F7006" t="str">
            <v>29.973.604/0002-87</v>
          </cell>
        </row>
        <row r="7007">
          <cell r="A7007">
            <v>54196</v>
          </cell>
          <cell r="B7007" t="str">
            <v>CORPORATION</v>
          </cell>
          <cell r="C7007" t="str">
            <v>Jose Roberto De Alencar</v>
          </cell>
          <cell r="D7007" t="str">
            <v>Mel Magazan</v>
          </cell>
          <cell r="E7007" t="str">
            <v>BR_CNPJ</v>
          </cell>
          <cell r="F7007" t="str">
            <v>03.832.526/0001-26</v>
          </cell>
        </row>
        <row r="7008">
          <cell r="A7008">
            <v>54199</v>
          </cell>
          <cell r="B7008" t="str">
            <v>CORPORATION</v>
          </cell>
          <cell r="C7008" t="str">
            <v>Jc Belo Comercio E Representacao Ltda</v>
          </cell>
          <cell r="D7008" t="str">
            <v>Refil</v>
          </cell>
          <cell r="E7008" t="str">
            <v>BR_CNPJ</v>
          </cell>
          <cell r="F7008" t="str">
            <v>05.659.689/0001-84</v>
          </cell>
        </row>
        <row r="7009">
          <cell r="A7009">
            <v>54224</v>
          </cell>
          <cell r="B7009" t="str">
            <v>CORPORATION</v>
          </cell>
          <cell r="C7009" t="str">
            <v>Rp Controls Montagens E Automacao Industrial Ltda</v>
          </cell>
          <cell r="D7009" t="str">
            <v>Rp Controls</v>
          </cell>
          <cell r="E7009" t="str">
            <v>BR_CNPJ</v>
          </cell>
          <cell r="F7009" t="str">
            <v>14.712.890/0001-79</v>
          </cell>
        </row>
        <row r="7010">
          <cell r="A7010">
            <v>54231</v>
          </cell>
          <cell r="B7010" t="str">
            <v>CORPORATION</v>
          </cell>
          <cell r="C7010" t="str">
            <v>Natalino Jose Pereira</v>
          </cell>
          <cell r="E7010" t="str">
            <v>BR_CNPJ</v>
          </cell>
          <cell r="F7010" t="str">
            <v>04.121.359/0001-78</v>
          </cell>
        </row>
        <row r="7011">
          <cell r="A7011">
            <v>54240</v>
          </cell>
          <cell r="B7011" t="str">
            <v>CORPORATION</v>
          </cell>
          <cell r="C7011" t="str">
            <v>Vappore X Ltda</v>
          </cell>
          <cell r="D7011" t="str">
            <v>Vappore X Ltda</v>
          </cell>
          <cell r="E7011" t="str">
            <v>BR_CNPJ</v>
          </cell>
          <cell r="F7011" t="str">
            <v>57.709.281/0002-54</v>
          </cell>
        </row>
        <row r="7012">
          <cell r="A7012">
            <v>54260</v>
          </cell>
          <cell r="B7012" t="str">
            <v>CORPORATION</v>
          </cell>
          <cell r="C7012" t="str">
            <v>Mercadinho Das Pecas Ltda</v>
          </cell>
          <cell r="D7012" t="str">
            <v>Mercadinho Das Pecas</v>
          </cell>
          <cell r="E7012" t="str">
            <v>BR_CNPJ</v>
          </cell>
          <cell r="F7012" t="str">
            <v>00.443.617/0001-81</v>
          </cell>
        </row>
        <row r="7013">
          <cell r="A7013">
            <v>54285</v>
          </cell>
          <cell r="B7013" t="str">
            <v>CORPORATION</v>
          </cell>
          <cell r="C7013" t="str">
            <v>Madesquina Comercio De Madeiras Ltda</v>
          </cell>
          <cell r="D7013" t="str">
            <v>Madesquina Comercio De Madeiras Ltda</v>
          </cell>
          <cell r="E7013" t="str">
            <v>BR_CNPJ</v>
          </cell>
          <cell r="F7013" t="str">
            <v>05.823.694/0001-80</v>
          </cell>
        </row>
        <row r="7014">
          <cell r="A7014">
            <v>54289</v>
          </cell>
          <cell r="B7014" t="str">
            <v>CORPORATION</v>
          </cell>
          <cell r="C7014" t="str">
            <v>44.097.349 Heber Antonio Perini</v>
          </cell>
          <cell r="D7014" t="str">
            <v>Heber Antonio Perini</v>
          </cell>
          <cell r="E7014" t="str">
            <v>BR_CNPJ</v>
          </cell>
          <cell r="F7014" t="str">
            <v>44.097.349/0001-69</v>
          </cell>
        </row>
        <row r="7015">
          <cell r="A7015">
            <v>54333</v>
          </cell>
          <cell r="B7015" t="str">
            <v>CORPORATION</v>
          </cell>
          <cell r="C7015" t="str">
            <v>Louback Pereira Comercio De Parafusos E Ferramentas Ltda</v>
          </cell>
          <cell r="D7015" t="str">
            <v>Parafuso E Cia Recebimento</v>
          </cell>
          <cell r="E7015" t="str">
            <v>BR_CNPJ</v>
          </cell>
          <cell r="F7015" t="str">
            <v>57.012.661/0001-54</v>
          </cell>
          <cell r="G7015" t="str">
            <v>PARAFUSO E CIA</v>
          </cell>
        </row>
        <row r="7016">
          <cell r="A7016">
            <v>54367</v>
          </cell>
          <cell r="B7016" t="str">
            <v>CORPORATION</v>
          </cell>
          <cell r="C7016" t="str">
            <v>Nl Tintas E Ferragens S/A</v>
          </cell>
          <cell r="D7016" t="str">
            <v>Nl Tintas E Ferragens (Cd)</v>
          </cell>
          <cell r="E7016" t="str">
            <v>BR_CNPJ</v>
          </cell>
          <cell r="F7016" t="str">
            <v>14.072.798/0014-06</v>
          </cell>
          <cell r="G7016" t="str">
            <v xml:space="preserve">Nl Tintas </v>
          </cell>
        </row>
        <row r="7017">
          <cell r="A7017">
            <v>54408</v>
          </cell>
          <cell r="B7017" t="str">
            <v>CORPORATION</v>
          </cell>
          <cell r="C7017" t="str">
            <v>Ferramac Ferramentas E Equipamentos De Seguranca Ltda</v>
          </cell>
          <cell r="D7017" t="str">
            <v>Ferramac Urbelândia</v>
          </cell>
          <cell r="E7017" t="str">
            <v>BR_CNPJ</v>
          </cell>
          <cell r="F7017" t="str">
            <v>11.685.924/0002-76</v>
          </cell>
          <cell r="G7017" t="str">
            <v>FERRAMAC</v>
          </cell>
        </row>
        <row r="7018">
          <cell r="A7018">
            <v>54531</v>
          </cell>
          <cell r="B7018" t="str">
            <v>CORPORATION</v>
          </cell>
          <cell r="C7018" t="str">
            <v>Fernando Gaspar Peixoto</v>
          </cell>
          <cell r="D7018" t="str">
            <v>Metal Aco</v>
          </cell>
          <cell r="E7018" t="str">
            <v>BR_CNPJ</v>
          </cell>
          <cell r="F7018" t="str">
            <v>11.425.291/0001-86</v>
          </cell>
        </row>
        <row r="7019">
          <cell r="A7019">
            <v>54533</v>
          </cell>
          <cell r="B7019" t="str">
            <v>CORPORATION</v>
          </cell>
          <cell r="C7019" t="str">
            <v>Leticia Valadao De Oliveira 42008877892</v>
          </cell>
          <cell r="D7019" t="str">
            <v>Lb Consumiveis E Abrasivos</v>
          </cell>
          <cell r="E7019" t="str">
            <v>BR_CNPJ</v>
          </cell>
          <cell r="F7019" t="str">
            <v>42.194.395/0001-50</v>
          </cell>
        </row>
        <row r="7020">
          <cell r="A7020">
            <v>54534</v>
          </cell>
          <cell r="B7020" t="str">
            <v>CORPORATION</v>
          </cell>
          <cell r="C7020" t="str">
            <v>Wale Nova Ferramentas Ltda</v>
          </cell>
          <cell r="D7020" t="str">
            <v>Wale Nova Ferramentas</v>
          </cell>
          <cell r="E7020" t="str">
            <v>BR_CNPJ</v>
          </cell>
          <cell r="F7020" t="str">
            <v>53.159.651/0001-95</v>
          </cell>
        </row>
        <row r="7021">
          <cell r="A7021">
            <v>54621</v>
          </cell>
          <cell r="B7021" t="str">
            <v>CORPORATION</v>
          </cell>
          <cell r="C7021" t="str">
            <v>Julia Xavier Guilherme 15587996646</v>
          </cell>
          <cell r="D7021" t="str">
            <v>Multimaquinas</v>
          </cell>
          <cell r="E7021" t="str">
            <v>BR_CNPJ</v>
          </cell>
          <cell r="F7021" t="str">
            <v>40.351.910/0001-33</v>
          </cell>
        </row>
        <row r="7022">
          <cell r="A7022">
            <v>54660</v>
          </cell>
          <cell r="B7022" t="str">
            <v>CORPORATION</v>
          </cell>
          <cell r="C7022" t="str">
            <v>Ruzam - Comercio E Representacoes Ltda</v>
          </cell>
          <cell r="D7022" t="str">
            <v>Ruzam Parafusos E Ferramentas</v>
          </cell>
          <cell r="E7022" t="str">
            <v>BR_CNPJ</v>
          </cell>
          <cell r="F7022" t="str">
            <v>18.383.568/0001-02</v>
          </cell>
        </row>
        <row r="7023">
          <cell r="A7023">
            <v>54667</v>
          </cell>
          <cell r="B7023" t="str">
            <v>CORPORATION</v>
          </cell>
          <cell r="C7023" t="str">
            <v>Boutique Do Construtor Slu Ltda</v>
          </cell>
          <cell r="D7023" t="str">
            <v>Boutique Do Construtor</v>
          </cell>
          <cell r="E7023" t="str">
            <v>BR_CNPJ</v>
          </cell>
          <cell r="F7023" t="str">
            <v>51.807.567/0001-05</v>
          </cell>
        </row>
        <row r="7024">
          <cell r="A7024">
            <v>54682</v>
          </cell>
          <cell r="B7024" t="str">
            <v>CORPORATION</v>
          </cell>
          <cell r="C7024" t="str">
            <v>Solar Golden Ltda</v>
          </cell>
          <cell r="D7024" t="str">
            <v>Solar Golden</v>
          </cell>
          <cell r="E7024" t="str">
            <v>BR_CNPJ</v>
          </cell>
          <cell r="F7024" t="str">
            <v>52.503.374/0001-23</v>
          </cell>
        </row>
        <row r="7025">
          <cell r="A7025">
            <v>54773</v>
          </cell>
          <cell r="B7025" t="str">
            <v>CORPORATION</v>
          </cell>
          <cell r="C7025" t="str">
            <v>Fazendaco Comercio De Ferro E Aco Ltda</v>
          </cell>
          <cell r="D7025" t="str">
            <v>Fazendaco Comercio De Ferro E Aco Ltda</v>
          </cell>
          <cell r="E7025" t="str">
            <v>BR_CNPJ</v>
          </cell>
          <cell r="F7025" t="str">
            <v>34.800.085/0001-04</v>
          </cell>
        </row>
        <row r="7026">
          <cell r="A7026">
            <v>54774</v>
          </cell>
          <cell r="B7026" t="str">
            <v>CORPORATION</v>
          </cell>
          <cell r="C7026" t="str">
            <v>A Padilha Ltda</v>
          </cell>
          <cell r="D7026" t="str">
            <v>Paraense Ferramentas</v>
          </cell>
          <cell r="E7026" t="str">
            <v>BR_CNPJ</v>
          </cell>
          <cell r="F7026" t="str">
            <v>02.999.105/0001-21</v>
          </cell>
        </row>
        <row r="7027">
          <cell r="A7027">
            <v>54775</v>
          </cell>
          <cell r="B7027" t="str">
            <v>CORPORATION</v>
          </cell>
          <cell r="C7027" t="str">
            <v>Agrocampo Agroveterinaria Ltda</v>
          </cell>
          <cell r="D7027" t="str">
            <v>Agrocampo Buritis</v>
          </cell>
          <cell r="E7027" t="str">
            <v>BR_CNPJ</v>
          </cell>
          <cell r="F7027" t="str">
            <v>33.190.214/0001-27</v>
          </cell>
        </row>
        <row r="7028">
          <cell r="A7028">
            <v>54785</v>
          </cell>
          <cell r="B7028" t="str">
            <v>CORPORATION</v>
          </cell>
          <cell r="C7028" t="str">
            <v>Jailson Vieira</v>
          </cell>
          <cell r="D7028" t="str">
            <v>Jv Comercio E Servicos Navais</v>
          </cell>
          <cell r="E7028" t="str">
            <v>BR_CNPJ</v>
          </cell>
          <cell r="F7028" t="str">
            <v>21.684.009/0001-39</v>
          </cell>
        </row>
        <row r="7029">
          <cell r="A7029">
            <v>54840</v>
          </cell>
          <cell r="B7029" t="str">
            <v>CORPORATION</v>
          </cell>
          <cell r="C7029" t="str">
            <v>Marcio Rodrigues Agropecuaria Ltda</v>
          </cell>
          <cell r="E7029" t="str">
            <v>BR_CNPJ</v>
          </cell>
          <cell r="F7029" t="str">
            <v>38.573.416/0002-52</v>
          </cell>
        </row>
        <row r="7030">
          <cell r="A7030">
            <v>54877</v>
          </cell>
          <cell r="B7030" t="str">
            <v>CORPORATION</v>
          </cell>
          <cell r="C7030" t="str">
            <v>Calha Box Acabamentos Ltda</v>
          </cell>
          <cell r="D7030" t="str">
            <v>Calha Box Acabamentos</v>
          </cell>
          <cell r="E7030" t="str">
            <v>BR_CNPJ</v>
          </cell>
          <cell r="F7030" t="str">
            <v>03.422.099/0001-08</v>
          </cell>
        </row>
        <row r="7031">
          <cell r="A7031">
            <v>55036</v>
          </cell>
          <cell r="B7031" t="str">
            <v>CORPORATION</v>
          </cell>
          <cell r="C7031" t="str">
            <v>57.556.785 Daniel Vitor Rodrigues Da Silva</v>
          </cell>
          <cell r="D7031" t="str">
            <v>Daniel Vitor</v>
          </cell>
          <cell r="E7031" t="str">
            <v>BR_CNPJ</v>
          </cell>
          <cell r="F7031" t="str">
            <v>57.556.785/0001-09</v>
          </cell>
        </row>
        <row r="7032">
          <cell r="A7032">
            <v>55076</v>
          </cell>
          <cell r="B7032" t="str">
            <v>CORPORATION</v>
          </cell>
          <cell r="C7032" t="str">
            <v>Amaral Ferramentas E Parafusos Ltda</v>
          </cell>
          <cell r="D7032" t="str">
            <v>Amaral Ferramentas E Parafusos Ltda</v>
          </cell>
          <cell r="E7032" t="str">
            <v>BR_CNPJ</v>
          </cell>
          <cell r="F7032" t="str">
            <v>61.559.230/0001-80</v>
          </cell>
        </row>
        <row r="7033">
          <cell r="A7033">
            <v>55390</v>
          </cell>
          <cell r="B7033" t="str">
            <v>CORPORATION</v>
          </cell>
          <cell r="C7033" t="str">
            <v>E.D.G Abrasivos E Ferramentas Ltda</v>
          </cell>
          <cell r="D7033" t="str">
            <v>E.D.G Abrasivos E Ferramentas</v>
          </cell>
          <cell r="E7033" t="str">
            <v>BR_CNPJ</v>
          </cell>
          <cell r="F7033" t="str">
            <v>54.734.838/0001-38</v>
          </cell>
        </row>
        <row r="7034">
          <cell r="A7034">
            <v>55947</v>
          </cell>
          <cell r="B7034" t="str">
            <v>CORPORATION</v>
          </cell>
          <cell r="C7034" t="str">
            <v>Mafisa Ferramentas E Equipamentos Ltda</v>
          </cell>
          <cell r="D7034" t="str">
            <v>Mafisa</v>
          </cell>
          <cell r="E7034" t="str">
            <v>BR_CNPJ</v>
          </cell>
          <cell r="F7034" t="str">
            <v>53.066.640/0001-60</v>
          </cell>
        </row>
        <row r="7035">
          <cell r="A7035">
            <v>55953</v>
          </cell>
          <cell r="B7035" t="str">
            <v>CORPORATION</v>
          </cell>
          <cell r="C7035" t="str">
            <v>Casa Da Construcao Santos Ltda</v>
          </cell>
          <cell r="D7035" t="str">
            <v>Casa Da Construcao</v>
          </cell>
          <cell r="E7035" t="str">
            <v>BR_CNPJ</v>
          </cell>
          <cell r="F7035" t="str">
            <v>37.907.145/0001-80</v>
          </cell>
        </row>
        <row r="7036">
          <cell r="A7036">
            <v>55967</v>
          </cell>
          <cell r="B7036" t="str">
            <v>CORPORATION</v>
          </cell>
          <cell r="C7036" t="str">
            <v>Gemac Equipamentos Ltda</v>
          </cell>
          <cell r="D7036" t="str">
            <v>Gemac Equipamentos</v>
          </cell>
          <cell r="E7036" t="str">
            <v>BR_CNPJ</v>
          </cell>
          <cell r="F7036" t="str">
            <v>63.052.812/0001-09</v>
          </cell>
          <cell r="G7036" t="str">
            <v>GEMAC</v>
          </cell>
        </row>
        <row r="7037">
          <cell r="A7037">
            <v>55975</v>
          </cell>
          <cell r="B7037" t="str">
            <v>CORPORATION</v>
          </cell>
          <cell r="C7037" t="str">
            <v>Bahia Frio Distribuidora Ltda</v>
          </cell>
          <cell r="D7037" t="str">
            <v>Bahia Frio</v>
          </cell>
          <cell r="E7037" t="str">
            <v>BR_CNPJ</v>
          </cell>
          <cell r="F7037" t="str">
            <v>30.307.404/0001-93</v>
          </cell>
        </row>
        <row r="7038">
          <cell r="A7038">
            <v>56182</v>
          </cell>
          <cell r="B7038" t="str">
            <v>CORPORATION</v>
          </cell>
          <cell r="C7038" t="str">
            <v>Brahex - Industria E Comercio De Equipamentos De Refrigeracao Ltda</v>
          </cell>
          <cell r="E7038" t="str">
            <v>BR_CNPJ</v>
          </cell>
          <cell r="F7038" t="str">
            <v>18.117.877/0001-22</v>
          </cell>
        </row>
        <row r="7039">
          <cell r="A7039">
            <v>56195</v>
          </cell>
          <cell r="B7039" t="str">
            <v>CORPORATION</v>
          </cell>
          <cell r="C7039" t="str">
            <v>Parafer Distribuidora Ltda</v>
          </cell>
          <cell r="D7039" t="str">
            <v>Parafer</v>
          </cell>
          <cell r="E7039" t="str">
            <v>BR_CNPJ</v>
          </cell>
          <cell r="F7039" t="str">
            <v>25.288.914/0001-20</v>
          </cell>
        </row>
        <row r="7040">
          <cell r="A7040">
            <v>56277</v>
          </cell>
          <cell r="B7040" t="str">
            <v>CORPORATION</v>
          </cell>
          <cell r="C7040" t="str">
            <v>Ferragista Reparo Ltda</v>
          </cell>
          <cell r="D7040" t="str">
            <v>Ferragista Reparo</v>
          </cell>
          <cell r="E7040" t="str">
            <v>BR_CNPJ</v>
          </cell>
          <cell r="F7040" t="str">
            <v>15.551.064/0001-58</v>
          </cell>
        </row>
        <row r="7041">
          <cell r="A7041">
            <v>56278</v>
          </cell>
          <cell r="B7041" t="str">
            <v>CORPORATION</v>
          </cell>
          <cell r="C7041" t="str">
            <v>P V S Tavares Ltda</v>
          </cell>
          <cell r="D7041" t="str">
            <v>P V S Tavares Ltda</v>
          </cell>
          <cell r="E7041" t="str">
            <v>BR_CNPJ</v>
          </cell>
          <cell r="F7041" t="str">
            <v>61.901.905/0001-27</v>
          </cell>
        </row>
        <row r="7042">
          <cell r="A7042">
            <v>56280</v>
          </cell>
          <cell r="B7042" t="str">
            <v>CORPORATION</v>
          </cell>
          <cell r="C7042" t="str">
            <v>Fermaq Comercio E Servicos Ltda</v>
          </cell>
          <cell r="D7042" t="str">
            <v>Fermaq</v>
          </cell>
          <cell r="E7042" t="str">
            <v>BR_CNPJ</v>
          </cell>
          <cell r="F7042" t="str">
            <v>48.853.118/0001-99</v>
          </cell>
        </row>
        <row r="7043">
          <cell r="A7043">
            <v>56312</v>
          </cell>
          <cell r="B7043" t="str">
            <v>CORPORATION</v>
          </cell>
          <cell r="C7043" t="str">
            <v>Portal Das Soldas Comercio Ltda</v>
          </cell>
          <cell r="D7043" t="str">
            <v>Portal Das Soldas</v>
          </cell>
          <cell r="E7043" t="str">
            <v>BR_CNPJ</v>
          </cell>
          <cell r="F7043" t="str">
            <v>21.859.487/0001-32</v>
          </cell>
        </row>
        <row r="7044">
          <cell r="A7044">
            <v>56315</v>
          </cell>
          <cell r="B7044" t="str">
            <v>CORPORATION</v>
          </cell>
          <cell r="C7044" t="str">
            <v>Fer - Max Ferramentas Ltda</v>
          </cell>
          <cell r="D7044" t="str">
            <v>Fer-Max</v>
          </cell>
          <cell r="E7044" t="str">
            <v>BR_CNPJ</v>
          </cell>
          <cell r="F7044" t="str">
            <v>22.014.876/0001-20</v>
          </cell>
        </row>
        <row r="7045">
          <cell r="A7045">
            <v>56406</v>
          </cell>
          <cell r="B7045" t="str">
            <v>CORPORATION</v>
          </cell>
          <cell r="C7045" t="str">
            <v>Locsoldas Rental &amp; Service Ltda</v>
          </cell>
          <cell r="D7045" t="str">
            <v>Locsoldas Rental &amp; Service</v>
          </cell>
          <cell r="E7045" t="str">
            <v>BR_CNPJ</v>
          </cell>
          <cell r="F7045" t="str">
            <v>61.590.806/0001-71</v>
          </cell>
        </row>
        <row r="7046">
          <cell r="A7046">
            <v>56412</v>
          </cell>
          <cell r="B7046" t="str">
            <v>CORPORATION</v>
          </cell>
          <cell r="C7046" t="str">
            <v>58.117.944 Josue De Sousa Santos</v>
          </cell>
          <cell r="D7046" t="str">
            <v>58.117.944 Josue De Sousa Santos</v>
          </cell>
          <cell r="E7046" t="str">
            <v>BR_CNPJ</v>
          </cell>
          <cell r="F7046" t="str">
            <v>58.117.944/0001-23</v>
          </cell>
          <cell r="G7046" t="str">
            <v>FERRAGISTA BRAUNA</v>
          </cell>
        </row>
        <row r="7047">
          <cell r="A7047">
            <v>56439</v>
          </cell>
          <cell r="B7047" t="str">
            <v>CORPORATION</v>
          </cell>
          <cell r="C7047" t="str">
            <v>Agrofer Produtos &amp; Servicos Ltda</v>
          </cell>
          <cell r="D7047" t="str">
            <v>Agrofer Produtos &amp; Servicos Ltda</v>
          </cell>
          <cell r="E7047" t="str">
            <v>BR_CNPJ</v>
          </cell>
          <cell r="F7047" t="str">
            <v>20.467.235/0001-03</v>
          </cell>
        </row>
        <row r="7048">
          <cell r="A7048">
            <v>56442</v>
          </cell>
          <cell r="B7048" t="str">
            <v>CORPORATION</v>
          </cell>
          <cell r="C7048" t="str">
            <v>Inox Piumhi Ltda</v>
          </cell>
          <cell r="D7048" t="str">
            <v>Inox Piumhi Ltda</v>
          </cell>
          <cell r="E7048" t="str">
            <v>BR_CNPJ</v>
          </cell>
          <cell r="F7048" t="str">
            <v>03.973.664/0001-25</v>
          </cell>
        </row>
        <row r="7049">
          <cell r="A7049">
            <v>56443</v>
          </cell>
          <cell r="B7049" t="str">
            <v>CORPORATION</v>
          </cell>
          <cell r="C7049" t="str">
            <v>G D C De M Gomes Ltda</v>
          </cell>
          <cell r="D7049" t="str">
            <v>Brasfer Parafusos Abrasivos E Ferramentas Em Geral</v>
          </cell>
          <cell r="E7049" t="str">
            <v>BR_CNPJ</v>
          </cell>
          <cell r="F7049" t="str">
            <v>59.375.052/0001-95</v>
          </cell>
        </row>
        <row r="7050">
          <cell r="A7050">
            <v>56446</v>
          </cell>
          <cell r="B7050" t="str">
            <v>CORPORATION</v>
          </cell>
          <cell r="C7050" t="str">
            <v>Brama Materiais Para Construcoes Ltda</v>
          </cell>
          <cell r="D7050" t="str">
            <v>Brama Materiais Para Construcoes Ltda</v>
          </cell>
          <cell r="E7050" t="str">
            <v>BR_CNPJ</v>
          </cell>
          <cell r="F7050" t="str">
            <v>46.144.499/0001-01</v>
          </cell>
        </row>
        <row r="7051">
          <cell r="A7051">
            <v>56447</v>
          </cell>
          <cell r="B7051" t="str">
            <v>CORPORATION</v>
          </cell>
          <cell r="C7051" t="str">
            <v>Eletro Mark'S Comercio De Materiais Para Construcao E Servicos Ltda</v>
          </cell>
          <cell r="D7051" t="str">
            <v>Eletro Mark'S Comercio De Materiais Para Construcao E Servicos Ltda</v>
          </cell>
          <cell r="E7051" t="str">
            <v>BR_CNPJ</v>
          </cell>
          <cell r="F7051" t="str">
            <v>13.844.828/0001-78</v>
          </cell>
        </row>
        <row r="7052">
          <cell r="A7052">
            <v>56448</v>
          </cell>
          <cell r="B7052" t="str">
            <v>CORPORATION</v>
          </cell>
          <cell r="C7052" t="str">
            <v>Aruja Parafusos Ltda</v>
          </cell>
          <cell r="D7052" t="str">
            <v>Aruja Parafusos Ltda</v>
          </cell>
          <cell r="E7052" t="str">
            <v>BR_CNPJ</v>
          </cell>
          <cell r="F7052" t="str">
            <v>52.754.626/0001-97</v>
          </cell>
        </row>
        <row r="7053">
          <cell r="A7053">
            <v>56449</v>
          </cell>
          <cell r="B7053" t="str">
            <v>CORPORATION</v>
          </cell>
          <cell r="C7053" t="str">
            <v>Atual Sp Comercio De Ferramentas E Equipamentos Ltda</v>
          </cell>
          <cell r="D7053" t="str">
            <v>Atual Sp Comercio De Ferramentas E Equipamentos Ltda</v>
          </cell>
          <cell r="E7053" t="str">
            <v>BR_CNPJ</v>
          </cell>
          <cell r="F7053" t="str">
            <v>03.803.271/0001-73</v>
          </cell>
        </row>
        <row r="7054">
          <cell r="A7054">
            <v>56549</v>
          </cell>
          <cell r="B7054" t="str">
            <v>CORPORATION</v>
          </cell>
          <cell r="C7054" t="str">
            <v>Nk Comercio De Ferragens Ltda</v>
          </cell>
          <cell r="D7054" t="str">
            <v>Nk Comercio De Ferragens</v>
          </cell>
          <cell r="E7054" t="str">
            <v>BR_CNPJ</v>
          </cell>
          <cell r="F7054" t="str">
            <v>22.318.534/0001-01</v>
          </cell>
        </row>
        <row r="7055">
          <cell r="A7055">
            <v>56559</v>
          </cell>
          <cell r="B7055" t="str">
            <v>CORPORATION</v>
          </cell>
          <cell r="C7055" t="str">
            <v>Empresa Brasileira De Ferramentas Ltda</v>
          </cell>
          <cell r="D7055" t="str">
            <v>Embrafer</v>
          </cell>
          <cell r="E7055" t="str">
            <v>BR_CNPJ</v>
          </cell>
          <cell r="F7055" t="str">
            <v>40.171.870/0001-48</v>
          </cell>
        </row>
        <row r="7056">
          <cell r="A7056">
            <v>56561</v>
          </cell>
          <cell r="B7056" t="str">
            <v>CORPORATION</v>
          </cell>
          <cell r="C7056" t="str">
            <v>Calacatta Marmores E Granitos Ltda</v>
          </cell>
          <cell r="D7056" t="str">
            <v>Calacatta Marmores E Granitos</v>
          </cell>
          <cell r="E7056" t="str">
            <v>BR_CNPJ</v>
          </cell>
          <cell r="F7056" t="str">
            <v>57.298.017/0001-94</v>
          </cell>
        </row>
        <row r="7057">
          <cell r="A7057">
            <v>56579</v>
          </cell>
          <cell r="B7057" t="str">
            <v>CORPORATION</v>
          </cell>
          <cell r="C7057" t="str">
            <v>J. A. G. Oliveira Junior</v>
          </cell>
          <cell r="D7057" t="str">
            <v>Lumens Materiais E Servicos Eletricos</v>
          </cell>
          <cell r="E7057" t="str">
            <v>BR_CNPJ</v>
          </cell>
          <cell r="F7057" t="str">
            <v>34.133.341/0001-57</v>
          </cell>
        </row>
        <row r="7058">
          <cell r="A7058">
            <v>56580</v>
          </cell>
          <cell r="B7058" t="str">
            <v>CORPORATION</v>
          </cell>
          <cell r="C7058" t="str">
            <v>46.533.769 Fernanda Costa E Silva</v>
          </cell>
          <cell r="E7058" t="str">
            <v>BR_CNPJ</v>
          </cell>
          <cell r="F7058" t="str">
            <v>46.533.769/0001-76</v>
          </cell>
          <cell r="G7058" t="str">
            <v>FERRAGISTA BRAUNA</v>
          </cell>
        </row>
        <row r="7059">
          <cell r="A7059">
            <v>56673</v>
          </cell>
          <cell r="B7059" t="str">
            <v>CORPORATION</v>
          </cell>
          <cell r="C7059" t="str">
            <v>Vt Ferramentas Ltda</v>
          </cell>
          <cell r="D7059" t="str">
            <v>Vt Ferramentas</v>
          </cell>
          <cell r="E7059" t="str">
            <v>BR_CNPJ</v>
          </cell>
          <cell r="F7059" t="str">
            <v>62.055.398/0001-10</v>
          </cell>
        </row>
        <row r="7060">
          <cell r="A7060">
            <v>56674</v>
          </cell>
          <cell r="B7060" t="str">
            <v>CORPORATION</v>
          </cell>
          <cell r="C7060" t="str">
            <v>Map Eletrônica Ltda</v>
          </cell>
          <cell r="D7060" t="str">
            <v>Map Eletrônica Industrial</v>
          </cell>
          <cell r="E7060" t="str">
            <v>BR_CNPJ</v>
          </cell>
          <cell r="F7060" t="str">
            <v>52.265.344/0001-26</v>
          </cell>
        </row>
        <row r="7061">
          <cell r="A7061">
            <v>56694</v>
          </cell>
          <cell r="B7061" t="str">
            <v>CORPORATION</v>
          </cell>
          <cell r="C7061" t="str">
            <v>Godfer Ferramentas, Utensilios E Eletronicos Ltda</v>
          </cell>
          <cell r="D7061" t="str">
            <v>Godfer Ferramentas &amp; Utensilios</v>
          </cell>
          <cell r="E7061" t="str">
            <v>BR_CNPJ</v>
          </cell>
          <cell r="F7061" t="str">
            <v>40.159.791/0001-11</v>
          </cell>
        </row>
        <row r="7062">
          <cell r="A7062">
            <v>56695</v>
          </cell>
          <cell r="B7062" t="str">
            <v>CORPORATION</v>
          </cell>
          <cell r="C7062" t="str">
            <v>A.R.S. Suprimentos Industriais Ltda</v>
          </cell>
          <cell r="D7062" t="str">
            <v>A.R.S. Suprimentos Industriais</v>
          </cell>
          <cell r="E7062" t="str">
            <v>BR_CNPJ</v>
          </cell>
          <cell r="F7062" t="str">
            <v>15.833.545/0001-56</v>
          </cell>
        </row>
        <row r="7063">
          <cell r="A7063">
            <v>56697</v>
          </cell>
          <cell r="B7063" t="str">
            <v>CORPORATION</v>
          </cell>
          <cell r="C7063" t="str">
            <v>Mil Ferragens Ltda</v>
          </cell>
          <cell r="D7063" t="str">
            <v>Mil Ferragens</v>
          </cell>
          <cell r="E7063" t="str">
            <v>BR_CNPJ</v>
          </cell>
          <cell r="F7063" t="str">
            <v>50.717.948/0001-30</v>
          </cell>
        </row>
        <row r="7064">
          <cell r="A7064">
            <v>56717</v>
          </cell>
          <cell r="B7064" t="str">
            <v>CORPORATION</v>
          </cell>
          <cell r="C7064" t="str">
            <v>Caravela Parts Ltda</v>
          </cell>
          <cell r="D7064" t="str">
            <v>Gtech Distribuição</v>
          </cell>
          <cell r="E7064" t="str">
            <v>BR_CNPJ</v>
          </cell>
          <cell r="F7064" t="str">
            <v>42.214.642/0001-33</v>
          </cell>
        </row>
        <row r="7065">
          <cell r="A7065">
            <v>56784</v>
          </cell>
          <cell r="B7065" t="str">
            <v>CORPORATION</v>
          </cell>
          <cell r="C7065" t="str">
            <v>Fa Comercio E Manutencao De Compressores Ltda</v>
          </cell>
          <cell r="D7065" t="str">
            <v>Shopping Dos Compressores</v>
          </cell>
          <cell r="E7065" t="str">
            <v>BR_CNPJ</v>
          </cell>
          <cell r="F7065" t="str">
            <v>18.712.472/0001-32</v>
          </cell>
        </row>
        <row r="7066">
          <cell r="A7066">
            <v>56852</v>
          </cell>
          <cell r="B7066" t="str">
            <v>CORPORATION</v>
          </cell>
          <cell r="C7066" t="str">
            <v>Vera Alice Chagas</v>
          </cell>
          <cell r="D7066" t="str">
            <v>Serralheria Camargo</v>
          </cell>
          <cell r="E7066" t="str">
            <v>BR_CNPJ</v>
          </cell>
          <cell r="F7066" t="str">
            <v>21.968.331/0001-90</v>
          </cell>
        </row>
        <row r="7067">
          <cell r="A7067">
            <v>56865</v>
          </cell>
          <cell r="B7067" t="str">
            <v>CORPORATION</v>
          </cell>
          <cell r="C7067" t="str">
            <v>Global Eletronicos Comercio Ltda</v>
          </cell>
          <cell r="D7067" t="str">
            <v>Global Eletronicos</v>
          </cell>
          <cell r="E7067" t="str">
            <v>BR_CNPJ</v>
          </cell>
          <cell r="F7067" t="str">
            <v>34.400.728/0001-22</v>
          </cell>
        </row>
        <row r="7068">
          <cell r="A7068">
            <v>56893</v>
          </cell>
          <cell r="B7068" t="str">
            <v>CORPORATION</v>
          </cell>
          <cell r="C7068" t="str">
            <v>Az Ferramentas Ltda</v>
          </cell>
          <cell r="D7068" t="str">
            <v>Az Ferramentas</v>
          </cell>
          <cell r="E7068" t="str">
            <v>BR_CNPJ</v>
          </cell>
          <cell r="F7068" t="str">
            <v>11.792.969/0001-69</v>
          </cell>
        </row>
        <row r="7069">
          <cell r="A7069">
            <v>56896</v>
          </cell>
          <cell r="B7069" t="str">
            <v>CORPORATION</v>
          </cell>
          <cell r="C7069" t="str">
            <v>Jma São Carlos Aluguel De Equipamentos E De Máquinas Ltda – Epp</v>
          </cell>
          <cell r="D7069" t="str">
            <v>Loja 003 – São Carlos/Sp</v>
          </cell>
          <cell r="E7069" t="str">
            <v>BR_CNPJ</v>
          </cell>
          <cell r="F7069" t="str">
            <v>03.787.746/0001-85</v>
          </cell>
          <cell r="G7069" t="str">
            <v>CASA DO CONSTRUTOR</v>
          </cell>
        </row>
        <row r="7070">
          <cell r="A7070">
            <v>56897</v>
          </cell>
          <cell r="B7070" t="str">
            <v>CORPORATION</v>
          </cell>
          <cell r="C7070" t="str">
            <v>Oxigenio Sierra Gases Ltda</v>
          </cell>
          <cell r="D7070" t="str">
            <v>Oxigenio Sierra</v>
          </cell>
          <cell r="E7070" t="str">
            <v>BR_CNPJ</v>
          </cell>
          <cell r="F7070" t="str">
            <v>07.249.545/0001-85</v>
          </cell>
        </row>
        <row r="7071">
          <cell r="A7071">
            <v>56915</v>
          </cell>
          <cell r="B7071" t="str">
            <v>CORPORATION</v>
          </cell>
          <cell r="C7071" t="str">
            <v>Des Caxanga Aluguel De Equipamentos Ltda</v>
          </cell>
          <cell r="D7071" t="str">
            <v>Loja 254 – Recife – Pe</v>
          </cell>
          <cell r="E7071" t="str">
            <v>BR_CNPJ</v>
          </cell>
          <cell r="F7071" t="str">
            <v>18.146.606/0001-03</v>
          </cell>
          <cell r="G7071" t="str">
            <v>CASA DO CONSTRUTOR</v>
          </cell>
        </row>
        <row r="7072">
          <cell r="A7072">
            <v>56916</v>
          </cell>
          <cell r="B7072" t="str">
            <v>CORPORATION</v>
          </cell>
          <cell r="C7072" t="str">
            <v>Des Arruda Aluguel De Equipamentos Ltda</v>
          </cell>
          <cell r="D7072" t="str">
            <v>Loja 422 – Recife/Pe –Loja 03</v>
          </cell>
          <cell r="E7072" t="str">
            <v>BR_CNPJ</v>
          </cell>
          <cell r="F7072" t="str">
            <v>44.475.062/0001-25</v>
          </cell>
          <cell r="G7072" t="str">
            <v>CASA DO CONSTRUTOR</v>
          </cell>
        </row>
        <row r="7073">
          <cell r="A7073">
            <v>56919</v>
          </cell>
          <cell r="B7073" t="str">
            <v>CORPORATION</v>
          </cell>
          <cell r="C7073" t="str">
            <v>Des Iputinga Aluguel De Equipamentos Ltda</v>
          </cell>
          <cell r="D7073" t="str">
            <v>Loja 597 – Recife/Pe - Iputinga</v>
          </cell>
          <cell r="E7073" t="str">
            <v>BR_CNPJ</v>
          </cell>
          <cell r="F7073" t="str">
            <v>50.988.806/0001-08</v>
          </cell>
          <cell r="G7073" t="str">
            <v>CASA DO CONSTRUTOR</v>
          </cell>
        </row>
        <row r="7074">
          <cell r="A7074">
            <v>56922</v>
          </cell>
          <cell r="B7074" t="str">
            <v>CORPORATION</v>
          </cell>
          <cell r="C7074" t="str">
            <v>Des Abdias Aluguel De Equipamentos Ltda</v>
          </cell>
          <cell r="D7074" t="str">
            <v>Loja 621 – Recife/Pe - Abdias</v>
          </cell>
          <cell r="E7074" t="str">
            <v>BR_CNPJ</v>
          </cell>
          <cell r="F7074" t="str">
            <v>51.303.636/0001-43</v>
          </cell>
          <cell r="G7074" t="str">
            <v>CASA DO CONSTRUTOR</v>
          </cell>
        </row>
        <row r="7075">
          <cell r="A7075">
            <v>56946</v>
          </cell>
          <cell r="B7075" t="str">
            <v>CORPORATION</v>
          </cell>
          <cell r="C7075" t="str">
            <v>Casa Das Ferramentas E Maquinas Ltda</v>
          </cell>
          <cell r="D7075" t="str">
            <v>Casa Das Ferramentas</v>
          </cell>
          <cell r="E7075" t="str">
            <v>BR_CNPJ</v>
          </cell>
          <cell r="F7075" t="str">
            <v>03.350.510/0001-87</v>
          </cell>
        </row>
        <row r="7076">
          <cell r="A7076">
            <v>56970</v>
          </cell>
          <cell r="B7076" t="str">
            <v>CORPORATION</v>
          </cell>
          <cell r="C7076" t="str">
            <v>Araujo Distribuidora Ltda</v>
          </cell>
          <cell r="D7076" t="str">
            <v>Araujo Distribuidora</v>
          </cell>
          <cell r="E7076" t="str">
            <v>BR_CNPJ</v>
          </cell>
          <cell r="F7076" t="str">
            <v>37.838.185/0001-18</v>
          </cell>
        </row>
        <row r="7077">
          <cell r="A7077">
            <v>56972</v>
          </cell>
          <cell r="B7077" t="str">
            <v>CORPORATION</v>
          </cell>
          <cell r="C7077" t="str">
            <v>Parafusos E Ferragens Rothbarth Ltda</v>
          </cell>
          <cell r="D7077" t="str">
            <v>Parafusos E Ferragens Rothbarth Ltda</v>
          </cell>
          <cell r="E7077" t="str">
            <v>BR_CNPJ</v>
          </cell>
          <cell r="F7077" t="str">
            <v>01.877.343/0001-00</v>
          </cell>
        </row>
        <row r="7078">
          <cell r="A7078">
            <v>56984</v>
          </cell>
          <cell r="B7078" t="str">
            <v>CORPORATION</v>
          </cell>
          <cell r="C7078" t="str">
            <v>Lino Moto Pecas Ltda</v>
          </cell>
          <cell r="D7078" t="str">
            <v>Casa Dos Parafusos</v>
          </cell>
          <cell r="E7078" t="str">
            <v>BR_CNPJ</v>
          </cell>
          <cell r="F7078" t="str">
            <v>10.685.882/0003-91</v>
          </cell>
          <cell r="G7078" t="str">
            <v>LINO MOTO</v>
          </cell>
        </row>
        <row r="7079">
          <cell r="A7079">
            <v>56990</v>
          </cell>
          <cell r="B7079" t="str">
            <v>CORPORATION</v>
          </cell>
          <cell r="C7079" t="str">
            <v>Betel Maquinas E Ferramentas Ltda</v>
          </cell>
          <cell r="D7079" t="str">
            <v>Betel Maquinas E Ferramentas Ltda</v>
          </cell>
          <cell r="E7079" t="str">
            <v>BR_CNPJ</v>
          </cell>
          <cell r="F7079" t="str">
            <v>58.265.348/0001-90</v>
          </cell>
          <cell r="G7079" t="str">
            <v>Nato Ferramentas</v>
          </cell>
        </row>
        <row r="7080">
          <cell r="A7080">
            <v>57020</v>
          </cell>
          <cell r="B7080" t="str">
            <v>CORPORATION</v>
          </cell>
          <cell r="C7080" t="str">
            <v>Mg Empreendimentos Ltda</v>
          </cell>
          <cell r="D7080" t="str">
            <v>Mg Empreendimentos</v>
          </cell>
          <cell r="E7080" t="str">
            <v>BR_CNPJ</v>
          </cell>
          <cell r="F7080" t="str">
            <v>54.282.583/0001-10</v>
          </cell>
        </row>
        <row r="7081">
          <cell r="A7081">
            <v>57021</v>
          </cell>
          <cell r="B7081" t="str">
            <v>CORPORATION</v>
          </cell>
          <cell r="C7081" t="str">
            <v>A M Borges Ltda</v>
          </cell>
          <cell r="D7081" t="str">
            <v>Ismafer Ferramentas</v>
          </cell>
          <cell r="E7081" t="str">
            <v>BR_CNPJ</v>
          </cell>
          <cell r="F7081" t="str">
            <v>55.516.290/0001-12</v>
          </cell>
        </row>
        <row r="7082">
          <cell r="A7082">
            <v>57023</v>
          </cell>
          <cell r="B7082" t="str">
            <v>CORPORATION</v>
          </cell>
          <cell r="C7082" t="str">
            <v>27.270.659 Everton Costa Alencar</v>
          </cell>
          <cell r="D7082" t="str">
            <v>Everton Motos</v>
          </cell>
          <cell r="E7082" t="str">
            <v>BR_CNPJ</v>
          </cell>
          <cell r="F7082" t="str">
            <v>27.270.659/0001-14</v>
          </cell>
        </row>
        <row r="7083">
          <cell r="A7083">
            <v>57024</v>
          </cell>
          <cell r="B7083" t="str">
            <v>CORPORATION</v>
          </cell>
          <cell r="C7083" t="str">
            <v>Lincon Comercio E Servicos Ltda</v>
          </cell>
          <cell r="D7083" t="str">
            <v>Compete</v>
          </cell>
          <cell r="E7083" t="str">
            <v>BR_CNPJ</v>
          </cell>
          <cell r="F7083" t="str">
            <v>03.092.428/0001-08</v>
          </cell>
        </row>
        <row r="7084">
          <cell r="A7084">
            <v>57029</v>
          </cell>
          <cell r="B7084" t="str">
            <v>CORPORATION</v>
          </cell>
          <cell r="C7084" t="str">
            <v>Nb Locacoes Ltda</v>
          </cell>
          <cell r="D7084" t="str">
            <v>Nb Locações Ltda</v>
          </cell>
          <cell r="E7084" t="str">
            <v>BR_CNPJ</v>
          </cell>
          <cell r="F7084" t="str">
            <v>59.899.114/0001-68</v>
          </cell>
          <cell r="G7084" t="str">
            <v>CNPH</v>
          </cell>
        </row>
        <row r="7085">
          <cell r="A7085">
            <v>57046</v>
          </cell>
          <cell r="B7085" t="str">
            <v>CORPORATION</v>
          </cell>
          <cell r="C7085" t="str">
            <v>Prime Distribuicao Ltda</v>
          </cell>
          <cell r="D7085" t="str">
            <v>Prime Distribuidora</v>
          </cell>
          <cell r="E7085" t="str">
            <v>BR_CNPJ</v>
          </cell>
          <cell r="F7085" t="str">
            <v>58.152.386/0002-18</v>
          </cell>
          <cell r="G7085" t="str">
            <v>PRIME SUPRIMENTOS</v>
          </cell>
        </row>
        <row r="7086">
          <cell r="A7086">
            <v>57075</v>
          </cell>
          <cell r="B7086" t="str">
            <v>CORPORATION</v>
          </cell>
          <cell r="C7086" t="str">
            <v>Duomaq Equipamentos Industriais</v>
          </cell>
          <cell r="E7086" t="str">
            <v>BR_CNPJ</v>
          </cell>
          <cell r="F7086" t="str">
            <v>24.250.388/0001-47</v>
          </cell>
        </row>
        <row r="7087">
          <cell r="A7087">
            <v>57090</v>
          </cell>
          <cell r="B7087" t="str">
            <v>CORPORATION</v>
          </cell>
          <cell r="C7087" t="str">
            <v>Junior Com De Prod. De Serralheria Ltda</v>
          </cell>
          <cell r="D7087" t="str">
            <v>Casa Do Serralheiro</v>
          </cell>
          <cell r="E7087" t="str">
            <v>BR_CNPJ</v>
          </cell>
          <cell r="F7087" t="str">
            <v>41.697.814/0001-04</v>
          </cell>
        </row>
        <row r="7088">
          <cell r="A7088">
            <v>57091</v>
          </cell>
          <cell r="B7088" t="str">
            <v>CORPORATION</v>
          </cell>
          <cell r="C7088" t="str">
            <v>W Brito Ferramentas Ltda</v>
          </cell>
          <cell r="D7088" t="str">
            <v>W Brito Ferramentas</v>
          </cell>
          <cell r="E7088" t="str">
            <v>BR_CNPJ</v>
          </cell>
          <cell r="F7088" t="str">
            <v>43.945.414/0001-04</v>
          </cell>
        </row>
        <row r="7089">
          <cell r="A7089">
            <v>57129</v>
          </cell>
          <cell r="B7089" t="str">
            <v>CORPORATION</v>
          </cell>
          <cell r="C7089" t="str">
            <v>Maua Ferramentas E Soldas Ltda</v>
          </cell>
          <cell r="D7089" t="str">
            <v>Maua Ferramentas E Soldas Ltda</v>
          </cell>
          <cell r="E7089" t="str">
            <v>BR_CNPJ</v>
          </cell>
          <cell r="F7089" t="str">
            <v>04.005.448/0001-59</v>
          </cell>
        </row>
        <row r="7090">
          <cell r="A7090">
            <v>57130</v>
          </cell>
          <cell r="B7090" t="str">
            <v>CORPORATION</v>
          </cell>
          <cell r="C7090" t="str">
            <v>Bm Produtos Metalurgicos Ltda</v>
          </cell>
          <cell r="D7090" t="str">
            <v>Morelli Tubos E Metais</v>
          </cell>
          <cell r="E7090" t="str">
            <v>BR_CNPJ</v>
          </cell>
          <cell r="F7090" t="str">
            <v>59.642.590/0001-07</v>
          </cell>
          <cell r="G7090" t="str">
            <v>Tubos E Metais</v>
          </cell>
        </row>
        <row r="7091">
          <cell r="A7091">
            <v>57131</v>
          </cell>
          <cell r="B7091" t="str">
            <v>CORPORATION</v>
          </cell>
          <cell r="C7091" t="str">
            <v>Sauipe Tecnologia Ltda</v>
          </cell>
          <cell r="D7091" t="str">
            <v>Sauipe Comercio De Pecas E Lubrificantes</v>
          </cell>
          <cell r="E7091" t="str">
            <v>BR_CNPJ</v>
          </cell>
          <cell r="F7091" t="str">
            <v>30.550.423/0001-46</v>
          </cell>
        </row>
        <row r="7092">
          <cell r="A7092">
            <v>57134</v>
          </cell>
          <cell r="B7092" t="str">
            <v>CORPORATION</v>
          </cell>
          <cell r="C7092" t="str">
            <v>Foco Equipamentos Ltda</v>
          </cell>
          <cell r="D7092" t="str">
            <v>Casa De Ferreiro</v>
          </cell>
          <cell r="E7092" t="str">
            <v>BR_CNPJ</v>
          </cell>
          <cell r="F7092" t="str">
            <v>63.296.615/0001-27</v>
          </cell>
          <cell r="G7092" t="str">
            <v>FERRASUL</v>
          </cell>
        </row>
        <row r="7093">
          <cell r="A7093">
            <v>57140</v>
          </cell>
          <cell r="B7093" t="str">
            <v>CORPORATION</v>
          </cell>
          <cell r="C7093" t="str">
            <v>G. De Lucena Ferreira Ltda</v>
          </cell>
          <cell r="D7093" t="str">
            <v>Gustavo Motores E Equipamentos</v>
          </cell>
          <cell r="E7093" t="str">
            <v>BR_CNPJ</v>
          </cell>
          <cell r="F7093" t="str">
            <v>60.694.753/0001-76</v>
          </cell>
        </row>
        <row r="7094">
          <cell r="A7094">
            <v>57175</v>
          </cell>
          <cell r="B7094" t="str">
            <v>CORPORATION</v>
          </cell>
          <cell r="C7094" t="str">
            <v>Verde Sete Ltda</v>
          </cell>
          <cell r="D7094" t="str">
            <v>Casa Verde</v>
          </cell>
          <cell r="E7094" t="str">
            <v>BR_CNPJ</v>
          </cell>
          <cell r="F7094" t="str">
            <v>55.440.420/0001-80</v>
          </cell>
        </row>
        <row r="7095">
          <cell r="A7095">
            <v>57185</v>
          </cell>
          <cell r="B7095" t="str">
            <v>CORPORATION</v>
          </cell>
          <cell r="C7095" t="str">
            <v>Coffeemac Comercio E Servico Ltda</v>
          </cell>
          <cell r="D7095" t="str">
            <v>Coffeemac</v>
          </cell>
          <cell r="E7095" t="str">
            <v>BR_CNPJ</v>
          </cell>
          <cell r="F7095" t="str">
            <v>44.556.609/0001-17</v>
          </cell>
        </row>
        <row r="7096">
          <cell r="A7096">
            <v>57280</v>
          </cell>
          <cell r="B7096" t="str">
            <v>CORPORATION</v>
          </cell>
          <cell r="C7096" t="str">
            <v>Dzenksy Equipamentos E Suprimentos Industriais Ltda</v>
          </cell>
          <cell r="D7096" t="str">
            <v>Dzenksy</v>
          </cell>
          <cell r="E7096" t="str">
            <v>BR_CNPJ</v>
          </cell>
          <cell r="F7096" t="str">
            <v>59.848.509/0001-31</v>
          </cell>
        </row>
        <row r="7097">
          <cell r="A7097">
            <v>57326</v>
          </cell>
          <cell r="B7097" t="str">
            <v>CORPORATION</v>
          </cell>
          <cell r="C7097" t="str">
            <v>Ldj Ferragens E Ferramentas E Suprimentos Industriais Ltda</v>
          </cell>
          <cell r="D7097" t="str">
            <v>Ldj Suprimentos</v>
          </cell>
          <cell r="E7097" t="str">
            <v>BR_CNPJ</v>
          </cell>
          <cell r="F7097" t="str">
            <v>55.588.615/0001-72</v>
          </cell>
        </row>
        <row r="7098">
          <cell r="A7098">
            <v>57327</v>
          </cell>
          <cell r="B7098" t="str">
            <v>CORPORATION</v>
          </cell>
          <cell r="C7098" t="str">
            <v>O Ferreiro Ferro E Aco Ltda</v>
          </cell>
          <cell r="D7098" t="str">
            <v>O Ferreiro</v>
          </cell>
          <cell r="E7098" t="str">
            <v>BR_CNPJ</v>
          </cell>
          <cell r="F7098" t="str">
            <v>45.330.146/0001-33</v>
          </cell>
        </row>
        <row r="7099">
          <cell r="A7099">
            <v>57329</v>
          </cell>
          <cell r="B7099" t="str">
            <v>CORPORATION</v>
          </cell>
          <cell r="C7099" t="str">
            <v>So Maquinas E Equipamentos Industriais Ltda</v>
          </cell>
          <cell r="D7099" t="str">
            <v>So Maquinas</v>
          </cell>
          <cell r="E7099" t="str">
            <v>BR_CNPJ</v>
          </cell>
          <cell r="F7099" t="str">
            <v>46.165.821/0001-89</v>
          </cell>
          <cell r="G7099" t="str">
            <v>SOLDAFORTE</v>
          </cell>
        </row>
        <row r="7100">
          <cell r="A7100">
            <v>57331</v>
          </cell>
          <cell r="B7100" t="str">
            <v>CORPORATION</v>
          </cell>
          <cell r="C7100" t="str">
            <v>Maq Pecas Solucoes Mobil E Industrial Ltda</v>
          </cell>
          <cell r="D7100" t="str">
            <v>Grupo Maq</v>
          </cell>
          <cell r="E7100" t="str">
            <v>BR_CNPJ</v>
          </cell>
          <cell r="F7100" t="str">
            <v>28.667.857/0001-89</v>
          </cell>
        </row>
        <row r="7101">
          <cell r="A7101">
            <v>57337</v>
          </cell>
          <cell r="B7101" t="str">
            <v>CORPORATION</v>
          </cell>
          <cell r="C7101" t="str">
            <v>Gama Comercio De Ferramentas Ltda</v>
          </cell>
          <cell r="D7101" t="str">
            <v>G C M Gama Comercio E Manutencao</v>
          </cell>
          <cell r="E7101" t="str">
            <v>BR_CNPJ</v>
          </cell>
          <cell r="F7101" t="str">
            <v>10.789.298/0001-14</v>
          </cell>
        </row>
        <row r="7102">
          <cell r="A7102">
            <v>57359</v>
          </cell>
          <cell r="B7102" t="str">
            <v>CORPORATION</v>
          </cell>
          <cell r="C7102" t="str">
            <v>Dre Comercio De Ferramentas E Acessorios Ltda</v>
          </cell>
          <cell r="D7102" t="str">
            <v>Dre Tools</v>
          </cell>
          <cell r="E7102" t="str">
            <v>BR_CNPJ</v>
          </cell>
          <cell r="F7102" t="str">
            <v>53.064.569/0001-87</v>
          </cell>
        </row>
        <row r="7103">
          <cell r="A7103">
            <v>57360</v>
          </cell>
          <cell r="B7103" t="str">
            <v>CORPORATION</v>
          </cell>
          <cell r="C7103" t="str">
            <v>44.179.226 Sonia Aparecida Redondo Arena</v>
          </cell>
          <cell r="D7103" t="str">
            <v>Arena Ferramentas Cia</v>
          </cell>
          <cell r="E7103" t="str">
            <v>BR_CNPJ</v>
          </cell>
          <cell r="F7103" t="str">
            <v>44.179.226/0001-77</v>
          </cell>
        </row>
        <row r="7104">
          <cell r="A7104">
            <v>57363</v>
          </cell>
          <cell r="B7104" t="str">
            <v>CORPORATION</v>
          </cell>
          <cell r="C7104" t="str">
            <v>Bmb Material De Construcao S.A.</v>
          </cell>
          <cell r="D7104" t="str">
            <v>Obramax Aricanduva</v>
          </cell>
          <cell r="E7104" t="str">
            <v>BR_CNPJ</v>
          </cell>
          <cell r="F7104" t="str">
            <v>23.476.033/0029-09</v>
          </cell>
          <cell r="G7104" t="str">
            <v>OBRAMAX</v>
          </cell>
        </row>
        <row r="7105">
          <cell r="A7105">
            <v>57364</v>
          </cell>
          <cell r="B7105" t="str">
            <v>CORPORATION</v>
          </cell>
          <cell r="C7105" t="str">
            <v>Motor Hub Distribuidora Ltda</v>
          </cell>
          <cell r="D7105" t="str">
            <v>Casa Do Motor</v>
          </cell>
          <cell r="E7105" t="str">
            <v>BR_CNPJ</v>
          </cell>
          <cell r="F7105" t="str">
            <v>62.342.395/0001-68</v>
          </cell>
        </row>
        <row r="7106">
          <cell r="A7106">
            <v>57388</v>
          </cell>
          <cell r="B7106" t="str">
            <v>CORPORATION</v>
          </cell>
          <cell r="C7106" t="str">
            <v>At Garcia Materiais De Construcao S/A</v>
          </cell>
          <cell r="D7106" t="str">
            <v>Clube Da Casa</v>
          </cell>
          <cell r="E7106" t="str">
            <v>BR_CNPJ</v>
          </cell>
          <cell r="F7106" t="str">
            <v>01.956.850/0005-54</v>
          </cell>
        </row>
        <row r="7107">
          <cell r="A7107">
            <v>57390</v>
          </cell>
          <cell r="B7107" t="str">
            <v>CORPORATION</v>
          </cell>
          <cell r="C7107" t="str">
            <v>Fernando Julio De Melo Comercio E Manutencao De Maquinas</v>
          </cell>
          <cell r="D7107" t="str">
            <v>Melo A.M.A Agronegocios</v>
          </cell>
          <cell r="E7107" t="str">
            <v>BR_CNPJ</v>
          </cell>
          <cell r="F7107" t="str">
            <v>26.793.196/0001-02</v>
          </cell>
        </row>
        <row r="7108">
          <cell r="A7108">
            <v>57391</v>
          </cell>
          <cell r="B7108" t="str">
            <v>CORPORATION</v>
          </cell>
          <cell r="C7108" t="str">
            <v>Tecpro Equipamentos Em Protecao E Acessorios Ltda</v>
          </cell>
          <cell r="D7108" t="str">
            <v>Chaveiro Jr</v>
          </cell>
          <cell r="E7108" t="str">
            <v>BR_CNPJ</v>
          </cell>
          <cell r="F7108" t="str">
            <v>01.403.119/0001-78</v>
          </cell>
        </row>
        <row r="7109">
          <cell r="A7109">
            <v>57395</v>
          </cell>
          <cell r="B7109" t="str">
            <v>CORPORATION</v>
          </cell>
          <cell r="C7109" t="str">
            <v>W5 Comercio E Servicos Ltda</v>
          </cell>
          <cell r="D7109" t="str">
            <v>W5 Comercio</v>
          </cell>
          <cell r="E7109" t="str">
            <v>BR_CNPJ</v>
          </cell>
          <cell r="F7109" t="str">
            <v>45.520.222/0001-73</v>
          </cell>
        </row>
        <row r="7110">
          <cell r="A7110">
            <v>57397</v>
          </cell>
          <cell r="B7110" t="str">
            <v>CORPORATION</v>
          </cell>
          <cell r="C7110" t="str">
            <v>Distribuidora Safari Ltda</v>
          </cell>
          <cell r="D7110" t="str">
            <v>Distribuidora Safari</v>
          </cell>
          <cell r="E7110" t="str">
            <v>BR_CNPJ</v>
          </cell>
          <cell r="F7110" t="str">
            <v>02.423.640/0003-00</v>
          </cell>
        </row>
        <row r="7111">
          <cell r="A7111">
            <v>57403</v>
          </cell>
          <cell r="B7111" t="str">
            <v>CORPORATION</v>
          </cell>
          <cell r="C7111" t="str">
            <v>Ferragens Rocha &amp; Barros Ltda</v>
          </cell>
          <cell r="D7111" t="str">
            <v>Ferragista Jkastros</v>
          </cell>
          <cell r="E7111" t="str">
            <v>BR_CNPJ</v>
          </cell>
          <cell r="F7111" t="str">
            <v>61.952.894/0001-04</v>
          </cell>
        </row>
        <row r="7112">
          <cell r="A7112">
            <v>57404</v>
          </cell>
          <cell r="B7112" t="str">
            <v>CORPORATION</v>
          </cell>
          <cell r="C7112" t="str">
            <v>Unica Comercio Atacadista De Tintas Automotivas Importacao E Exportacao Eireli</v>
          </cell>
          <cell r="D7112" t="str">
            <v>Unica Atacadista De Tintas</v>
          </cell>
          <cell r="E7112" t="str">
            <v>BR_CNPJ</v>
          </cell>
          <cell r="F7112" t="str">
            <v>36.517.206/0001-30</v>
          </cell>
        </row>
        <row r="7113">
          <cell r="A7113">
            <v>57427</v>
          </cell>
          <cell r="B7113" t="str">
            <v>CORPORATION</v>
          </cell>
          <cell r="C7113" t="str">
            <v>Nl Tintas E Ferragens S/A</v>
          </cell>
          <cell r="D7113" t="str">
            <v>Nl Tintas E Ferragens</v>
          </cell>
          <cell r="E7113" t="str">
            <v>BR_CNPJ</v>
          </cell>
          <cell r="F7113" t="str">
            <v>14.072.798/0007-87</v>
          </cell>
          <cell r="G7113" t="str">
            <v xml:space="preserve">Nl Tintas </v>
          </cell>
        </row>
        <row r="7114">
          <cell r="A7114">
            <v>57488</v>
          </cell>
          <cell r="B7114" t="str">
            <v>CORPORATION</v>
          </cell>
          <cell r="C7114" t="str">
            <v>Elton Luis De Oliveira Pontes Comercio De Maquinas E Equipamentos Industriais</v>
          </cell>
          <cell r="D7114" t="str">
            <v>Engpontes Pecas E Maquinas</v>
          </cell>
          <cell r="E7114" t="str">
            <v>BR_CNPJ</v>
          </cell>
          <cell r="F7114" t="str">
            <v>37.927.125/0001-71</v>
          </cell>
        </row>
        <row r="7115">
          <cell r="A7115">
            <v>57519</v>
          </cell>
          <cell r="B7115" t="str">
            <v>CORPORATION</v>
          </cell>
          <cell r="C7115" t="str">
            <v>Gv Ferramentas E Equipamentos Ltda</v>
          </cell>
          <cell r="D7115" t="str">
            <v>Arsocam</v>
          </cell>
          <cell r="E7115" t="str">
            <v>BR_CNPJ</v>
          </cell>
          <cell r="F7115" t="str">
            <v>26.304.676/0001-62</v>
          </cell>
        </row>
        <row r="7116">
          <cell r="A7116">
            <v>57534</v>
          </cell>
          <cell r="B7116" t="str">
            <v>CORPORATION</v>
          </cell>
          <cell r="C7116" t="str">
            <v>Comercial Wady Ltda</v>
          </cell>
          <cell r="D7116" t="str">
            <v>Comercial Wady Ltda</v>
          </cell>
          <cell r="E7116" t="str">
            <v>BR_CNPJ</v>
          </cell>
          <cell r="F7116" t="str">
            <v>51.254.493/0001-27</v>
          </cell>
        </row>
        <row r="7117">
          <cell r="A7117">
            <v>57552</v>
          </cell>
          <cell r="B7117" t="str">
            <v>CORPORATION</v>
          </cell>
          <cell r="C7117" t="str">
            <v>Supripar Suprimentos Industriais Ltda</v>
          </cell>
          <cell r="D7117" t="str">
            <v>Supripar Suprimentos Industriais Eireli</v>
          </cell>
          <cell r="E7117" t="str">
            <v>BR_CNPJ</v>
          </cell>
          <cell r="F7117" t="str">
            <v>30.083.384/0001-14</v>
          </cell>
        </row>
        <row r="7118">
          <cell r="A7118">
            <v>57714</v>
          </cell>
          <cell r="B7118" t="str">
            <v>CORPORATION</v>
          </cell>
          <cell r="C7118" t="str">
            <v>Brito Deposito De Materiais Para Construcao Ltda</v>
          </cell>
          <cell r="D7118" t="str">
            <v>Casa Dos Parafusos E Ferramentas Ourofino</v>
          </cell>
          <cell r="E7118" t="str">
            <v>BR_CNPJ</v>
          </cell>
          <cell r="F7118" t="str">
            <v>49.624.428/0001-02</v>
          </cell>
        </row>
        <row r="7119">
          <cell r="A7119">
            <v>57751</v>
          </cell>
          <cell r="B7119" t="str">
            <v>CORPORATION</v>
          </cell>
          <cell r="C7119" t="str">
            <v>Tozetto Comercio De Ferramentas Ltda</v>
          </cell>
          <cell r="D7119" t="str">
            <v>Tozetto Comercio De Ferramentas</v>
          </cell>
          <cell r="E7119" t="str">
            <v>BR_CNPJ</v>
          </cell>
          <cell r="F7119" t="str">
            <v>61.503.562/0001-42</v>
          </cell>
        </row>
        <row r="7120">
          <cell r="A7120">
            <v>57756</v>
          </cell>
          <cell r="B7120" t="str">
            <v>CORPORATION</v>
          </cell>
          <cell r="C7120" t="str">
            <v>L.A.D. Metalurgica Ltda</v>
          </cell>
          <cell r="D7120" t="str">
            <v>L.A.D. Metalurgica Eireli</v>
          </cell>
          <cell r="E7120" t="str">
            <v>BR_CNPJ</v>
          </cell>
          <cell r="F7120" t="str">
            <v>04.703.111/0001-15</v>
          </cell>
        </row>
        <row r="7121">
          <cell r="A7121">
            <v>57818</v>
          </cell>
          <cell r="B7121" t="str">
            <v>CORPORATION</v>
          </cell>
          <cell r="C7121" t="str">
            <v>Engefer Industria E Comercio De Ferros Ltda</v>
          </cell>
          <cell r="D7121" t="str">
            <v>Engefer</v>
          </cell>
          <cell r="E7121" t="str">
            <v>BR_CNPJ</v>
          </cell>
          <cell r="F7121" t="str">
            <v>32.074.343/0001-97</v>
          </cell>
        </row>
        <row r="7122">
          <cell r="A7122">
            <v>57819</v>
          </cell>
          <cell r="B7122" t="str">
            <v>CORPORATION</v>
          </cell>
          <cell r="C7122" t="str">
            <v>L M Tools Comercio De Ferramentas Ltda</v>
          </cell>
          <cell r="D7122" t="str">
            <v>L M Tools</v>
          </cell>
          <cell r="E7122" t="str">
            <v>BR_CNPJ</v>
          </cell>
          <cell r="F7122" t="str">
            <v>37.164.721/0001-47</v>
          </cell>
        </row>
        <row r="7123">
          <cell r="A7123">
            <v>57854</v>
          </cell>
          <cell r="B7123" t="str">
            <v>CORPORATION</v>
          </cell>
          <cell r="C7123" t="str">
            <v>L2 Empreedimentos E Vendas Ltda</v>
          </cell>
          <cell r="D7123" t="str">
            <v>L2 Empreedimentos</v>
          </cell>
          <cell r="E7123" t="str">
            <v>BR_CNPJ</v>
          </cell>
          <cell r="F7123" t="str">
            <v>39.380.848/0001-29</v>
          </cell>
        </row>
        <row r="7124">
          <cell r="A7124">
            <v>57857</v>
          </cell>
          <cell r="B7124" t="str">
            <v>CORPORATION</v>
          </cell>
          <cell r="C7124" t="str">
            <v>Ht Equipamentos De Soldas Ltda</v>
          </cell>
          <cell r="D7124" t="str">
            <v>Ht Equipamentos (Atual Equipamentos)</v>
          </cell>
          <cell r="E7124" t="str">
            <v>BR_CNPJ</v>
          </cell>
          <cell r="F7124" t="str">
            <v>60.661.770/0001-07</v>
          </cell>
          <cell r="G7124" t="str">
            <v>Atual Equipamentos</v>
          </cell>
        </row>
        <row r="7125">
          <cell r="A7125">
            <v>57862</v>
          </cell>
          <cell r="B7125" t="str">
            <v>CORPORATION</v>
          </cell>
          <cell r="C7125" t="str">
            <v>Kyoto Distribuicao Comercial Ltda</v>
          </cell>
          <cell r="D7125" t="str">
            <v>Kyoto Distribuicao Comercial</v>
          </cell>
          <cell r="E7125" t="str">
            <v>BR_CNPJ</v>
          </cell>
          <cell r="F7125" t="str">
            <v>08.688.121/0001-80</v>
          </cell>
        </row>
        <row r="7126">
          <cell r="A7126">
            <v>57884</v>
          </cell>
          <cell r="B7126" t="str">
            <v>CORPORATION</v>
          </cell>
          <cell r="C7126" t="str">
            <v>Jl Locacoes E Construtora Ltda</v>
          </cell>
          <cell r="D7126" t="str">
            <v>Jl Solucoes Construtivas</v>
          </cell>
          <cell r="E7126" t="str">
            <v>BR_CNPJ</v>
          </cell>
          <cell r="F7126" t="str">
            <v>36.527.274/0001-80</v>
          </cell>
        </row>
        <row r="7127">
          <cell r="A7127">
            <v>57916</v>
          </cell>
          <cell r="B7127" t="str">
            <v>CORPORATION</v>
          </cell>
          <cell r="C7127" t="str">
            <v>Atacadao E Construção Ltda.</v>
          </cell>
          <cell r="D7127" t="str">
            <v>Atacadao Da Construção</v>
          </cell>
          <cell r="E7127" t="str">
            <v>BR_CNPJ</v>
          </cell>
          <cell r="F7127" t="str">
            <v>29.923.181/0001-00</v>
          </cell>
        </row>
        <row r="7128">
          <cell r="A7128">
            <v>58074</v>
          </cell>
          <cell r="B7128" t="str">
            <v>CORPORATION</v>
          </cell>
          <cell r="C7128" t="str">
            <v>Bonifacio Ferramentas E Ferragens Ltda</v>
          </cell>
          <cell r="D7128" t="str">
            <v>Bonifacio Ferragens</v>
          </cell>
          <cell r="E7128" t="str">
            <v>BR_CNPJ</v>
          </cell>
          <cell r="F7128" t="str">
            <v>45.305.021/0001-53</v>
          </cell>
        </row>
        <row r="7129">
          <cell r="A7129">
            <v>58095</v>
          </cell>
          <cell r="B7129" t="str">
            <v>CORPORATION</v>
          </cell>
          <cell r="C7129" t="str">
            <v>M A Franquelino</v>
          </cell>
          <cell r="D7129" t="str">
            <v>I E Máquinas</v>
          </cell>
          <cell r="E7129" t="str">
            <v>BR_CNPJ</v>
          </cell>
          <cell r="F7129" t="str">
            <v>57.825.264/0001-00</v>
          </cell>
        </row>
        <row r="7130">
          <cell r="A7130">
            <v>58142</v>
          </cell>
          <cell r="B7130" t="str">
            <v>CORPORATION</v>
          </cell>
          <cell r="C7130" t="str">
            <v>Castelo Comercio De Equipamentos Ltda</v>
          </cell>
          <cell r="D7130" t="str">
            <v>Castelo Do Epi</v>
          </cell>
          <cell r="E7130" t="str">
            <v>BR_CNPJ</v>
          </cell>
          <cell r="F7130" t="str">
            <v>22.607.520/0001-08</v>
          </cell>
        </row>
        <row r="7131">
          <cell r="A7131">
            <v>58197</v>
          </cell>
          <cell r="B7131" t="str">
            <v>CORPORATION</v>
          </cell>
          <cell r="C7131" t="str">
            <v>Tamires Letícia Astolfi</v>
          </cell>
          <cell r="D7131" t="str">
            <v>Tamires Letícia Astolfi</v>
          </cell>
          <cell r="E7131" t="str">
            <v>BR_CNPJ</v>
          </cell>
          <cell r="F7131" t="str">
            <v>60.204.985/0001-07</v>
          </cell>
        </row>
        <row r="7132">
          <cell r="A7132">
            <v>58251</v>
          </cell>
          <cell r="B7132" t="str">
            <v>CORPORATION</v>
          </cell>
          <cell r="C7132" t="str">
            <v>Mega Distribuidora Ltda</v>
          </cell>
          <cell r="D7132" t="str">
            <v>Mega Distribuidora</v>
          </cell>
          <cell r="E7132" t="str">
            <v>BR_CNPJ</v>
          </cell>
          <cell r="F7132" t="str">
            <v>21.526.340/0001-20</v>
          </cell>
        </row>
        <row r="7133">
          <cell r="A7133">
            <v>58252</v>
          </cell>
          <cell r="B7133" t="str">
            <v>CORPORATION</v>
          </cell>
          <cell r="C7133" t="str">
            <v>Zanella Metais Ltda</v>
          </cell>
          <cell r="D7133" t="str">
            <v>Zanella Metais</v>
          </cell>
          <cell r="E7133" t="str">
            <v>BR_CNPJ</v>
          </cell>
          <cell r="F7133" t="str">
            <v>45.385.941/0001-29</v>
          </cell>
          <cell r="G7133" t="str">
            <v xml:space="preserve">Metalfer </v>
          </cell>
        </row>
        <row r="7134">
          <cell r="A7134">
            <v>58255</v>
          </cell>
          <cell r="B7134" t="str">
            <v>CORPORATION</v>
          </cell>
          <cell r="C7134" t="str">
            <v>Demac Ferramentas E Suprimentos Industriais Ltda</v>
          </cell>
          <cell r="D7134" t="str">
            <v>Demac Comercial</v>
          </cell>
          <cell r="E7134" t="str">
            <v>BR_CNPJ</v>
          </cell>
          <cell r="F7134" t="str">
            <v>37.119.798/0001-03</v>
          </cell>
        </row>
        <row r="7135">
          <cell r="A7135">
            <v>58328</v>
          </cell>
          <cell r="B7135" t="str">
            <v>CORPORATION</v>
          </cell>
          <cell r="C7135" t="str">
            <v>Bmb Material De Construcao S.A.</v>
          </cell>
          <cell r="D7135" t="str">
            <v>Bmb Material De Construcao Sorocaba</v>
          </cell>
          <cell r="E7135" t="str">
            <v>BR_CNPJ</v>
          </cell>
          <cell r="F7135" t="str">
            <v>23.476.033/0025-85</v>
          </cell>
        </row>
        <row r="7136">
          <cell r="A7136">
            <v>58382</v>
          </cell>
          <cell r="B7136" t="str">
            <v>CORPORATION</v>
          </cell>
          <cell r="C7136" t="str">
            <v>Rhome Materiais De Construcao Ltda</v>
          </cell>
          <cell r="D7136" t="str">
            <v>Rhome</v>
          </cell>
          <cell r="E7136" t="str">
            <v>BR_CNPJ</v>
          </cell>
          <cell r="F7136" t="str">
            <v>62.970.647/0001-01</v>
          </cell>
        </row>
        <row r="7137">
          <cell r="A7137">
            <v>58384</v>
          </cell>
          <cell r="B7137" t="str">
            <v>CORPORATION</v>
          </cell>
          <cell r="C7137" t="str">
            <v>Mundo Dos Parafusos Ltda</v>
          </cell>
          <cell r="D7137" t="str">
            <v>Mundo Dos Parafusos</v>
          </cell>
          <cell r="E7137" t="str">
            <v>BR_CNPJ</v>
          </cell>
          <cell r="F7137" t="str">
            <v>30.202.395/0001-76</v>
          </cell>
        </row>
        <row r="7138">
          <cell r="A7138">
            <v>58586</v>
          </cell>
          <cell r="B7138" t="str">
            <v>CORPORATION</v>
          </cell>
          <cell r="C7138" t="str">
            <v>Amer Tecnologia Em Automacao Ltda</v>
          </cell>
          <cell r="D7138" t="str">
            <v>Amer Robótica</v>
          </cell>
          <cell r="E7138" t="str">
            <v>BR_CNPJ</v>
          </cell>
          <cell r="F7138" t="str">
            <v>01.321.303/0001-79</v>
          </cell>
        </row>
        <row r="7139">
          <cell r="A7139">
            <v>58587</v>
          </cell>
          <cell r="B7139" t="str">
            <v>CORPORATION</v>
          </cell>
          <cell r="C7139" t="str">
            <v>Sassi Agrocomercial Ltda</v>
          </cell>
          <cell r="D7139" t="str">
            <v xml:space="preserve">Sassi Agrocomercial 					</v>
          </cell>
          <cell r="E7139" t="str">
            <v>BR_CNPJ</v>
          </cell>
          <cell r="F7139" t="str">
            <v>11.226.247/0001-47</v>
          </cell>
        </row>
        <row r="7140">
          <cell r="A7140">
            <v>58664</v>
          </cell>
          <cell r="B7140" t="str">
            <v>CORPORATION</v>
          </cell>
          <cell r="C7140" t="str">
            <v>Comercial Lucato Ferragens E Ferramentas Ltda</v>
          </cell>
          <cell r="D7140" t="str">
            <v>Comercial Lucato</v>
          </cell>
          <cell r="E7140" t="str">
            <v>BR_CNPJ</v>
          </cell>
          <cell r="F7140" t="str">
            <v>59.691.427/0001-26</v>
          </cell>
          <cell r="G7140" t="str">
            <v>COMERCIAL LUCATO</v>
          </cell>
        </row>
        <row r="7141">
          <cell r="A7141">
            <v>58716</v>
          </cell>
          <cell r="B7141" t="str">
            <v>CORPORATION</v>
          </cell>
          <cell r="C7141" t="str">
            <v>Diniz &amp; Vilela Ltda</v>
          </cell>
          <cell r="D7141" t="str">
            <v>Atacadao Diniz</v>
          </cell>
          <cell r="E7141" t="str">
            <v>BR_CNPJ</v>
          </cell>
          <cell r="F7141" t="str">
            <v>07.671.351/0001-73</v>
          </cell>
        </row>
        <row r="7142">
          <cell r="A7142">
            <v>58717</v>
          </cell>
          <cell r="B7142" t="str">
            <v>CORPORATION</v>
          </cell>
          <cell r="C7142" t="str">
            <v>R Medrado Silva Ltda</v>
          </cell>
          <cell r="D7142" t="str">
            <v>Rm Parafusos</v>
          </cell>
          <cell r="E7142" t="str">
            <v>BR_CNPJ</v>
          </cell>
          <cell r="F7142" t="str">
            <v>24.563.655/0001-36</v>
          </cell>
        </row>
        <row r="7143">
          <cell r="A7143">
            <v>58736</v>
          </cell>
          <cell r="B7143" t="str">
            <v>CORPORATION</v>
          </cell>
          <cell r="C7143" t="str">
            <v>60.268.434 Henrique De Medeiros Garcez</v>
          </cell>
          <cell r="E7143" t="str">
            <v>BR_CNPJ</v>
          </cell>
          <cell r="F7143" t="str">
            <v>60.268.434/0001-07</v>
          </cell>
        </row>
        <row r="7144">
          <cell r="A7144">
            <v>58802</v>
          </cell>
          <cell r="B7144" t="str">
            <v>CORPORATION</v>
          </cell>
          <cell r="C7144" t="str">
            <v>Roberto Wagner Cavalcanti De Siqueira Junior Ltda</v>
          </cell>
          <cell r="D7144" t="str">
            <v>Gavi Ferramentas</v>
          </cell>
          <cell r="E7144" t="str">
            <v>BR_CNPJ</v>
          </cell>
          <cell r="F7144" t="str">
            <v>39.986.148/0002-63</v>
          </cell>
          <cell r="G7144" t="str">
            <v>PALMA PE</v>
          </cell>
        </row>
        <row r="7145">
          <cell r="A7145">
            <v>59042</v>
          </cell>
          <cell r="B7145" t="str">
            <v>CORPORATION</v>
          </cell>
          <cell r="C7145" t="str">
            <v>Braroll Acessorios Industriais Ltda</v>
          </cell>
          <cell r="D7145" t="str">
            <v>Braroll Acessorios Industriais</v>
          </cell>
          <cell r="E7145" t="str">
            <v>BR_CNPJ</v>
          </cell>
          <cell r="F7145" t="str">
            <v>32.584.620/0001-01</v>
          </cell>
        </row>
        <row r="7146">
          <cell r="A7146">
            <v>59076</v>
          </cell>
          <cell r="B7146" t="str">
            <v>CORPORATION</v>
          </cell>
          <cell r="C7146" t="str">
            <v>Andrade &amp; Sousa Comercio De Peças E Ferramentas Ltda</v>
          </cell>
          <cell r="D7146" t="str">
            <v>Casa Dos Parafusos</v>
          </cell>
          <cell r="E7146" t="str">
            <v>BR_CNPJ</v>
          </cell>
          <cell r="F7146" t="str">
            <v>05.893.668/0001-29</v>
          </cell>
        </row>
        <row r="7147">
          <cell r="A7147">
            <v>59093</v>
          </cell>
          <cell r="B7147" t="str">
            <v>CORPORATION</v>
          </cell>
          <cell r="C7147" t="str">
            <v>Msolda Equipamentos E Produtos Industriais Ltda</v>
          </cell>
          <cell r="D7147" t="str">
            <v>Msolda Equipamentos E Produtos</v>
          </cell>
          <cell r="E7147" t="str">
            <v>BR_CNPJ</v>
          </cell>
          <cell r="F7147" t="str">
            <v>03.237.686/0001-27</v>
          </cell>
        </row>
        <row r="7148">
          <cell r="A7148">
            <v>59101</v>
          </cell>
          <cell r="B7148" t="str">
            <v>CORPORATION</v>
          </cell>
          <cell r="C7148" t="str">
            <v>Oficina Da Ferramenta Ltda</v>
          </cell>
          <cell r="D7148" t="str">
            <v>Oficina Da Ferramenta Ltda</v>
          </cell>
          <cell r="E7148" t="str">
            <v>BR_CNPJ</v>
          </cell>
          <cell r="F7148" t="str">
            <v>63.600.181/0001-07</v>
          </cell>
        </row>
        <row r="7149">
          <cell r="A7149">
            <v>59104</v>
          </cell>
          <cell r="B7149" t="str">
            <v>CORPORATION</v>
          </cell>
          <cell r="C7149" t="str">
            <v>F. B. De Lima &amp; Cia Ltda</v>
          </cell>
          <cell r="D7149" t="str">
            <v>Tapajos Materiais De Construcao</v>
          </cell>
          <cell r="E7149" t="str">
            <v>BR_CNPJ</v>
          </cell>
          <cell r="F7149" t="str">
            <v>15.097.658/0001-30</v>
          </cell>
        </row>
        <row r="7150">
          <cell r="A7150">
            <v>59106</v>
          </cell>
          <cell r="B7150" t="str">
            <v>CORPORATION</v>
          </cell>
          <cell r="C7150" t="str">
            <v>Starks Comercio Atacadista Ltda</v>
          </cell>
          <cell r="D7150" t="str">
            <v>Starks</v>
          </cell>
          <cell r="E7150" t="str">
            <v>BR_CNPJ</v>
          </cell>
          <cell r="F7150" t="str">
            <v>46.900.329/0001-00</v>
          </cell>
        </row>
        <row r="7151">
          <cell r="A7151">
            <v>59133</v>
          </cell>
          <cell r="B7151" t="str">
            <v>CORPORATION</v>
          </cell>
          <cell r="C7151" t="str">
            <v>Comercial Santos Andrade Ltda</v>
          </cell>
          <cell r="D7151" t="str">
            <v>Mix Varejo</v>
          </cell>
          <cell r="E7151" t="str">
            <v>BR_CNPJ</v>
          </cell>
          <cell r="F7151" t="str">
            <v>11.604.144/0001-73</v>
          </cell>
        </row>
        <row r="7152">
          <cell r="A7152">
            <v>59285</v>
          </cell>
          <cell r="B7152" t="str">
            <v>CORPORATION</v>
          </cell>
          <cell r="C7152" t="str">
            <v>F R Carreira Da Rosa Ltda</v>
          </cell>
          <cell r="D7152" t="str">
            <v>Parana Soldas</v>
          </cell>
          <cell r="E7152" t="str">
            <v>BR_CNPJ</v>
          </cell>
          <cell r="F7152" t="str">
            <v>49.849.150/0001-63</v>
          </cell>
        </row>
        <row r="7153">
          <cell r="A7153">
            <v>59340</v>
          </cell>
          <cell r="B7153" t="str">
            <v>CORPORATION</v>
          </cell>
          <cell r="C7153" t="str">
            <v>Tj Distribuidora De Pneus E Acessorios Ltda</v>
          </cell>
          <cell r="D7153" t="str">
            <v>Tmo</v>
          </cell>
          <cell r="E7153" t="str">
            <v>BR_CNPJ</v>
          </cell>
          <cell r="F7153" t="str">
            <v>08.004.555/0001-13</v>
          </cell>
        </row>
        <row r="7154">
          <cell r="A7154">
            <v>59372</v>
          </cell>
          <cell r="B7154" t="str">
            <v>CORPORATION</v>
          </cell>
          <cell r="C7154" t="str">
            <v>A S Alves Locacao Ltda</v>
          </cell>
          <cell r="D7154" t="str">
            <v>Ale Locacao</v>
          </cell>
          <cell r="E7154" t="str">
            <v>BR_CNPJ</v>
          </cell>
          <cell r="F7154" t="str">
            <v>56.084.911/0001-07</v>
          </cell>
        </row>
        <row r="7155">
          <cell r="A7155">
            <v>59382</v>
          </cell>
          <cell r="B7155" t="str">
            <v>CORPORATION</v>
          </cell>
          <cell r="C7155" t="str">
            <v>Ngv Distribuidora E Solucoes Ltda</v>
          </cell>
          <cell r="D7155" t="str">
            <v>Ngv Distribuidora E Solucoes</v>
          </cell>
          <cell r="E7155" t="str">
            <v>BR_CNPJ</v>
          </cell>
          <cell r="F7155" t="str">
            <v>39.643.017/0001-00</v>
          </cell>
        </row>
        <row r="7156">
          <cell r="A7156">
            <v>59467</v>
          </cell>
          <cell r="B7156" t="str">
            <v>CORPORATION</v>
          </cell>
          <cell r="C7156" t="str">
            <v>Carajas Comercio De Ferramentas Ltda</v>
          </cell>
          <cell r="D7156" t="str">
            <v>Carajas Ferrementas</v>
          </cell>
          <cell r="E7156" t="str">
            <v>BR_CNPJ</v>
          </cell>
          <cell r="F7156" t="str">
            <v>45.706.510/0001-17</v>
          </cell>
        </row>
        <row r="7157">
          <cell r="A7157">
            <v>59511</v>
          </cell>
          <cell r="B7157" t="str">
            <v>CORPORATION</v>
          </cell>
          <cell r="C7157" t="str">
            <v>Silva Kramer Alimentos Ltda</v>
          </cell>
          <cell r="D7157" t="str">
            <v>Ferramentas Kramers</v>
          </cell>
          <cell r="E7157" t="str">
            <v>BR_CNPJ</v>
          </cell>
          <cell r="F7157" t="str">
            <v>02.564.272/0001-40</v>
          </cell>
        </row>
        <row r="7158">
          <cell r="A7158">
            <v>59525</v>
          </cell>
          <cell r="B7158" t="str">
            <v>CORPORATION</v>
          </cell>
          <cell r="C7158" t="str">
            <v>Brasil Soldas E Abrasivos Ltda</v>
          </cell>
          <cell r="D7158" t="str">
            <v>Brasil Soldas E Abrasivos Ltda</v>
          </cell>
          <cell r="E7158" t="str">
            <v>BR_CNPJ</v>
          </cell>
          <cell r="F7158" t="str">
            <v>41.398.836/0001-73</v>
          </cell>
        </row>
        <row r="7159">
          <cell r="A7159">
            <v>59573</v>
          </cell>
          <cell r="B7159" t="str">
            <v>CORPORATION</v>
          </cell>
          <cell r="C7159" t="str">
            <v>Wellington Araujo Dos Santos</v>
          </cell>
          <cell r="D7159" t="str">
            <v>Casa Dos Parafusos</v>
          </cell>
          <cell r="E7159" t="str">
            <v>BR_CNPJ</v>
          </cell>
          <cell r="F7159" t="str">
            <v>40.155.189/0001-06</v>
          </cell>
        </row>
        <row r="7160">
          <cell r="A7160">
            <v>59574</v>
          </cell>
          <cell r="B7160" t="str">
            <v>CORPORATION</v>
          </cell>
          <cell r="C7160" t="str">
            <v>Lucastech Ltda</v>
          </cell>
          <cell r="E7160" t="str">
            <v>BR_CNPJ</v>
          </cell>
          <cell r="F7160" t="str">
            <v>49.441.297/0001-10</v>
          </cell>
        </row>
        <row r="7161">
          <cell r="A7161">
            <v>59580</v>
          </cell>
          <cell r="B7161" t="str">
            <v>CORPORATION</v>
          </cell>
          <cell r="C7161" t="str">
            <v>J.C. Comercial E Distribuidora Ltda</v>
          </cell>
          <cell r="D7161" t="str">
            <v>J.C. Distribuidora</v>
          </cell>
          <cell r="E7161" t="str">
            <v>BR_CNPJ</v>
          </cell>
          <cell r="F7161" t="str">
            <v>28.891.145/0001-49</v>
          </cell>
        </row>
        <row r="7162">
          <cell r="A7162">
            <v>59636</v>
          </cell>
          <cell r="B7162" t="str">
            <v>CORPORATION</v>
          </cell>
          <cell r="C7162" t="str">
            <v>M T Marconi Ltda</v>
          </cell>
          <cell r="D7162" t="str">
            <v>M T Marconi Ltda</v>
          </cell>
          <cell r="E7162" t="str">
            <v>BR_CNPJ</v>
          </cell>
          <cell r="F7162" t="str">
            <v>27.081.522/0001-11</v>
          </cell>
        </row>
        <row r="7163">
          <cell r="A7163">
            <v>59809</v>
          </cell>
          <cell r="B7163" t="str">
            <v>CORPORATION</v>
          </cell>
          <cell r="C7163" t="str">
            <v>Malufer Ferragens E Ferramentas Ltda</v>
          </cell>
          <cell r="D7163" t="str">
            <v>Malufer Ferragens E Ferramentas</v>
          </cell>
          <cell r="E7163" t="str">
            <v>BR_CNPJ</v>
          </cell>
          <cell r="F7163" t="str">
            <v>43.014.548/0001-01</v>
          </cell>
        </row>
        <row r="7164">
          <cell r="A7164">
            <v>59871</v>
          </cell>
          <cell r="B7164" t="str">
            <v>CORPORATION</v>
          </cell>
          <cell r="C7164" t="str">
            <v>Wm Comércio Para Manutenção Industrial Ltda.</v>
          </cell>
          <cell r="D7164" t="str">
            <v>Wm Comercio Para Manutencao Industrial</v>
          </cell>
          <cell r="E7164" t="str">
            <v>BR_CNPJ</v>
          </cell>
          <cell r="F7164" t="str">
            <v>36.557.558/0001-10</v>
          </cell>
        </row>
        <row r="7165">
          <cell r="A7165">
            <v>59978</v>
          </cell>
          <cell r="B7165" t="str">
            <v>CORPORATION</v>
          </cell>
          <cell r="C7165" t="str">
            <v>Hebron Comercial E Importadora De Ferramentas Ltda</v>
          </cell>
          <cell r="D7165" t="str">
            <v>Hebron Ferramentas</v>
          </cell>
          <cell r="E7165" t="str">
            <v>BR_CNPJ</v>
          </cell>
          <cell r="F7165" t="str">
            <v>11.160.509/0001-18</v>
          </cell>
        </row>
        <row r="7166">
          <cell r="A7166">
            <v>59979</v>
          </cell>
          <cell r="B7166" t="str">
            <v>CORPORATION</v>
          </cell>
          <cell r="C7166" t="str">
            <v>Bmb Material De Construcao S.A.</v>
          </cell>
          <cell r="D7166" t="str">
            <v>Obramax Contagem (Mg)</v>
          </cell>
          <cell r="E7166" t="str">
            <v>BR_CNPJ</v>
          </cell>
          <cell r="F7166" t="str">
            <v>23.476.033/0011-80</v>
          </cell>
          <cell r="G7166" t="str">
            <v>OBRAMAX</v>
          </cell>
        </row>
        <row r="7167">
          <cell r="A7167">
            <v>60152</v>
          </cell>
          <cell r="B7167" t="str">
            <v>CORPORATION</v>
          </cell>
          <cell r="C7167" t="str">
            <v>Detools Comercio De Ferramentas Ltda</v>
          </cell>
          <cell r="D7167" t="str">
            <v>Detools Comercio De Ferramentas Ltda</v>
          </cell>
          <cell r="E7167" t="str">
            <v>BR_CNPJ</v>
          </cell>
          <cell r="F7167" t="str">
            <v>18.056.104/0001-83</v>
          </cell>
        </row>
        <row r="7168">
          <cell r="A7168">
            <v>60212</v>
          </cell>
          <cell r="B7168" t="str">
            <v>CORPORATION</v>
          </cell>
          <cell r="C7168" t="str">
            <v>Clomac Parafusos E Ferramentas Ltda</v>
          </cell>
          <cell r="D7168" t="str">
            <v>Clomac Parafusos E Ferramentas Ltda</v>
          </cell>
          <cell r="E7168" t="str">
            <v>BR_CNPJ</v>
          </cell>
          <cell r="F7168" t="str">
            <v>44.914.968/0001-07</v>
          </cell>
        </row>
        <row r="7169">
          <cell r="A7169">
            <v>60307</v>
          </cell>
          <cell r="B7169" t="str">
            <v>CORPORATION</v>
          </cell>
          <cell r="C7169" t="str">
            <v>Alice De C. Sabino Manutencao E Comercio De Maquinas E Equipamentos</v>
          </cell>
          <cell r="D7169" t="str">
            <v>Flamatech</v>
          </cell>
          <cell r="E7169" t="str">
            <v>BR_CNPJ</v>
          </cell>
          <cell r="F7169" t="str">
            <v>36.845.150/0001-43</v>
          </cell>
        </row>
        <row r="7170">
          <cell r="A7170">
            <v>60335</v>
          </cell>
          <cell r="B7170" t="str">
            <v>CORPORATION</v>
          </cell>
          <cell r="C7170" t="str">
            <v>Bassetto Ferragens E Ferramentas Ltda</v>
          </cell>
          <cell r="D7170" t="str">
            <v>Bassetto Ferragens E Ferramentas Ltda</v>
          </cell>
          <cell r="E7170" t="str">
            <v>BR_CNPJ</v>
          </cell>
          <cell r="F7170" t="str">
            <v>50.943.757/0001-97</v>
          </cell>
          <cell r="G7170" t="str">
            <v>MOTORBASS</v>
          </cell>
        </row>
        <row r="7171">
          <cell r="A7171">
            <v>60498</v>
          </cell>
          <cell r="B7171" t="str">
            <v>CORPORATION</v>
          </cell>
          <cell r="C7171" t="str">
            <v>G.L Silva Comercio De Peças Para Maquinas Pesadas Ltda</v>
          </cell>
          <cell r="D7171" t="str">
            <v>Smart Lub</v>
          </cell>
          <cell r="E7171" t="str">
            <v>BR_CNPJ</v>
          </cell>
          <cell r="F7171" t="str">
            <v>59.846.274/0001-49</v>
          </cell>
        </row>
        <row r="7172">
          <cell r="A7172">
            <v>60536</v>
          </cell>
          <cell r="B7172" t="str">
            <v>CORPORATION</v>
          </cell>
          <cell r="C7172" t="str">
            <v>Mardan Material De Construção Ltda - Me</v>
          </cell>
          <cell r="D7172" t="str">
            <v xml:space="preserve">Construmarques	</v>
          </cell>
          <cell r="E7172" t="str">
            <v>BR_CNPJ</v>
          </cell>
          <cell r="F7172" t="str">
            <v>25.106.400/0001-07</v>
          </cell>
        </row>
        <row r="7173">
          <cell r="A7173">
            <v>60566</v>
          </cell>
          <cell r="B7173" t="str">
            <v>CORPORATION</v>
          </cell>
          <cell r="C7173" t="str">
            <v>Bmb Material De Construcao S.A.</v>
          </cell>
          <cell r="D7173" t="str">
            <v>Obramax Campo Grande</v>
          </cell>
          <cell r="E7173" t="str">
            <v>BR_CNPJ</v>
          </cell>
          <cell r="F7173" t="str">
            <v>23.476.033/0020-70</v>
          </cell>
          <cell r="G7173" t="str">
            <v>OBRAMAX</v>
          </cell>
        </row>
        <row r="7174">
          <cell r="A7174">
            <v>60691</v>
          </cell>
          <cell r="B7174" t="str">
            <v>CORPORATION</v>
          </cell>
          <cell r="C7174" t="str">
            <v>24.097.555 Fabricio Salatino Garcia</v>
          </cell>
          <cell r="D7174" t="str">
            <v>Fabricio Soldas</v>
          </cell>
          <cell r="E7174" t="str">
            <v>BR_CNPJ</v>
          </cell>
          <cell r="F7174" t="str">
            <v>24.097.555/0001-61</v>
          </cell>
        </row>
        <row r="7175">
          <cell r="A7175">
            <v>60761</v>
          </cell>
          <cell r="B7175" t="str">
            <v>CORPORATION</v>
          </cell>
          <cell r="C7175" t="str">
            <v>Oxi Barreira Ltda</v>
          </cell>
          <cell r="D7175" t="str">
            <v>Oxi Barreira</v>
          </cell>
          <cell r="E7175" t="str">
            <v>BR_CNPJ</v>
          </cell>
          <cell r="F7175" t="str">
            <v>03.980.515/0001-93</v>
          </cell>
        </row>
        <row r="7176">
          <cell r="A7176">
            <v>60888</v>
          </cell>
          <cell r="B7176" t="str">
            <v>CORPORATION</v>
          </cell>
          <cell r="C7176" t="str">
            <v>T B Rio Comercio De Soldas E Abrasivos Ltda</v>
          </cell>
          <cell r="D7176" t="str">
            <v>Tb Rio</v>
          </cell>
          <cell r="E7176" t="str">
            <v>BR_CNPJ</v>
          </cell>
          <cell r="F7176" t="str">
            <v>10.408.154/0001-70</v>
          </cell>
        </row>
        <row r="7177">
          <cell r="A7177">
            <v>60914</v>
          </cell>
          <cell r="B7177" t="str">
            <v>CORPORATION</v>
          </cell>
          <cell r="C7177" t="str">
            <v>Uniao Gases E Materias Para Solda Ltda</v>
          </cell>
          <cell r="D7177" t="str">
            <v>Uniao Gases E Materias Para Solda Ltda</v>
          </cell>
          <cell r="E7177" t="str">
            <v>BR_CNPJ</v>
          </cell>
          <cell r="F7177" t="str">
            <v>60.787.932/0001-58</v>
          </cell>
        </row>
        <row r="7178">
          <cell r="A7178">
            <v>60916</v>
          </cell>
          <cell r="B7178" t="str">
            <v>CORPORATION</v>
          </cell>
          <cell r="C7178" t="str">
            <v>Al Desoldas Ltda</v>
          </cell>
          <cell r="D7178" t="str">
            <v>Al Desoldas</v>
          </cell>
          <cell r="E7178" t="str">
            <v>BR_CNPJ</v>
          </cell>
          <cell r="F7178" t="str">
            <v>62.985.238/0001-70</v>
          </cell>
          <cell r="G7178" t="str">
            <v>D SOLDAS</v>
          </cell>
        </row>
        <row r="7179">
          <cell r="A7179">
            <v>61172</v>
          </cell>
          <cell r="B7179" t="str">
            <v>CORPORATION</v>
          </cell>
          <cell r="C7179" t="str">
            <v>Bmb Material De Construcao S.A.</v>
          </cell>
          <cell r="D7179" t="str">
            <v>Obramax Aparecida De Goiânia</v>
          </cell>
          <cell r="E7179" t="str">
            <v>BR_CNPJ</v>
          </cell>
          <cell r="F7179" t="str">
            <v>23.476.033/0028-28</v>
          </cell>
          <cell r="G7179" t="str">
            <v>OBRAMAX</v>
          </cell>
        </row>
        <row r="7180">
          <cell r="A7180">
            <v>61349</v>
          </cell>
          <cell r="B7180" t="str">
            <v>CORPORATION</v>
          </cell>
          <cell r="C7180" t="str">
            <v>Amasa Comercio E Distribuidora Ltda</v>
          </cell>
          <cell r="E7180" t="str">
            <v>BR_CNPJ</v>
          </cell>
          <cell r="F7180" t="str">
            <v>61.473.649/0001-14</v>
          </cell>
        </row>
        <row r="7181">
          <cell r="A7181">
            <v>61454</v>
          </cell>
          <cell r="B7181" t="str">
            <v>CORPORATION</v>
          </cell>
          <cell r="C7181" t="str">
            <v>Comercial Chaves Ltda</v>
          </cell>
          <cell r="D7181" t="str">
            <v>Comercial Chaves</v>
          </cell>
          <cell r="E7181" t="str">
            <v>BR_CNPJ</v>
          </cell>
          <cell r="F7181" t="str">
            <v>11.088.989/0001-53</v>
          </cell>
        </row>
        <row r="7182">
          <cell r="A7182">
            <v>62031</v>
          </cell>
          <cell r="B7182" t="str">
            <v>CORPORATION</v>
          </cell>
          <cell r="C7182" t="str">
            <v>Intersolda Ltda</v>
          </cell>
          <cell r="E7182" t="str">
            <v>BR_CNPJ</v>
          </cell>
          <cell r="F7182" t="str">
            <v>65.678.821/0001-27</v>
          </cell>
        </row>
        <row r="7183">
          <cell r="A7183">
            <v>62214</v>
          </cell>
          <cell r="B7183" t="str">
            <v>CORPORATION</v>
          </cell>
          <cell r="C7183" t="str">
            <v>Rodovias Servicos Ltda</v>
          </cell>
          <cell r="D7183" t="str">
            <v>Rodovias Servicos E Sinalizacao</v>
          </cell>
          <cell r="E7183" t="str">
            <v>BR_CNPJ</v>
          </cell>
          <cell r="F7183" t="str">
            <v>34.724.408/0001-28</v>
          </cell>
        </row>
        <row r="7184">
          <cell r="A7184">
            <v>62230</v>
          </cell>
          <cell r="B7184" t="str">
            <v>CORPORATION</v>
          </cell>
          <cell r="C7184" t="str">
            <v>Ferragista Quase Tudo Tem Ltda</v>
          </cell>
          <cell r="D7184" t="str">
            <v>Ferragista Quase Tudo Tem!</v>
          </cell>
          <cell r="E7184" t="str">
            <v>BR_CNPJ</v>
          </cell>
          <cell r="F7184" t="str">
            <v>59.406.205/0001-14</v>
          </cell>
        </row>
        <row r="7185">
          <cell r="A7185">
            <v>62419</v>
          </cell>
          <cell r="B7185" t="str">
            <v>CORPORATION</v>
          </cell>
          <cell r="C7185" t="str">
            <v>A.R.W. Ferragens &amp; Eletrica Ltda</v>
          </cell>
          <cell r="D7185" t="str">
            <v>Eletrica Paraiso</v>
          </cell>
          <cell r="E7185" t="str">
            <v>BR_CNPJ</v>
          </cell>
          <cell r="F7185" t="str">
            <v>01.804.918/0001-56</v>
          </cell>
        </row>
        <row r="7186">
          <cell r="A7186">
            <v>62468</v>
          </cell>
          <cell r="B7186" t="str">
            <v>CORPORATION</v>
          </cell>
          <cell r="C7186" t="str">
            <v>Almir Herisson C. Dos Santos Ltda</v>
          </cell>
          <cell r="D7186" t="str">
            <v>Ahc Santos Servicos</v>
          </cell>
          <cell r="E7186" t="str">
            <v>BR_CNPJ</v>
          </cell>
          <cell r="F7186" t="str">
            <v>60.857.793/0001-91</v>
          </cell>
        </row>
        <row r="7187">
          <cell r="A7187">
            <v>62476</v>
          </cell>
          <cell r="B7187" t="str">
            <v>CORPORATION</v>
          </cell>
          <cell r="C7187" t="str">
            <v>Gran Roche Comercio Ltda</v>
          </cell>
          <cell r="D7187" t="str">
            <v>Gran Roche</v>
          </cell>
          <cell r="E7187" t="str">
            <v>BR_CNPJ</v>
          </cell>
          <cell r="F7187" t="str">
            <v>72.634.025/0001-58</v>
          </cell>
        </row>
        <row r="7188">
          <cell r="A7188">
            <v>62499</v>
          </cell>
          <cell r="B7188" t="str">
            <v>CORPORATION</v>
          </cell>
          <cell r="C7188" t="str">
            <v>Alefer Rafael Maia Da Costa Ltda</v>
          </cell>
          <cell r="D7188" t="str">
            <v>Arm Aco &amp; Ferro</v>
          </cell>
          <cell r="E7188" t="str">
            <v>BR_CNPJ</v>
          </cell>
          <cell r="F7188" t="str">
            <v>29.773.112/0001-67</v>
          </cell>
        </row>
        <row r="7189">
          <cell r="A7189">
            <v>62504</v>
          </cell>
          <cell r="B7189" t="str">
            <v>CORPORATION</v>
          </cell>
          <cell r="C7189" t="str">
            <v>Ferragista Lima Moinho Dos Ventos Ltda</v>
          </cell>
          <cell r="D7189" t="str">
            <v>Ferragista Lima Moinho Dos Ventos Ltda</v>
          </cell>
          <cell r="E7189" t="str">
            <v>BR_CNPJ</v>
          </cell>
          <cell r="F7189" t="str">
            <v>51.617.950/0001-09</v>
          </cell>
        </row>
        <row r="7190">
          <cell r="A7190">
            <v>62520</v>
          </cell>
          <cell r="B7190" t="str">
            <v>CORPORATION</v>
          </cell>
          <cell r="C7190" t="str">
            <v>D R De Matos Ferragens Ltda</v>
          </cell>
          <cell r="D7190" t="str">
            <v>Matos Ferragens</v>
          </cell>
          <cell r="E7190" t="str">
            <v>BR_CNPJ</v>
          </cell>
          <cell r="F7190" t="str">
            <v>16.685.621/0001-96</v>
          </cell>
        </row>
        <row r="7191">
          <cell r="A7191">
            <v>62546</v>
          </cell>
          <cell r="B7191" t="str">
            <v>CORPORATION</v>
          </cell>
          <cell r="C7191" t="str">
            <v>Impacto Eletrica Servicos E Locacoes Ltda</v>
          </cell>
          <cell r="D7191" t="str">
            <v>Impacto Eletrica</v>
          </cell>
          <cell r="E7191" t="str">
            <v>BR_CNPJ</v>
          </cell>
          <cell r="F7191" t="str">
            <v>32.530.714/0001-06</v>
          </cell>
        </row>
        <row r="7192">
          <cell r="A7192">
            <v>62611</v>
          </cell>
          <cell r="B7192" t="str">
            <v>CORPORATION</v>
          </cell>
          <cell r="C7192" t="str">
            <v>Flavia Maciel Cicione 07417142648</v>
          </cell>
          <cell r="D7192" t="str">
            <v>Parafusão Parafusos E Ferramentas</v>
          </cell>
          <cell r="E7192" t="str">
            <v>BR_CNPJ</v>
          </cell>
          <cell r="F7192" t="str">
            <v>32.122.761/0001-02</v>
          </cell>
        </row>
        <row r="7193">
          <cell r="A7193">
            <v>62613</v>
          </cell>
          <cell r="B7193" t="str">
            <v>CORPORATION</v>
          </cell>
          <cell r="C7193" t="str">
            <v>Joao Victor Ciriaca Martinez</v>
          </cell>
          <cell r="E7193" t="str">
            <v>BR_CNPJ</v>
          </cell>
          <cell r="F7193" t="str">
            <v>59.200.604/0001-24</v>
          </cell>
        </row>
        <row r="7194">
          <cell r="A7194">
            <v>62619</v>
          </cell>
          <cell r="B7194" t="str">
            <v>CORPORATION</v>
          </cell>
          <cell r="C7194" t="str">
            <v>De Lima Materiais Para Construcao Ltda</v>
          </cell>
          <cell r="D7194" t="str">
            <v>De Lima Materiais Para Construcao</v>
          </cell>
          <cell r="E7194" t="str">
            <v>BR_CNPJ</v>
          </cell>
          <cell r="F7194" t="str">
            <v>06.866.778/0001-64</v>
          </cell>
        </row>
        <row r="7195">
          <cell r="A7195">
            <v>62697</v>
          </cell>
          <cell r="B7195" t="str">
            <v>CORPORATION</v>
          </cell>
          <cell r="C7195" t="str">
            <v>Maderaco Comercio De Madeiras Ltda</v>
          </cell>
          <cell r="D7195" t="str">
            <v>Maderaco</v>
          </cell>
          <cell r="E7195" t="str">
            <v>BR_CNPJ</v>
          </cell>
          <cell r="F7195" t="str">
            <v>06.178.325/0001-45</v>
          </cell>
        </row>
        <row r="7196">
          <cell r="A7196">
            <v>62743</v>
          </cell>
          <cell r="B7196" t="str">
            <v>CORPORATION</v>
          </cell>
          <cell r="C7196" t="str">
            <v>Rafil Suprimentos Offshore Ltda</v>
          </cell>
          <cell r="D7196" t="str">
            <v>Rafil Suprimentos Offshore</v>
          </cell>
          <cell r="E7196" t="str">
            <v>BR_CNPJ</v>
          </cell>
          <cell r="F7196" t="str">
            <v>37.718.128/0001-03</v>
          </cell>
        </row>
        <row r="7197">
          <cell r="A7197">
            <v>62778</v>
          </cell>
          <cell r="B7197" t="str">
            <v>CORPORATION</v>
          </cell>
          <cell r="C7197" t="str">
            <v>Finotti Comercio De Equipamentos Casa Branca Ltda</v>
          </cell>
          <cell r="D7197" t="str">
            <v>Finotti Epi Ferramentas</v>
          </cell>
          <cell r="E7197" t="str">
            <v>BR_CNPJ</v>
          </cell>
          <cell r="F7197" t="str">
            <v>63.510.742/0001-87</v>
          </cell>
          <cell r="G7197" t="str">
            <v>FINOTTI</v>
          </cell>
        </row>
        <row r="7198">
          <cell r="A7198">
            <v>63013</v>
          </cell>
          <cell r="B7198" t="str">
            <v>CORPORATION</v>
          </cell>
          <cell r="C7198" t="str">
            <v>Comercial De Materiais Metalicos E Acessorios Ltda</v>
          </cell>
          <cell r="D7198" t="str">
            <v>Comercial De Materiais Metalicos E Acessorios Ltda</v>
          </cell>
          <cell r="E7198" t="str">
            <v>BR_CNPJ</v>
          </cell>
          <cell r="F7198" t="str">
            <v>62.685.838/0002-02</v>
          </cell>
          <cell r="G7198" t="str">
            <v>METAL RAPIDO</v>
          </cell>
        </row>
        <row r="7199">
          <cell r="A7199">
            <v>63025</v>
          </cell>
          <cell r="B7199" t="str">
            <v>CORPORATION</v>
          </cell>
          <cell r="C7199" t="str">
            <v>Wgr Atacado Mro Ltda</v>
          </cell>
          <cell r="D7199" t="str">
            <v>Wgr Atacado Mro Ltda</v>
          </cell>
          <cell r="E7199" t="str">
            <v>BR_CNPJ</v>
          </cell>
          <cell r="F7199" t="str">
            <v>64.718.645/0001-47</v>
          </cell>
          <cell r="G7199" t="str">
            <v>RIPISOLDAS</v>
          </cell>
        </row>
        <row r="7200">
          <cell r="A7200">
            <v>63035</v>
          </cell>
          <cell r="B7200" t="str">
            <v>CORPORATION</v>
          </cell>
          <cell r="C7200" t="str">
            <v>Acos Cardoso Ltda</v>
          </cell>
          <cell r="D7200" t="str">
            <v>Acos Cardoso Ltda</v>
          </cell>
          <cell r="E7200" t="str">
            <v>BR_CNPJ</v>
          </cell>
          <cell r="F7200" t="str">
            <v>10.410.808/0001-09</v>
          </cell>
        </row>
        <row r="7201">
          <cell r="A7201">
            <v>63040</v>
          </cell>
          <cell r="B7201" t="str">
            <v>CORPORATION</v>
          </cell>
          <cell r="C7201" t="str">
            <v>Visoaço Produtos Siderurgicos</v>
          </cell>
          <cell r="D7201" t="str">
            <v>Visoaco Produtos Siderurgicos</v>
          </cell>
          <cell r="E7201" t="str">
            <v>BR_CNPJ</v>
          </cell>
          <cell r="F7201" t="str">
            <v>33.551.555/0001-80</v>
          </cell>
        </row>
        <row r="7202">
          <cell r="A7202">
            <v>63150</v>
          </cell>
          <cell r="B7202" t="str">
            <v>CORPORATION</v>
          </cell>
          <cell r="C7202" t="str">
            <v>R. Medrado Silva Comercio</v>
          </cell>
          <cell r="D7202" t="str">
            <v>Rm Parafusos</v>
          </cell>
          <cell r="E7202" t="str">
            <v>BR_CNPJ</v>
          </cell>
          <cell r="F7202" t="str">
            <v>65.792.868/0001-17</v>
          </cell>
        </row>
        <row r="7203">
          <cell r="A7203">
            <v>63184</v>
          </cell>
          <cell r="B7203" t="str">
            <v>CORPORATION</v>
          </cell>
          <cell r="C7203" t="str">
            <v>Cooperativa Dos Plantadores De Cana Do Estado Sao Paulo</v>
          </cell>
          <cell r="D7203" t="str">
            <v>Coplacana</v>
          </cell>
          <cell r="E7203" t="str">
            <v>BR_CNPJ</v>
          </cell>
          <cell r="F7203" t="str">
            <v>54.366.547/0002-15</v>
          </cell>
          <cell r="G7203" t="str">
            <v>COPLACANA</v>
          </cell>
        </row>
        <row r="7204">
          <cell r="A7204">
            <v>63189</v>
          </cell>
          <cell r="B7204" t="str">
            <v>CORPORATION</v>
          </cell>
          <cell r="C7204" t="str">
            <v>Blanc De Padua Materiais De Construcao Ltda</v>
          </cell>
          <cell r="D7204" t="str">
            <v>Blanc Designer</v>
          </cell>
          <cell r="E7204" t="str">
            <v>BR_CNPJ</v>
          </cell>
          <cell r="F7204" t="str">
            <v>02.804.127/0001-99</v>
          </cell>
        </row>
        <row r="7205">
          <cell r="A7205">
            <v>63201</v>
          </cell>
          <cell r="B7205" t="str">
            <v>CORPORATION</v>
          </cell>
          <cell r="C7205" t="str">
            <v>Bmb Material De Construcao S.A.</v>
          </cell>
          <cell r="D7205" t="str">
            <v>Obramax Cuiabá</v>
          </cell>
          <cell r="E7205" t="str">
            <v>BR_CNPJ</v>
          </cell>
          <cell r="F7205" t="str">
            <v>23.476.033/0023-13</v>
          </cell>
          <cell r="G7205" t="str">
            <v>OBRAMAX</v>
          </cell>
        </row>
        <row r="7206">
          <cell r="A7206">
            <v>63202</v>
          </cell>
          <cell r="B7206" t="str">
            <v>CORPORATION</v>
          </cell>
          <cell r="C7206" t="str">
            <v>Lag Flex Ltda</v>
          </cell>
          <cell r="D7206" t="str">
            <v>Lag Flex</v>
          </cell>
          <cell r="E7206" t="str">
            <v>BR_CNPJ</v>
          </cell>
          <cell r="F7206" t="str">
            <v>44.334.363/0001-39</v>
          </cell>
        </row>
        <row r="7207">
          <cell r="A7207">
            <v>63204</v>
          </cell>
          <cell r="B7207" t="str">
            <v>CORPORATION</v>
          </cell>
          <cell r="C7207" t="str">
            <v>Comercial De Ferros R.S.Ltda</v>
          </cell>
          <cell r="E7207" t="str">
            <v>BR_CNPJ</v>
          </cell>
          <cell r="F7207" t="str">
            <v>57.644.676/0001-35</v>
          </cell>
        </row>
        <row r="7208">
          <cell r="A7208">
            <v>63457</v>
          </cell>
          <cell r="B7208" t="str">
            <v>CORPORATION</v>
          </cell>
          <cell r="C7208" t="str">
            <v>F C L Fabricacao De Produtos Agricolas Ltda</v>
          </cell>
          <cell r="D7208" t="str">
            <v>F C L Fabricacao</v>
          </cell>
          <cell r="E7208" t="str">
            <v>BR_CNPJ</v>
          </cell>
          <cell r="F7208" t="str">
            <v>44.922.521/0001-71</v>
          </cell>
          <cell r="G7208" t="str">
            <v>AGRONIL</v>
          </cell>
        </row>
        <row r="7209">
          <cell r="A7209">
            <v>63520</v>
          </cell>
          <cell r="B7209" t="str">
            <v>CORPORATION</v>
          </cell>
          <cell r="C7209" t="str">
            <v>Bmb Material De Construcao S.A.</v>
          </cell>
          <cell r="D7209" t="str">
            <v>Obramax Taguatinga</v>
          </cell>
          <cell r="E7209" t="str">
            <v>BR_CNPJ</v>
          </cell>
          <cell r="F7209" t="str">
            <v>23.476.033/0024-02</v>
          </cell>
          <cell r="G7209" t="str">
            <v>OBRAMAX</v>
          </cell>
        </row>
        <row r="7210">
          <cell r="A7210">
            <v>63527</v>
          </cell>
          <cell r="B7210" t="str">
            <v>CORPORATION</v>
          </cell>
          <cell r="C7210" t="str">
            <v>Otimus Maquinas E Equipamentos Industriais Ltda</v>
          </cell>
          <cell r="D7210" t="str">
            <v>Otimus Industrial</v>
          </cell>
          <cell r="E7210" t="str">
            <v>BR_CNPJ</v>
          </cell>
          <cell r="F7210" t="str">
            <v>24.657.483/0001-60</v>
          </cell>
        </row>
        <row r="7211">
          <cell r="A7211">
            <v>63583</v>
          </cell>
          <cell r="B7211" t="str">
            <v>CORPORATION</v>
          </cell>
          <cell r="C7211" t="str">
            <v>Elaro Comercio Multisetorial Ltda</v>
          </cell>
          <cell r="D7211" t="str">
            <v>Elaro Comercio Multisetorial Ltda</v>
          </cell>
          <cell r="E7211" t="str">
            <v>BR_CNPJ</v>
          </cell>
          <cell r="F7211" t="str">
            <v>55.349.649/0001-04</v>
          </cell>
        </row>
        <row r="7212">
          <cell r="A7212">
            <v>63654</v>
          </cell>
          <cell r="B7212" t="str">
            <v>CORPORATION</v>
          </cell>
          <cell r="C7212" t="str">
            <v>Homix Ltda</v>
          </cell>
          <cell r="D7212" t="str">
            <v>Homix Comercio Multisetorial</v>
          </cell>
          <cell r="E7212" t="str">
            <v>BR_CNPJ</v>
          </cell>
          <cell r="F7212" t="str">
            <v>59.448.595/0001-95</v>
          </cell>
        </row>
        <row r="7213">
          <cell r="A7213">
            <v>64056</v>
          </cell>
          <cell r="B7213" t="str">
            <v>CORPORATION</v>
          </cell>
          <cell r="C7213" t="str">
            <v>Bmb Material De Construcao S.A.</v>
          </cell>
          <cell r="D7213" t="str">
            <v>Obramax Taguatinga</v>
          </cell>
          <cell r="E7213" t="str">
            <v>BR_CNPJ</v>
          </cell>
          <cell r="F7213" t="str">
            <v>23.476.033/0001-08</v>
          </cell>
          <cell r="G7213" t="str">
            <v>OBRAMAX</v>
          </cell>
        </row>
        <row r="7214">
          <cell r="A7214">
            <v>64123</v>
          </cell>
          <cell r="B7214" t="str">
            <v>CORPORATION</v>
          </cell>
          <cell r="C7214" t="str">
            <v>Pedro Antonio Maset Junior &amp; Cia Ltda.</v>
          </cell>
          <cell r="D7214" t="str">
            <v>Agro Sao Pedro</v>
          </cell>
          <cell r="E7214" t="str">
            <v>BR_CNPJ</v>
          </cell>
          <cell r="F7214" t="str">
            <v>03.794.178/0001-40</v>
          </cell>
        </row>
        <row r="7215">
          <cell r="A7215">
            <v>64134</v>
          </cell>
          <cell r="B7215" t="str">
            <v>CORPORATION</v>
          </cell>
          <cell r="C7215" t="str">
            <v>Ge - Comercio De Protecao E Ferramentas Ltda</v>
          </cell>
          <cell r="D7215" t="str">
            <v>Protmaster</v>
          </cell>
          <cell r="E7215" t="str">
            <v>BR_CNPJ</v>
          </cell>
          <cell r="F7215" t="str">
            <v>12.643.932/0001-31</v>
          </cell>
        </row>
        <row r="7216">
          <cell r="A7216">
            <v>64248</v>
          </cell>
          <cell r="B7216" t="str">
            <v>CORPORATION</v>
          </cell>
          <cell r="C7216" t="str">
            <v>Fernandes Contrucao Distribuicao E Exportacao Ltda</v>
          </cell>
          <cell r="D7216" t="str">
            <v>Construtora Fernandes</v>
          </cell>
          <cell r="E7216" t="str">
            <v>BR_CNPJ</v>
          </cell>
          <cell r="F7216" t="str">
            <v>41.851.758/0001-10</v>
          </cell>
        </row>
        <row r="7217">
          <cell r="A7217">
            <v>64262</v>
          </cell>
          <cell r="B7217" t="str">
            <v>CORPORATION</v>
          </cell>
          <cell r="C7217" t="str">
            <v>Central Do Operário De Bom Jesus Ltda</v>
          </cell>
          <cell r="D7217" t="str">
            <v>Central Do Operário</v>
          </cell>
          <cell r="E7217" t="str">
            <v>BR_CNPJ</v>
          </cell>
          <cell r="F7217" t="str">
            <v>55.655.193/0001-00</v>
          </cell>
          <cell r="G7217" t="str">
            <v>CENTRAL DO OPERARIO</v>
          </cell>
        </row>
        <row r="7218">
          <cell r="A7218">
            <v>64675</v>
          </cell>
          <cell r="B7218" t="str">
            <v>CORPORATION</v>
          </cell>
          <cell r="C7218" t="str">
            <v>Amazon Servicos De Varejo Do Brasil Ltda.</v>
          </cell>
          <cell r="D7218" t="str">
            <v>Gru8</v>
          </cell>
          <cell r="E7218" t="str">
            <v>BR_CNPJ</v>
          </cell>
          <cell r="F7218" t="str">
            <v>15.436.940/0012-58</v>
          </cell>
          <cell r="G7218" t="str">
            <v>AMAZON</v>
          </cell>
        </row>
        <row r="7219">
          <cell r="A7219">
            <v>64677</v>
          </cell>
          <cell r="B7219" t="str">
            <v>CORPORATION</v>
          </cell>
          <cell r="C7219" t="str">
            <v>Amazon Servicos De Varejo Do Brasil Ltda.</v>
          </cell>
          <cell r="D7219" t="str">
            <v>Cnf2</v>
          </cell>
          <cell r="E7219" t="str">
            <v>BR_CNPJ</v>
          </cell>
          <cell r="F7219" t="str">
            <v>15.436.940/0037-06</v>
          </cell>
          <cell r="G7219" t="str">
            <v>AMAZON</v>
          </cell>
        </row>
        <row r="7220">
          <cell r="A7220">
            <v>64681</v>
          </cell>
          <cell r="B7220" t="str">
            <v>CORPORATION</v>
          </cell>
          <cell r="C7220" t="str">
            <v>Mv Acos E Tubos Ltda</v>
          </cell>
          <cell r="D7220" t="str">
            <v>Mv Acos E Tubos Ltda</v>
          </cell>
          <cell r="E7220" t="str">
            <v>BR_CNPJ</v>
          </cell>
          <cell r="F7220" t="str">
            <v>28.236.906/0001-29</v>
          </cell>
        </row>
        <row r="7221">
          <cell r="A7221">
            <v>64694</v>
          </cell>
          <cell r="B7221" t="str">
            <v>CORPORATION</v>
          </cell>
          <cell r="C7221" t="str">
            <v>Santos Distribuidora De Ferragens E Ferramentas Ltda</v>
          </cell>
          <cell r="D7221" t="str">
            <v>Santos, Distribuidora De Ferragens E Ac</v>
          </cell>
          <cell r="E7221" t="str">
            <v>BR_CNPJ</v>
          </cell>
          <cell r="F7221" t="str">
            <v>41.489.989/0001-26</v>
          </cell>
        </row>
        <row r="7222">
          <cell r="A7222">
            <v>64739</v>
          </cell>
          <cell r="B7222" t="str">
            <v>CORPORATION</v>
          </cell>
          <cell r="C7222" t="str">
            <v>Bgn Ferragens Ltda</v>
          </cell>
          <cell r="D7222" t="str">
            <v>Bgn Ferragens</v>
          </cell>
          <cell r="E7222" t="str">
            <v>BR_CNPJ</v>
          </cell>
          <cell r="F7222" t="str">
            <v>20.337.412/0003-90</v>
          </cell>
        </row>
        <row r="7223">
          <cell r="A7223">
            <v>64780</v>
          </cell>
          <cell r="B7223" t="str">
            <v>CORPORATION</v>
          </cell>
          <cell r="C7223" t="str">
            <v>Hqz Distribuidora Ltda</v>
          </cell>
          <cell r="D7223" t="str">
            <v>Hqz Distribuidora</v>
          </cell>
          <cell r="E7223" t="str">
            <v>BR_CNPJ</v>
          </cell>
          <cell r="F7223" t="str">
            <v>47.867.862/0001-80</v>
          </cell>
        </row>
        <row r="7224">
          <cell r="A7224">
            <v>64788</v>
          </cell>
          <cell r="B7224" t="str">
            <v>CORPORATION</v>
          </cell>
          <cell r="C7224" t="str">
            <v>Fassina Comercio De Parafusos Ltda</v>
          </cell>
          <cell r="D7224" t="str">
            <v>Casa Dos Parafusos</v>
          </cell>
          <cell r="E7224" t="str">
            <v>BR_CNPJ</v>
          </cell>
          <cell r="F7224" t="str">
            <v>57.111.991/0001-05</v>
          </cell>
        </row>
        <row r="7225">
          <cell r="A7225">
            <v>65073</v>
          </cell>
          <cell r="B7225" t="str">
            <v>CORPORATION</v>
          </cell>
          <cell r="C7225" t="str">
            <v>Donna Parafusos Ltda</v>
          </cell>
          <cell r="D7225" t="str">
            <v>Donna Parafusos</v>
          </cell>
          <cell r="E7225" t="str">
            <v>BR_CNPJ</v>
          </cell>
          <cell r="F7225" t="str">
            <v>49.615.082/0001-78</v>
          </cell>
        </row>
        <row r="7226">
          <cell r="A7226">
            <v>65077</v>
          </cell>
          <cell r="B7226" t="str">
            <v>CORPORATION</v>
          </cell>
          <cell r="C7226" t="str">
            <v>Lucky Friends Kustom Beer Ltda</v>
          </cell>
          <cell r="D7226" t="str">
            <v>Lucky Friends Beer</v>
          </cell>
          <cell r="E7226" t="str">
            <v>BR_CNPJ</v>
          </cell>
          <cell r="F7226" t="str">
            <v>17.703.112/0001-01</v>
          </cell>
        </row>
        <row r="7227">
          <cell r="A7227">
            <v>65228</v>
          </cell>
          <cell r="B7227" t="str">
            <v>CORPORATION</v>
          </cell>
          <cell r="C7227" t="str">
            <v>Raibran Comercio, Servicos E Consultoria Em Gestao Empresarial Ltda</v>
          </cell>
          <cell r="D7227" t="str">
            <v>Raibran Multicoisas</v>
          </cell>
          <cell r="E7227" t="str">
            <v>BR_CNPJ</v>
          </cell>
          <cell r="F7227" t="str">
            <v>08.612.956/0001-56</v>
          </cell>
        </row>
        <row r="7228">
          <cell r="A7228">
            <v>65251</v>
          </cell>
          <cell r="B7228" t="str">
            <v>CORPORATION</v>
          </cell>
          <cell r="C7228" t="str">
            <v>Dragoes Ferro E Aco Ltda</v>
          </cell>
          <cell r="D7228" t="str">
            <v>Dragoes Ferro E Aco Ltda</v>
          </cell>
          <cell r="E7228" t="str">
            <v>BR_CNPJ</v>
          </cell>
          <cell r="F7228" t="str">
            <v>51.887.480/0001-95</v>
          </cell>
        </row>
        <row r="7229">
          <cell r="A7229">
            <v>65489</v>
          </cell>
          <cell r="B7229" t="str">
            <v>CORPORATION</v>
          </cell>
          <cell r="C7229" t="str">
            <v>U. Stelmachuk Comercio De Materiais De Construcao Ltda</v>
          </cell>
          <cell r="D7229" t="str">
            <v>U. Stelmachuk Comercio De Materiais De Construcao Ltda</v>
          </cell>
          <cell r="E7229" t="str">
            <v>BR_CNPJ</v>
          </cell>
          <cell r="F7229" t="str">
            <v>79.330.700/0001-02</v>
          </cell>
        </row>
        <row r="7230">
          <cell r="A7230">
            <v>65490</v>
          </cell>
          <cell r="B7230" t="str">
            <v>CORPORATION</v>
          </cell>
          <cell r="C7230" t="str">
            <v>Zcolor Tintas E Impermebilizacoes Ltda</v>
          </cell>
          <cell r="D7230" t="str">
            <v>Zcolor Tintas E Impermebilizacoes Ltda</v>
          </cell>
          <cell r="E7230" t="str">
            <v>BR_CNPJ</v>
          </cell>
          <cell r="F7230" t="str">
            <v>07.440.887/0001-88</v>
          </cell>
        </row>
        <row r="7231">
          <cell r="A7231">
            <v>65494</v>
          </cell>
          <cell r="B7231" t="str">
            <v>CORPORATION</v>
          </cell>
          <cell r="C7231" t="str">
            <v>Toni Cerealista Ltda</v>
          </cell>
          <cell r="E7231" t="str">
            <v>BR_CNPJ</v>
          </cell>
          <cell r="F7231" t="str">
            <v>01.591.198/0002-79</v>
          </cell>
        </row>
        <row r="7232">
          <cell r="A7232">
            <v>66042</v>
          </cell>
          <cell r="B7232" t="str">
            <v>CORPORATION</v>
          </cell>
          <cell r="C7232" t="str">
            <v>M B Comercio E Locacao Ferramentas Ltda</v>
          </cell>
          <cell r="D7232" t="str">
            <v>Roforcesoldas</v>
          </cell>
          <cell r="E7232" t="str">
            <v>BR_CNPJ</v>
          </cell>
          <cell r="F7232" t="str">
            <v>59.502.287/0001-09</v>
          </cell>
        </row>
        <row r="7233">
          <cell r="A7233">
            <v>66050</v>
          </cell>
          <cell r="B7233" t="str">
            <v>CORPORATION</v>
          </cell>
          <cell r="C7233" t="str">
            <v>Bmb Material De Construcao S.A.</v>
          </cell>
          <cell r="D7233" t="str">
            <v>Obramax Brasília Sul</v>
          </cell>
          <cell r="E7233" t="str">
            <v>BR_CNPJ</v>
          </cell>
          <cell r="F7233" t="str">
            <v>23.476.033/0026-66</v>
          </cell>
          <cell r="G7233" t="str">
            <v>OBRAMAX</v>
          </cell>
        </row>
        <row r="7234">
          <cell r="A7234">
            <v>66094</v>
          </cell>
          <cell r="B7234" t="str">
            <v>CORPORATION</v>
          </cell>
          <cell r="C7234" t="str">
            <v>58.577.910 Christofher Eduardo Mendes Rocha</v>
          </cell>
          <cell r="E7234" t="str">
            <v>BR_CNPJ</v>
          </cell>
          <cell r="F7234" t="str">
            <v>58.577.910/0001-11</v>
          </cell>
        </row>
        <row r="7235">
          <cell r="A7235">
            <v>66184</v>
          </cell>
          <cell r="B7235" t="str">
            <v>CORPORATION</v>
          </cell>
          <cell r="C7235" t="str">
            <v>Jhm Equipamentos Industriais Ltda</v>
          </cell>
          <cell r="E7235" t="str">
            <v>BR_CNPJ</v>
          </cell>
          <cell r="F7235" t="str">
            <v>01.438.656/0001-53</v>
          </cell>
        </row>
        <row r="7236">
          <cell r="A7236">
            <v>66186</v>
          </cell>
          <cell r="B7236" t="str">
            <v>CORPORATION</v>
          </cell>
          <cell r="C7236" t="str">
            <v>Siel Comercio Eletronicos Ltda</v>
          </cell>
          <cell r="D7236" t="str">
            <v>Full Ferramentas</v>
          </cell>
          <cell r="E7236" t="str">
            <v>BR_CNPJ</v>
          </cell>
          <cell r="F7236" t="str">
            <v>41.331.196/0001-84</v>
          </cell>
        </row>
        <row r="7237">
          <cell r="A7237">
            <v>66262</v>
          </cell>
          <cell r="B7237" t="str">
            <v>CORPORATION</v>
          </cell>
          <cell r="C7237" t="str">
            <v>Justi Comercio E Servicos De Maquinas E Pecas Ltda Guapore</v>
          </cell>
          <cell r="E7237" t="str">
            <v>BR_CNPJ</v>
          </cell>
          <cell r="F7237" t="str">
            <v>91.614.149/0010-07</v>
          </cell>
        </row>
        <row r="7238">
          <cell r="A7238">
            <v>66548</v>
          </cell>
          <cell r="B7238" t="str">
            <v>CORPORATION</v>
          </cell>
          <cell r="C7238" t="str">
            <v>Manuel Araujo Rodrigues</v>
          </cell>
          <cell r="D7238" t="str">
            <v>Mercado Do Aco</v>
          </cell>
          <cell r="E7238" t="str">
            <v>BR_CNPJ</v>
          </cell>
          <cell r="F7238" t="str">
            <v>06.315.362/0001-58</v>
          </cell>
        </row>
        <row r="7239">
          <cell r="A7239">
            <v>66603</v>
          </cell>
          <cell r="B7239" t="str">
            <v>CORPORATION</v>
          </cell>
          <cell r="C7239" t="str">
            <v>Centro Espirita Nosso Lar Casas Andre Luiz</v>
          </cell>
          <cell r="E7239" t="str">
            <v>BR_CNPJ</v>
          </cell>
          <cell r="F7239" t="str">
            <v>62.220.637/0025-18</v>
          </cell>
        </row>
        <row r="7240">
          <cell r="A7240">
            <v>66607</v>
          </cell>
          <cell r="B7240" t="str">
            <v>CORPORATION</v>
          </cell>
          <cell r="C7240" t="str">
            <v>Santa Edwirgens Fabricacao E Comercio De Objetos Metalicos Ltda</v>
          </cell>
          <cell r="D7240" t="str">
            <v>Oficina Santa Edwirgens</v>
          </cell>
          <cell r="E7240" t="str">
            <v>BR_CNPJ</v>
          </cell>
          <cell r="F7240" t="str">
            <v>78.335.056/0001-94</v>
          </cell>
        </row>
        <row r="7241">
          <cell r="A7241">
            <v>66608</v>
          </cell>
          <cell r="B7241" t="str">
            <v>CORPORATION</v>
          </cell>
          <cell r="C7241" t="str">
            <v>Gp Caldeiraria E Serviços Industriais Ltda</v>
          </cell>
          <cell r="D7241" t="str">
            <v>Gp Caldeiraria E Serviços Industriais</v>
          </cell>
          <cell r="E7241" t="str">
            <v>BR_CNPJ</v>
          </cell>
          <cell r="F7241" t="str">
            <v>37.291.151/0001-56</v>
          </cell>
        </row>
        <row r="7242">
          <cell r="A7242">
            <v>66748</v>
          </cell>
          <cell r="B7242" t="str">
            <v>CORPORATION</v>
          </cell>
          <cell r="C7242" t="str">
            <v>Ferragens Sao Judas Ltda</v>
          </cell>
          <cell r="D7242" t="str">
            <v>Casa De Ferragens Sao Judas Tadeu</v>
          </cell>
          <cell r="E7242" t="str">
            <v>BR_CNPJ</v>
          </cell>
          <cell r="F7242" t="str">
            <v>66.944.539/0001-07</v>
          </cell>
          <cell r="G7242" t="str">
            <v>FERRAGENS SÃO JUDAS</v>
          </cell>
        </row>
        <row r="7243">
          <cell r="A7243">
            <v>67157</v>
          </cell>
          <cell r="B7243" t="str">
            <v>CORPORATION</v>
          </cell>
          <cell r="C7243" t="str">
            <v>Ferragista Construfacil Comercio De Acos E Ferros Ltda</v>
          </cell>
          <cell r="D7243" t="str">
            <v>Agro Facil Ferragista</v>
          </cell>
          <cell r="E7243" t="str">
            <v>BR_CNPJ</v>
          </cell>
          <cell r="F7243" t="str">
            <v>24.236.649/0001-74</v>
          </cell>
        </row>
        <row r="7244">
          <cell r="A7244">
            <v>67214</v>
          </cell>
          <cell r="B7244" t="str">
            <v>CORPORATION</v>
          </cell>
          <cell r="C7244" t="str">
            <v>Amazon Servicos De Varejo Do Brasil Ltda.</v>
          </cell>
          <cell r="D7244" t="str">
            <v>Ssa5</v>
          </cell>
          <cell r="E7244" t="str">
            <v>BR_CNPJ</v>
          </cell>
          <cell r="F7244" t="str">
            <v>15.436.940/0060-55</v>
          </cell>
          <cell r="G7244" t="str">
            <v>AMAZON</v>
          </cell>
        </row>
        <row r="7245">
          <cell r="A7245">
            <v>67276</v>
          </cell>
          <cell r="B7245" t="str">
            <v>CORPORATION</v>
          </cell>
          <cell r="C7245" t="str">
            <v>Centro Do Eletricista Comércio De Maquinas E Equipamentos Ltda</v>
          </cell>
          <cell r="D7245" t="str">
            <v>Centro Do Eletricista Ltda.</v>
          </cell>
          <cell r="E7245" t="str">
            <v>BR_CNPJ</v>
          </cell>
          <cell r="F7245" t="str">
            <v>41.179.372/0001-04</v>
          </cell>
        </row>
        <row r="7246">
          <cell r="A7246">
            <v>67279</v>
          </cell>
          <cell r="B7246" t="str">
            <v>CORPORATION</v>
          </cell>
          <cell r="C7246" t="str">
            <v>Daniela De Paula Araujo Morais Ltda</v>
          </cell>
          <cell r="E7246" t="str">
            <v>BR_CNPJ</v>
          </cell>
          <cell r="F7246" t="str">
            <v>40.081.332/0001-62</v>
          </cell>
        </row>
        <row r="7247">
          <cell r="A7247">
            <v>67364</v>
          </cell>
          <cell r="B7247" t="str">
            <v>CORPORATION</v>
          </cell>
          <cell r="C7247" t="str">
            <v>Cc Valparaiso Aluguel De Equipamentos E Comercio De Maquinas Ltda</v>
          </cell>
          <cell r="E7247" t="str">
            <v>BR_CNPJ</v>
          </cell>
          <cell r="F7247" t="str">
            <v>07.000.832/0001-57</v>
          </cell>
          <cell r="G7247" t="str">
            <v>CASA DO CONSTRUTOR</v>
          </cell>
        </row>
        <row r="7248">
          <cell r="A7248">
            <v>67373</v>
          </cell>
          <cell r="B7248" t="str">
            <v>CORPORATION</v>
          </cell>
          <cell r="C7248" t="str">
            <v>Accioly Navegantes Aluguel De Equipamentos Ltda</v>
          </cell>
          <cell r="D7248" t="str">
            <v>Casa Do Construtor</v>
          </cell>
          <cell r="E7248" t="str">
            <v>BR_CNPJ</v>
          </cell>
          <cell r="F7248" t="str">
            <v>56.128.130/0001-69</v>
          </cell>
          <cell r="G7248" t="str">
            <v>CASA DO CONSTRUTOR</v>
          </cell>
        </row>
        <row r="7249">
          <cell r="A7249">
            <v>67374</v>
          </cell>
          <cell r="B7249" t="str">
            <v>CORPORATION</v>
          </cell>
          <cell r="C7249" t="str">
            <v>Ep Sia Aluguel De Equipamentos E Comercio De Maquinas Ltda</v>
          </cell>
          <cell r="D7249" t="str">
            <v>Casa Do Construtor Aluguel De Equipamentos</v>
          </cell>
          <cell r="E7249" t="str">
            <v>BR_CNPJ</v>
          </cell>
          <cell r="F7249" t="str">
            <v>32.769.726/0001-80</v>
          </cell>
          <cell r="G7249" t="str">
            <v>CASA DO CONSTRUTOR</v>
          </cell>
        </row>
        <row r="7250">
          <cell r="A7250">
            <v>67463</v>
          </cell>
          <cell r="B7250" t="str">
            <v>CORPORATION</v>
          </cell>
          <cell r="C7250" t="str">
            <v>E R X Piedade Aluguel De Equipamentos Ltda</v>
          </cell>
          <cell r="D7250" t="str">
            <v>Loja 99 – Piedade/Sp</v>
          </cell>
          <cell r="E7250" t="str">
            <v>BR_CNPJ</v>
          </cell>
          <cell r="F7250" t="str">
            <v>14.381.112/0001-44</v>
          </cell>
          <cell r="G7250" t="str">
            <v>CASA DO CONSTRUTOR</v>
          </cell>
        </row>
        <row r="7251">
          <cell r="A7251">
            <v>67514</v>
          </cell>
          <cell r="B7251" t="str">
            <v>CORPORATION</v>
          </cell>
          <cell r="C7251" t="str">
            <v>Es Guarapari Aluguel De Equipamentos Ltda</v>
          </cell>
          <cell r="D7251" t="str">
            <v>Loja 204 – Guarapari – Es</v>
          </cell>
          <cell r="E7251" t="str">
            <v>BR_CNPJ</v>
          </cell>
          <cell r="F7251" t="str">
            <v>38.540.491/0001-36</v>
          </cell>
          <cell r="G7251" t="str">
            <v>CASA DO CONSTRUTOR</v>
          </cell>
        </row>
        <row r="7252">
          <cell r="A7252">
            <v>67641</v>
          </cell>
          <cell r="B7252" t="str">
            <v>CORPORATION</v>
          </cell>
          <cell r="C7252" t="str">
            <v>Metalurgica Do Norte Ltda</v>
          </cell>
          <cell r="D7252" t="str">
            <v>Metalnorte</v>
          </cell>
          <cell r="E7252" t="str">
            <v>BR_CNPJ</v>
          </cell>
          <cell r="F7252" t="str">
            <v>02.060.218/0001-67</v>
          </cell>
        </row>
        <row r="7253">
          <cell r="A7253">
            <v>67668</v>
          </cell>
          <cell r="B7253" t="str">
            <v>CORPORATION</v>
          </cell>
          <cell r="C7253" t="str">
            <v>Edmaq Implementos See Ltda</v>
          </cell>
          <cell r="D7253" t="str">
            <v>Edmaq</v>
          </cell>
          <cell r="E7253" t="str">
            <v>BR_CNPJ</v>
          </cell>
          <cell r="F7253" t="str">
            <v>55.845.398/0001-59</v>
          </cell>
          <cell r="G7253" t="str">
            <v>ED MAQ</v>
          </cell>
        </row>
        <row r="7254">
          <cell r="A7254">
            <v>67675</v>
          </cell>
          <cell r="B7254" t="str">
            <v>CORPORATION</v>
          </cell>
          <cell r="C7254" t="str">
            <v>Sao Bento Servicos Industriais Ltda</v>
          </cell>
          <cell r="E7254" t="str">
            <v>BR_CNPJ</v>
          </cell>
          <cell r="F7254" t="str">
            <v>39.311.115/0001-32</v>
          </cell>
        </row>
        <row r="7255">
          <cell r="A7255">
            <v>67745</v>
          </cell>
          <cell r="B7255" t="str">
            <v>CORPORATION</v>
          </cell>
          <cell r="C7255" t="str">
            <v>Mutante Barueri Ltda</v>
          </cell>
          <cell r="E7255" t="str">
            <v>BR_CNPJ</v>
          </cell>
          <cell r="F7255" t="str">
            <v>61.675.603/0001-88</v>
          </cell>
          <cell r="G7255" t="str">
            <v>MUTANTE</v>
          </cell>
        </row>
        <row r="7256">
          <cell r="A7256">
            <v>67753</v>
          </cell>
          <cell r="B7256" t="str">
            <v>CORPORATION</v>
          </cell>
          <cell r="C7256" t="str">
            <v>Casa De Parafusos Raio Ltda</v>
          </cell>
          <cell r="E7256" t="str">
            <v>BR_CNPJ</v>
          </cell>
          <cell r="F7256" t="str">
            <v>82.373.861/0001-80</v>
          </cell>
        </row>
        <row r="7257">
          <cell r="A7257">
            <v>67757</v>
          </cell>
          <cell r="B7257" t="str">
            <v>CORPORATION</v>
          </cell>
          <cell r="C7257" t="str">
            <v>L3 Cascavel Aluguel De Equipamentos Ltda</v>
          </cell>
          <cell r="D7257" t="str">
            <v>Loja 614 – Cascavel/Pr –Loja 3</v>
          </cell>
          <cell r="E7257" t="str">
            <v>BR_CNPJ</v>
          </cell>
          <cell r="F7257" t="str">
            <v>51.114.121/0001-03</v>
          </cell>
          <cell r="G7257" t="str">
            <v>CASA DO CONSTRUTOR</v>
          </cell>
        </row>
        <row r="7258">
          <cell r="A7258">
            <v>67785</v>
          </cell>
          <cell r="B7258" t="str">
            <v>CORPORATION</v>
          </cell>
          <cell r="C7258" t="str">
            <v>E &amp; M Marilia Aluguel De Equipamentos E Comercio De Maquinas Ltda.</v>
          </cell>
          <cell r="D7258" t="str">
            <v>Loja 124 – Marilia/Sp</v>
          </cell>
          <cell r="E7258" t="str">
            <v>BR_CNPJ</v>
          </cell>
          <cell r="F7258" t="str">
            <v>15.429.503/0001-54</v>
          </cell>
          <cell r="G7258" t="str">
            <v>CASA DO CONSTRUTOR</v>
          </cell>
        </row>
        <row r="7259">
          <cell r="A7259">
            <v>67823</v>
          </cell>
          <cell r="B7259" t="str">
            <v>CORPORATION</v>
          </cell>
          <cell r="C7259" t="str">
            <v>Fatima Regina Guedes De Camargo Arena Locacao De Equipamentos</v>
          </cell>
          <cell r="D7259" t="str">
            <v>Loja 050 – Rio Claro Centro/Sp</v>
          </cell>
          <cell r="E7259" t="str">
            <v>BR_CNPJ</v>
          </cell>
          <cell r="F7259" t="str">
            <v>43.101.061/0001-58</v>
          </cell>
          <cell r="G7259" t="str">
            <v>CASA DO CONSTRUTOR</v>
          </cell>
        </row>
        <row r="7260">
          <cell r="A7260">
            <v>67826</v>
          </cell>
          <cell r="B7260" t="str">
            <v>CORPORATION</v>
          </cell>
          <cell r="C7260" t="str">
            <v>Suzaki Penapolis Aluguel De Equipamentos E Maquinas Ltda</v>
          </cell>
          <cell r="D7260" t="str">
            <v>Loja 222 - Penápolis - Sp</v>
          </cell>
          <cell r="E7260" t="str">
            <v>BR_CNPJ</v>
          </cell>
          <cell r="F7260" t="str">
            <v>22.078.391/0001-08</v>
          </cell>
          <cell r="G7260" t="str">
            <v>CASA DO CONSTRUTOR</v>
          </cell>
        </row>
        <row r="7261">
          <cell r="A7261">
            <v>67828</v>
          </cell>
          <cell r="B7261" t="str">
            <v>CORPORATION</v>
          </cell>
          <cell r="C7261" t="str">
            <v>Loccasa Cruzeiro Aluguel De Maquinas E Equipamentos Ltda</v>
          </cell>
          <cell r="D7261" t="str">
            <v>Loja 230 – Cruzeiro – Sp</v>
          </cell>
          <cell r="E7261" t="str">
            <v>BR_CNPJ</v>
          </cell>
          <cell r="F7261" t="str">
            <v>38.302.017/0001-76</v>
          </cell>
          <cell r="G7261" t="str">
            <v>CASA DO CONSTRUTOR</v>
          </cell>
        </row>
        <row r="7262">
          <cell r="A7262">
            <v>67829</v>
          </cell>
          <cell r="B7262" t="str">
            <v>CORPORATION</v>
          </cell>
          <cell r="C7262" t="str">
            <v>Aj Santa Maria Aluguel De Equipamentos Ltda</v>
          </cell>
          <cell r="D7262" t="str">
            <v>Loja 800 – Santa Maria/Rs</v>
          </cell>
          <cell r="E7262" t="str">
            <v>BR_CNPJ</v>
          </cell>
          <cell r="F7262" t="str">
            <v>62.177.698/0001-72</v>
          </cell>
        </row>
        <row r="7263">
          <cell r="A7263">
            <v>67830</v>
          </cell>
          <cell r="B7263" t="str">
            <v>CORPORATION</v>
          </cell>
          <cell r="C7263" t="str">
            <v>Er Marau Aluguel De Equipamentos Ltda</v>
          </cell>
          <cell r="D7263" t="str">
            <v>Loja 710 – Marau/Rs</v>
          </cell>
          <cell r="E7263" t="str">
            <v>BR_CNPJ</v>
          </cell>
          <cell r="F7263" t="str">
            <v>56.873.014/0001-74</v>
          </cell>
          <cell r="G7263" t="str">
            <v>CASA DO CONSTRUTOR</v>
          </cell>
        </row>
        <row r="7264">
          <cell r="A7264">
            <v>67831</v>
          </cell>
          <cell r="B7264" t="str">
            <v>CORPORATION</v>
          </cell>
          <cell r="C7264" t="str">
            <v>Wrr Aluguel De Equipamentos Ltda</v>
          </cell>
          <cell r="D7264" t="str">
            <v>Loja 755 – Guaraí/To</v>
          </cell>
          <cell r="E7264" t="str">
            <v>BR_CNPJ</v>
          </cell>
          <cell r="F7264" t="str">
            <v>17.088.697/0016-83</v>
          </cell>
          <cell r="G7264" t="str">
            <v>CASA DO CONSTRUTOR</v>
          </cell>
        </row>
        <row r="7265">
          <cell r="A7265">
            <v>67834</v>
          </cell>
          <cell r="B7265" t="str">
            <v>CORPORATION</v>
          </cell>
          <cell r="C7265" t="str">
            <v>Elr Itatiba Aluguel De Equipamentos De Construcao Ltda</v>
          </cell>
          <cell r="D7265" t="str">
            <v>Loja 060 – Itatiba/Sp</v>
          </cell>
          <cell r="E7265" t="str">
            <v>BR_CNPJ</v>
          </cell>
          <cell r="F7265" t="str">
            <v>19.585.643/0001-72</v>
          </cell>
          <cell r="G7265" t="str">
            <v>CASA DO CONSTRUTOR</v>
          </cell>
        </row>
        <row r="7266">
          <cell r="A7266">
            <v>67837</v>
          </cell>
          <cell r="B7266" t="str">
            <v>CORPORATION</v>
          </cell>
          <cell r="C7266" t="str">
            <v>Maki Sobral Aluguel De Equipamentos Ltda</v>
          </cell>
          <cell r="D7266" t="str">
            <v>Loja 138 – Sobral – Ce</v>
          </cell>
          <cell r="E7266" t="str">
            <v>BR_CNPJ</v>
          </cell>
          <cell r="F7266" t="str">
            <v>17.067.139/0001-55</v>
          </cell>
          <cell r="G7266" t="str">
            <v>CASA DO CONSTRUTOR</v>
          </cell>
        </row>
        <row r="7267">
          <cell r="A7267">
            <v>67838</v>
          </cell>
          <cell r="B7267" t="str">
            <v>CORPORATION</v>
          </cell>
          <cell r="C7267" t="str">
            <v>Serviços De Usinagem Fragnani Ltda</v>
          </cell>
          <cell r="D7267" t="str">
            <v>Fragnani Ferragens</v>
          </cell>
          <cell r="E7267" t="str">
            <v>BR_CNPJ</v>
          </cell>
          <cell r="F7267" t="str">
            <v>09.035.047/0001-65</v>
          </cell>
        </row>
        <row r="7268">
          <cell r="A7268">
            <v>67851</v>
          </cell>
          <cell r="B7268" t="str">
            <v>CORPORATION</v>
          </cell>
          <cell r="C7268" t="str">
            <v>Locacao E Comercio De Maquinas Uberaba Ltda</v>
          </cell>
          <cell r="D7268" t="str">
            <v>Loja 92– Uberaba/Mg</v>
          </cell>
          <cell r="E7268" t="str">
            <v>BR_CNPJ</v>
          </cell>
          <cell r="F7268" t="str">
            <v>14.023.161/0001-05</v>
          </cell>
          <cell r="G7268" t="str">
            <v>CASA DO CONSTRUTOR</v>
          </cell>
        </row>
        <row r="7269">
          <cell r="A7269">
            <v>67856</v>
          </cell>
          <cell r="B7269" t="str">
            <v>CORPORATION</v>
          </cell>
          <cell r="C7269" t="str">
            <v>Jc Bebedouro Aluguel De Equipamentos Ltda</v>
          </cell>
          <cell r="D7269" t="str">
            <v>Loja 89 – Bebedouro/Sp</v>
          </cell>
          <cell r="E7269" t="str">
            <v>BR_CNPJ</v>
          </cell>
          <cell r="F7269" t="str">
            <v>13.570.291/0001-03</v>
          </cell>
          <cell r="G7269" t="str">
            <v>CASA DO CONSTRUTOR</v>
          </cell>
        </row>
        <row r="7270">
          <cell r="A7270">
            <v>67858</v>
          </cell>
          <cell r="B7270" t="str">
            <v>CORPORATION</v>
          </cell>
          <cell r="C7270" t="str">
            <v>Cc Ubatuba Aluguel De Equipamentos E Comercio De Maquinas Ltda</v>
          </cell>
          <cell r="D7270" t="str">
            <v>Loja 82 – Ubatuba/Sp</v>
          </cell>
          <cell r="E7270" t="str">
            <v>BR_CNPJ</v>
          </cell>
          <cell r="F7270" t="str">
            <v>05.089.258/0001-20</v>
          </cell>
          <cell r="G7270" t="str">
            <v>CASA DO CONSTRUTOR</v>
          </cell>
        </row>
        <row r="7271">
          <cell r="A7271">
            <v>67859</v>
          </cell>
          <cell r="B7271" t="str">
            <v>CORPORATION</v>
          </cell>
          <cell r="C7271" t="str">
            <v>Szanetti Apucarana Aluguel De Equipamentos Ltda</v>
          </cell>
          <cell r="D7271" t="str">
            <v>Loja 761 – Apucarana (Loja 02)</v>
          </cell>
          <cell r="E7271" t="str">
            <v>BR_CNPJ</v>
          </cell>
          <cell r="F7271" t="str">
            <v>57.645.397/0001-96</v>
          </cell>
          <cell r="G7271" t="str">
            <v>CASA DO CONSTRUTOR</v>
          </cell>
        </row>
        <row r="7272">
          <cell r="A7272">
            <v>67860</v>
          </cell>
          <cell r="B7272" t="str">
            <v>CORPORATION</v>
          </cell>
          <cell r="C7272" t="str">
            <v>M. A. Teresina Aluguel De Equipamentos Ltda</v>
          </cell>
          <cell r="D7272" t="str">
            <v>Loja 69 – Teresina/Pi</v>
          </cell>
          <cell r="E7272" t="str">
            <v>BR_CNPJ</v>
          </cell>
          <cell r="F7272" t="str">
            <v>11.448.390/0001-83</v>
          </cell>
        </row>
        <row r="7273">
          <cell r="A7273">
            <v>67861</v>
          </cell>
          <cell r="B7273" t="str">
            <v>CORPORATION</v>
          </cell>
          <cell r="C7273" t="str">
            <v>Cc Interlagos Aluguel De Equipamentos Ltda</v>
          </cell>
          <cell r="D7273" t="str">
            <v>Loja 674 – São Paulo/Sp – Interlagos</v>
          </cell>
          <cell r="E7273" t="str">
            <v>BR_CNPJ</v>
          </cell>
          <cell r="F7273" t="str">
            <v>53.254.703/0001-02</v>
          </cell>
          <cell r="G7273" t="str">
            <v>CASA DO CONSTRUTOR</v>
          </cell>
        </row>
        <row r="7274">
          <cell r="A7274">
            <v>67862</v>
          </cell>
          <cell r="B7274" t="str">
            <v>CORPORATION</v>
          </cell>
          <cell r="C7274" t="str">
            <v>Scp Aluguel De Equipamentos Ltda</v>
          </cell>
          <cell r="D7274" t="str">
            <v>Loja 531 – Santa Cruz Das Palmeiras/Sp</v>
          </cell>
          <cell r="E7274" t="str">
            <v>BR_CNPJ</v>
          </cell>
          <cell r="F7274" t="str">
            <v>48.284.342/0001-07</v>
          </cell>
          <cell r="G7274" t="str">
            <v>CASA DO CONSTRUTOR</v>
          </cell>
        </row>
        <row r="7275">
          <cell r="A7275">
            <v>67863</v>
          </cell>
          <cell r="B7275" t="str">
            <v>CORPORATION</v>
          </cell>
          <cell r="C7275" t="str">
            <v>Cc Caraguatatuba Aluguel De Equipamentos E Comercio De Maquinas Ltda</v>
          </cell>
          <cell r="D7275" t="str">
            <v>Loja 52 – Caraguatatuba - Sp</v>
          </cell>
          <cell r="E7275" t="str">
            <v>BR_CNPJ</v>
          </cell>
          <cell r="F7275" t="str">
            <v>10.932.027/0001-76</v>
          </cell>
          <cell r="G7275" t="str">
            <v>CASA DO CONSTRUTOR</v>
          </cell>
        </row>
        <row r="7276">
          <cell r="A7276">
            <v>67864</v>
          </cell>
          <cell r="B7276" t="str">
            <v>CORPORATION</v>
          </cell>
          <cell r="C7276" t="str">
            <v>Sl Picos Aluguel De Equipamentos Ltda</v>
          </cell>
          <cell r="D7276" t="str">
            <v>Loja 518 – Picos/Pi</v>
          </cell>
          <cell r="E7276" t="str">
            <v>BR_CNPJ</v>
          </cell>
          <cell r="F7276" t="str">
            <v>48.099.276/0001-03</v>
          </cell>
          <cell r="G7276" t="str">
            <v>CASA DO CONSTRUTOR</v>
          </cell>
        </row>
        <row r="7277">
          <cell r="A7277">
            <v>67866</v>
          </cell>
          <cell r="B7277" t="str">
            <v>CORPORATION</v>
          </cell>
          <cell r="C7277" t="str">
            <v>Tomasi &amp; Zenatti Bento Goncalves Aluguel De Equipamentos Ltda</v>
          </cell>
          <cell r="D7277" t="str">
            <v xml:space="preserve">Loja 506 – Bento Gonçalves/Rs	</v>
          </cell>
          <cell r="E7277" t="str">
            <v>BR_CNPJ</v>
          </cell>
          <cell r="F7277" t="str">
            <v>18.724.897/0001-61</v>
          </cell>
          <cell r="G7277" t="str">
            <v>CASA DO CONSTRUTOR</v>
          </cell>
        </row>
        <row r="7278">
          <cell r="A7278">
            <v>67867</v>
          </cell>
          <cell r="B7278" t="str">
            <v>CORPORATION</v>
          </cell>
          <cell r="C7278" t="str">
            <v>A G Neto Confresa Aluguel De Equipamentos Ltda</v>
          </cell>
          <cell r="D7278" t="str">
            <v>Loja 477 – Confresa/Mt</v>
          </cell>
          <cell r="E7278" t="str">
            <v>BR_CNPJ</v>
          </cell>
          <cell r="F7278" t="str">
            <v>46.163.235/0001-03</v>
          </cell>
          <cell r="G7278" t="str">
            <v>CASA DO CONSTRUTOR</v>
          </cell>
        </row>
        <row r="7279">
          <cell r="A7279">
            <v>67868</v>
          </cell>
          <cell r="B7279" t="str">
            <v>CORPORATION</v>
          </cell>
          <cell r="C7279" t="str">
            <v>Entre Serras E Aguas Aluguel De Equipamentos Ltda</v>
          </cell>
          <cell r="D7279" t="str">
            <v>Loja 461 – Piracaia/Sp</v>
          </cell>
          <cell r="E7279" t="str">
            <v>BR_CNPJ</v>
          </cell>
          <cell r="F7279" t="str">
            <v>46.080.563/0001-38</v>
          </cell>
          <cell r="G7279" t="str">
            <v>CASA DO CONSTRUTOR</v>
          </cell>
        </row>
        <row r="7280">
          <cell r="A7280">
            <v>67869</v>
          </cell>
          <cell r="B7280" t="str">
            <v>CORPORATION</v>
          </cell>
          <cell r="C7280" t="str">
            <v>Locaqui Caxias Do Sul Aluguel De Equipamentos Ltda</v>
          </cell>
          <cell r="D7280" t="str">
            <v>Loja 459 – Caxias Do Sul/Rs</v>
          </cell>
          <cell r="E7280" t="str">
            <v>BR_CNPJ</v>
          </cell>
          <cell r="F7280" t="str">
            <v>46.028.969/0001-71</v>
          </cell>
          <cell r="G7280" t="str">
            <v>CASA DO CONSTRUTOR</v>
          </cell>
        </row>
        <row r="7281">
          <cell r="A7281">
            <v>67871</v>
          </cell>
          <cell r="B7281" t="str">
            <v>CORPORATION</v>
          </cell>
          <cell r="C7281" t="str">
            <v>Gop Itirapina Aluguel De Equipamentos E Maquinas Ltda</v>
          </cell>
          <cell r="D7281" t="str">
            <v>Loja 458 – Itirapina/Sp</v>
          </cell>
          <cell r="E7281" t="str">
            <v>BR_CNPJ</v>
          </cell>
          <cell r="F7281" t="str">
            <v>39.772.536/0001-60</v>
          </cell>
          <cell r="G7281" t="str">
            <v>CASA DO CONSTRUTOR</v>
          </cell>
        </row>
        <row r="7282">
          <cell r="A7282">
            <v>67872</v>
          </cell>
          <cell r="B7282" t="str">
            <v>CORPORATION</v>
          </cell>
          <cell r="C7282" t="str">
            <v>Maki Maraponga Aluguel De Equipamentos Ltda</v>
          </cell>
          <cell r="D7282" t="str">
            <v>Loja 440 – Fortaleza/Ce – Maraponga</v>
          </cell>
          <cell r="E7282" t="str">
            <v>BR_CNPJ</v>
          </cell>
          <cell r="F7282" t="str">
            <v>46.673.743/0001-23</v>
          </cell>
          <cell r="G7282" t="str">
            <v>CASA DO CONSTRUTOR</v>
          </cell>
        </row>
        <row r="7283">
          <cell r="A7283">
            <v>67874</v>
          </cell>
          <cell r="B7283" t="str">
            <v>CORPORATION</v>
          </cell>
          <cell r="C7283" t="str">
            <v>Oy Cascavel Aluguel De Equipamentos Ltda.</v>
          </cell>
          <cell r="D7283" t="str">
            <v>Loja 367 – Cascavel /Pr –Loja 02</v>
          </cell>
          <cell r="E7283" t="str">
            <v>BR_CNPJ</v>
          </cell>
          <cell r="F7283" t="str">
            <v>42.217.212/0001-75</v>
          </cell>
          <cell r="G7283" t="str">
            <v>CASA DO CONSTRUTOR</v>
          </cell>
        </row>
        <row r="7284">
          <cell r="A7284">
            <v>67875</v>
          </cell>
          <cell r="B7284" t="str">
            <v>CORPORATION</v>
          </cell>
          <cell r="C7284" t="str">
            <v>T.S. Rocha Juazeiro Do Norte Aluguel De Equipamentos Ltda</v>
          </cell>
          <cell r="D7284" t="str">
            <v>Loja 361 – Crato/Ce</v>
          </cell>
          <cell r="E7284" t="str">
            <v>BR_CNPJ</v>
          </cell>
          <cell r="F7284" t="str">
            <v>34.708.010/0002-89</v>
          </cell>
          <cell r="G7284" t="str">
            <v>CASA DO CONSTRUTOR</v>
          </cell>
        </row>
        <row r="7285">
          <cell r="A7285">
            <v>67876</v>
          </cell>
          <cell r="B7285" t="str">
            <v>CORPORATION</v>
          </cell>
          <cell r="C7285" t="str">
            <v>Glovan Louveira Aluguel De Equipamentos Ltda.</v>
          </cell>
          <cell r="D7285" t="str">
            <v>Loja 356 – Louveira/Sp</v>
          </cell>
          <cell r="E7285" t="str">
            <v>BR_CNPJ</v>
          </cell>
          <cell r="F7285" t="str">
            <v>42.123.758/0001-67</v>
          </cell>
          <cell r="G7285" t="str">
            <v>CASA DO CONSTRUTOR</v>
          </cell>
        </row>
        <row r="7286">
          <cell r="A7286">
            <v>67877</v>
          </cell>
          <cell r="B7286" t="str">
            <v>CORPORATION</v>
          </cell>
          <cell r="C7286" t="str">
            <v>Nova Viana Aluguel De Equipamentos Ltda</v>
          </cell>
          <cell r="D7286" t="str">
            <v>Loja 353 – Viana/Es</v>
          </cell>
          <cell r="E7286" t="str">
            <v>BR_CNPJ</v>
          </cell>
          <cell r="F7286" t="str">
            <v>41.675.052/0001-45</v>
          </cell>
          <cell r="G7286" t="str">
            <v>CASA DO CONSTRUTOR</v>
          </cell>
        </row>
        <row r="7287">
          <cell r="A7287">
            <v>67878</v>
          </cell>
          <cell r="B7287" t="str">
            <v>CORPORATION</v>
          </cell>
          <cell r="C7287" t="str">
            <v>Ls Recife Aluguel De Maquinas E Equipamentos Ltda</v>
          </cell>
          <cell r="D7287" t="str">
            <v>Loja 281 – Recife – Pe (Imbiribeira)</v>
          </cell>
          <cell r="E7287" t="str">
            <v>BR_CNPJ</v>
          </cell>
          <cell r="F7287" t="str">
            <v>34.848.239/0001-38</v>
          </cell>
          <cell r="G7287" t="str">
            <v>CASA DO CONSTRUTOR</v>
          </cell>
        </row>
        <row r="7288">
          <cell r="A7288">
            <v>67880</v>
          </cell>
          <cell r="B7288" t="str">
            <v>CORPORATION</v>
          </cell>
          <cell r="C7288" t="str">
            <v>3j Balneario Camboriu Aluguel De Equipamentos E Maquinas Ltda</v>
          </cell>
          <cell r="D7288" t="str">
            <v>Loja 250 - Balneário Camboriú/Sc</v>
          </cell>
          <cell r="E7288" t="str">
            <v>BR_CNPJ</v>
          </cell>
          <cell r="F7288" t="str">
            <v>34.127.642/0001-78</v>
          </cell>
          <cell r="G7288" t="str">
            <v>CASA DO CONSTRUTOR</v>
          </cell>
        </row>
        <row r="7289">
          <cell r="A7289">
            <v>67882</v>
          </cell>
          <cell r="B7289" t="str">
            <v>CORPORATION</v>
          </cell>
          <cell r="C7289" t="str">
            <v>Dafel De Cabo Frio Comercio De Materiais De Construcao Ltda</v>
          </cell>
          <cell r="E7289" t="str">
            <v>BR_CNPJ</v>
          </cell>
          <cell r="F7289" t="str">
            <v>66.601.174/0001-18</v>
          </cell>
          <cell r="G7289" t="str">
            <v>DAFEL</v>
          </cell>
        </row>
        <row r="7290">
          <cell r="A7290">
            <v>67894</v>
          </cell>
          <cell r="B7290" t="str">
            <v>CORPORATION</v>
          </cell>
          <cell r="C7290" t="str">
            <v>Obra Facil Guararema Aluguel De Equipamentos Ltda</v>
          </cell>
          <cell r="D7290" t="str">
            <v>Loja 199 - Guararema - Sp</v>
          </cell>
          <cell r="E7290" t="str">
            <v>BR_CNPJ</v>
          </cell>
          <cell r="F7290" t="str">
            <v>18.170.848/0001-24</v>
          </cell>
          <cell r="G7290" t="str">
            <v>CASA DO CONSTRUTOR</v>
          </cell>
        </row>
        <row r="7291">
          <cell r="A7291">
            <v>67895</v>
          </cell>
          <cell r="B7291" t="str">
            <v>CORPORATION</v>
          </cell>
          <cell r="C7291" t="str">
            <v>Tem Lins Aluguel De Equipamentos Ltda</v>
          </cell>
          <cell r="D7291" t="str">
            <v>Loja 177 – Lins - Sp</v>
          </cell>
          <cell r="E7291" t="str">
            <v>BR_CNPJ</v>
          </cell>
          <cell r="F7291" t="str">
            <v>18.593.184/0001-06</v>
          </cell>
          <cell r="G7291" t="str">
            <v>CASA DO CONSTRUTOR</v>
          </cell>
        </row>
        <row r="7292">
          <cell r="A7292">
            <v>67896</v>
          </cell>
          <cell r="B7292" t="str">
            <v>CORPORATION</v>
          </cell>
          <cell r="C7292" t="str">
            <v>Es Cachoeiro Aluguel De Equipamentos Ltda</v>
          </cell>
          <cell r="D7292" t="str">
            <v>Loja 168 – Cachoeiro De Itapemirim – Es</v>
          </cell>
          <cell r="E7292" t="str">
            <v>BR_CNPJ</v>
          </cell>
          <cell r="F7292" t="str">
            <v>18.183.454/0001-00</v>
          </cell>
          <cell r="G7292" t="str">
            <v>CASA DO CONSTRUTOR</v>
          </cell>
        </row>
        <row r="7293">
          <cell r="A7293">
            <v>67897</v>
          </cell>
          <cell r="B7293" t="str">
            <v>CORPORATION</v>
          </cell>
          <cell r="C7293" t="str">
            <v>Amp Mossoro Aluguel De Equipamentos Ltda</v>
          </cell>
          <cell r="D7293" t="str">
            <v>Loja 162 – Mossoró - Rn</v>
          </cell>
          <cell r="E7293" t="str">
            <v>BR_CNPJ</v>
          </cell>
          <cell r="F7293" t="str">
            <v>32.386.075/0001-49</v>
          </cell>
          <cell r="G7293" t="str">
            <v>CASA DO CONSTRUTOR</v>
          </cell>
        </row>
        <row r="7294">
          <cell r="A7294">
            <v>67898</v>
          </cell>
          <cell r="B7294" t="str">
            <v>CORPORATION</v>
          </cell>
          <cell r="C7294" t="str">
            <v>Hz Cravinhos Locacoes E Comercio De Equipamentos Para Construcao Civil Ltda</v>
          </cell>
          <cell r="D7294" t="str">
            <v>Loja 151 – Cravinhos – Sp</v>
          </cell>
          <cell r="E7294" t="str">
            <v>BR_CNPJ</v>
          </cell>
          <cell r="F7294" t="str">
            <v>13.236.122/0001-23</v>
          </cell>
          <cell r="G7294" t="str">
            <v>CASA DO CONSTRUTOR</v>
          </cell>
        </row>
        <row r="7295">
          <cell r="A7295">
            <v>67899</v>
          </cell>
          <cell r="B7295" t="str">
            <v>CORPORATION</v>
          </cell>
          <cell r="C7295" t="str">
            <v>Dafel Bom Retiro Comercio De Materiais De Construcao Ltda</v>
          </cell>
          <cell r="E7295" t="str">
            <v>BR_CNPJ</v>
          </cell>
          <cell r="F7295" t="str">
            <v>66.601.401/0001-05</v>
          </cell>
          <cell r="G7295" t="str">
            <v>DAFEL</v>
          </cell>
        </row>
        <row r="7296">
          <cell r="A7296">
            <v>67900</v>
          </cell>
          <cell r="B7296" t="str">
            <v>CORPORATION</v>
          </cell>
          <cell r="C7296" t="str">
            <v>Nsc Cosmopolis Locacao De Equipamentos Ltda</v>
          </cell>
          <cell r="D7296" t="str">
            <v>Loja 145 – Cosmópolis – Sp</v>
          </cell>
          <cell r="E7296" t="str">
            <v>BR_CNPJ</v>
          </cell>
          <cell r="F7296" t="str">
            <v>45.421.248/0001-64</v>
          </cell>
          <cell r="G7296" t="str">
            <v>CASA DO CONSTRUTOR</v>
          </cell>
        </row>
        <row r="7297">
          <cell r="A7297">
            <v>67901</v>
          </cell>
          <cell r="B7297" t="str">
            <v>CORPORATION</v>
          </cell>
          <cell r="C7297" t="str">
            <v>Sao Luis Vinhais Aluguel De Equipamentos Ltda</v>
          </cell>
          <cell r="D7297" t="str">
            <v>Loja 097 – São Luís/Ma</v>
          </cell>
          <cell r="E7297" t="str">
            <v>BR_CNPJ</v>
          </cell>
          <cell r="F7297" t="str">
            <v>58.144.448/0001-69</v>
          </cell>
          <cell r="G7297" t="str">
            <v>CASA DO CONSTRUTOR</v>
          </cell>
        </row>
        <row r="7298">
          <cell r="A7298">
            <v>67903</v>
          </cell>
          <cell r="B7298" t="str">
            <v>CORPORATION</v>
          </cell>
          <cell r="C7298" t="str">
            <v>Fvf Sao Jose Dos Campos Aluguel De Equipamentos E Maquinas Ltda</v>
          </cell>
          <cell r="D7298" t="str">
            <v>Loja 041 – São José Dos Campos/Sp</v>
          </cell>
          <cell r="E7298" t="str">
            <v>BR_CNPJ</v>
          </cell>
          <cell r="F7298" t="str">
            <v>10.421.707/0001-25</v>
          </cell>
          <cell r="G7298" t="str">
            <v>CASA DO CONSTRUTOR</v>
          </cell>
        </row>
        <row r="7299">
          <cell r="A7299">
            <v>67904</v>
          </cell>
          <cell r="B7299" t="str">
            <v>CORPORATION</v>
          </cell>
          <cell r="C7299" t="str">
            <v>J.G. S.J.B.Vista Aluguel De Equipamentos E Comercio De Maquinas Ltda</v>
          </cell>
          <cell r="D7299" t="str">
            <v>Loja 037 – São João Da Boa Vista/Sp</v>
          </cell>
          <cell r="E7299" t="str">
            <v>BR_CNPJ</v>
          </cell>
          <cell r="F7299" t="str">
            <v>09.473.005/0001-06</v>
          </cell>
          <cell r="G7299" t="str">
            <v>CASA DO CONSTRUTOR</v>
          </cell>
        </row>
        <row r="7300">
          <cell r="A7300">
            <v>67905</v>
          </cell>
          <cell r="B7300" t="str">
            <v>CORPORATION</v>
          </cell>
          <cell r="C7300" t="str">
            <v>Omori &amp; Suzaki Presidente Prudente Aluguel De Equipamentos E Comercio De Maquinas Ltda</v>
          </cell>
          <cell r="D7300" t="str">
            <v>Loja 023–Presidente Prudente/Sp</v>
          </cell>
          <cell r="E7300" t="str">
            <v>BR_CNPJ</v>
          </cell>
          <cell r="F7300" t="str">
            <v>08.077.041/0001-98</v>
          </cell>
          <cell r="G7300" t="str">
            <v>CASA DO CONSTRUTOR</v>
          </cell>
        </row>
        <row r="7301">
          <cell r="A7301">
            <v>67906</v>
          </cell>
          <cell r="B7301" t="str">
            <v>CORPORATION</v>
          </cell>
          <cell r="C7301" t="str">
            <v>Serralheria Tucholski Ltda</v>
          </cell>
          <cell r="E7301" t="str">
            <v>BR_CNPJ</v>
          </cell>
          <cell r="F7301" t="str">
            <v>01.581.468/0001-80</v>
          </cell>
        </row>
        <row r="7302">
          <cell r="A7302">
            <v>67907</v>
          </cell>
          <cell r="B7302" t="str">
            <v>CORPORATION</v>
          </cell>
          <cell r="C7302" t="str">
            <v>Ipatinga Aluguel De Equipamentos E Maquinas Ltda</v>
          </cell>
          <cell r="D7302" t="str">
            <v>Loja 217 - Ipatinga - Mg</v>
          </cell>
          <cell r="E7302" t="str">
            <v>BR_CNPJ</v>
          </cell>
          <cell r="F7302" t="str">
            <v>21.504.792/0001-01</v>
          </cell>
          <cell r="G7302" t="str">
            <v>CASA DO CONSTRUTOR</v>
          </cell>
        </row>
        <row r="7303">
          <cell r="A7303">
            <v>67923</v>
          </cell>
          <cell r="B7303" t="str">
            <v>CORPORATION</v>
          </cell>
          <cell r="C7303" t="str">
            <v>R J Vido Lorena Aluguel De Equipamentos Ltda</v>
          </cell>
          <cell r="D7303" t="str">
            <v>Loja 242 – Lorena/Sp</v>
          </cell>
          <cell r="E7303" t="str">
            <v>BR_CNPJ</v>
          </cell>
          <cell r="F7303" t="str">
            <v>24.303.183/0001-82</v>
          </cell>
          <cell r="G7303" t="str">
            <v>CASA DO CONSTRUTOR</v>
          </cell>
        </row>
        <row r="7304">
          <cell r="A7304">
            <v>67975</v>
          </cell>
          <cell r="B7304" t="str">
            <v>CORPORATION</v>
          </cell>
          <cell r="C7304" t="str">
            <v>Flavia Alves Lima De Oliveira</v>
          </cell>
          <cell r="D7304" t="str">
            <v>Ferragens Alves</v>
          </cell>
          <cell r="E7304" t="str">
            <v>BR_CNPJ</v>
          </cell>
          <cell r="F7304" t="str">
            <v>17.955.653/0001-27</v>
          </cell>
        </row>
        <row r="7305">
          <cell r="A7305">
            <v>68106</v>
          </cell>
          <cell r="B7305" t="str">
            <v>CORPORATION</v>
          </cell>
          <cell r="C7305" t="str">
            <v>Pc Itabuna Aluguel De Equipamentos Ltda</v>
          </cell>
          <cell r="D7305" t="str">
            <v>Loja 438 – Itabuna/Ba</v>
          </cell>
          <cell r="E7305" t="str">
            <v>BR_CNPJ</v>
          </cell>
          <cell r="F7305" t="str">
            <v>45.264.212/0001-14</v>
          </cell>
          <cell r="G7305" t="str">
            <v>CASA DO CONSTRUTOR</v>
          </cell>
        </row>
        <row r="7306">
          <cell r="A7306">
            <v>68421</v>
          </cell>
          <cell r="B7306" t="str">
            <v>CORPORATION</v>
          </cell>
          <cell r="C7306" t="str">
            <v>Novaimport Comercio E Servicos Ltda</v>
          </cell>
          <cell r="E7306" t="str">
            <v>BR_CNPJ</v>
          </cell>
          <cell r="F7306" t="str">
            <v>02.586.685/0001-25</v>
          </cell>
        </row>
        <row r="7307">
          <cell r="A7307">
            <v>68438</v>
          </cell>
          <cell r="B7307" t="str">
            <v>CORPORATION</v>
          </cell>
          <cell r="C7307" t="str">
            <v>Cofil Guacui Comercio De Ferro Ltda</v>
          </cell>
          <cell r="E7307" t="str">
            <v>BR_CNPJ</v>
          </cell>
          <cell r="F7307" t="str">
            <v>39.813.761/0001-06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driel Costa" id="{D20B53FD-FC8B-433F-AE7B-6690491D9978}" userId="S::adriel.costa@boxersoldas.com.br::320abfc4-6843-4d2d-9359-56621af4b9c7" providerId="AD"/>
  <person displayName="André Coelho" id="{7820188F-5E23-4388-870B-43DEB61D4C6E}" userId="S::andre.coelho@boxersoldas.com.br::42f2af49-2959-44ee-aa73-6e07e8ab916e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6-07-14T12:09:05.72" personId="{7820188F-5E23-4388-870B-43DEB61D4C6E}" id="{89319DB3-8BFE-4193-99A5-CDFEF89F9CF4}">
    <text>Tiramos o bonus e aumentamos comissão de modo geral!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7" dT="2026-07-14T12:09:05.72" personId="{7820188F-5E23-4388-870B-43DEB61D4C6E}" id="{8805CA7B-3BAB-47D5-AB33-57CD47D997E2}">
    <text>Tiramos o bonus e aumentamos comissão de modo geral!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" dT="2026-03-27T13:10:00.53" personId="{7820188F-5E23-4388-870B-43DEB61D4C6E}" id="{93A70D2E-7FC9-40E3-AE12-05E4560827C5}">
    <text>Não ser inadimplente nos ultimos 2 anos
Não ter ocorrencia no PMA nos ultimos 2 anos
Ter crescimento de vendas ano vs ano
Obrigatório atender todas as regras</text>
  </threadedComment>
  <threadedComment ref="M2" dT="2026-06-10T16:40:36.09" personId="{D20B53FD-FC8B-433F-AE7B-6690491D9978}" id="{198DE770-A467-4A73-9948-96BF7884DC76}" parentId="{93A70D2E-7FC9-40E3-AE12-05E4560827C5}">
    <text>Não ter ocorrência no PMA em 2026
(ara segunda etapa, ainda não válida neste momento:
Ter crescimento de vendas em relação 2025 à 2024</text>
  </threadedComment>
  <threadedComment ref="O2" dT="2026-03-27T13:10:00.53" personId="{7820188F-5E23-4388-870B-43DEB61D4C6E}" id="{DD72662E-2E01-4C3D-B4BB-AB651372C76B}">
    <text>Não ser inadimplente nos ultimos 2 anos
Não ter ocorrencia no PMA nos ultimos 2 anos
Ter crescimento de vendas ano vs ano
Obrigatório atender todas as regras</text>
  </threadedComment>
  <threadedComment ref="P2" dT="2026-03-27T13:10:00.53" personId="{7820188F-5E23-4388-870B-43DEB61D4C6E}" id="{DACD211E-A27B-4E1C-B5EC-5E113774F016}">
    <text>Não ser inadimplente nos ultimos 2 anos
Não ter ocorrencia no PMA nos ultimos 2 anos
Ter crescimento de vendas ano vs ano
Obrigatório atender todas as regras</text>
  </threadedComment>
  <threadedComment ref="C51" dT="2026-06-22T18:47:20.03" personId="{7820188F-5E23-4388-870B-43DEB61D4C6E}" id="{3888028D-053A-4386-94E4-888D641060D0}">
    <text>Nome da revenda esta errado.</text>
  </threadedComment>
  <threadedComment ref="C73" dT="2026-06-15T20:08:18.51" personId="{7820188F-5E23-4388-870B-43DEB61D4C6E}" id="{EA7F04FE-4A84-432D-95C2-CB8A6B068A3E}">
    <text>Cliente Comasp, verificar se não é inadimplente no historico com Boxer?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anilo@technofer.com.br" TargetMode="External"/><Relationship Id="rId13" Type="http://schemas.openxmlformats.org/officeDocument/2006/relationships/hyperlink" Target="mailto:luccas@ipanemasoldas.com.br" TargetMode="External"/><Relationship Id="rId18" Type="http://schemas.openxmlformats.org/officeDocument/2006/relationships/hyperlink" Target="mailto:comercial3@fermarcsferramentas.com.br" TargetMode="External"/><Relationship Id="rId3" Type="http://schemas.openxmlformats.org/officeDocument/2006/relationships/hyperlink" Target="mailto:marcio@luitex.com.br" TargetMode="External"/><Relationship Id="rId21" Type="http://schemas.openxmlformats.org/officeDocument/2006/relationships/comments" Target="../comments3.xml"/><Relationship Id="rId7" Type="http://schemas.openxmlformats.org/officeDocument/2006/relationships/hyperlink" Target="mailto:heitor@suprimig.com.br" TargetMode="External"/><Relationship Id="rId12" Type="http://schemas.openxmlformats.org/officeDocument/2006/relationships/hyperlink" Target="mailto:compras@csferramentas.com.br" TargetMode="External"/><Relationship Id="rId17" Type="http://schemas.openxmlformats.org/officeDocument/2006/relationships/hyperlink" Target="mailto:gilbertojmaria@gmail.com" TargetMode="External"/><Relationship Id="rId2" Type="http://schemas.openxmlformats.org/officeDocument/2006/relationships/hyperlink" Target="mailto:thiagocassano@eletrosoldalimeira.com.br" TargetMode="External"/><Relationship Id="rId16" Type="http://schemas.openxmlformats.org/officeDocument/2006/relationships/hyperlink" Target="mailto:vander.luiz@cofermeta.com.br" TargetMode="External"/><Relationship Id="rId20" Type="http://schemas.openxmlformats.org/officeDocument/2006/relationships/vmlDrawing" Target="../drawings/vmlDrawing3.vml"/><Relationship Id="rId1" Type="http://schemas.openxmlformats.org/officeDocument/2006/relationships/hyperlink" Target="mailto:danilo@technofer.com.br" TargetMode="External"/><Relationship Id="rId6" Type="http://schemas.openxmlformats.org/officeDocument/2006/relationships/hyperlink" Target="mailto:comercial.totalsoldas@gmail.com" TargetMode="External"/><Relationship Id="rId11" Type="http://schemas.openxmlformats.org/officeDocument/2006/relationships/hyperlink" Target="mailto:lucas@soldaforte.com.br" TargetMode="External"/><Relationship Id="rId5" Type="http://schemas.openxmlformats.org/officeDocument/2006/relationships/hyperlink" Target="mailto:ferreira@viasoldas.com.br" TargetMode="External"/><Relationship Id="rId15" Type="http://schemas.openxmlformats.org/officeDocument/2006/relationships/hyperlink" Target="mailto:locsoldas@locsoldas.com.br" TargetMode="External"/><Relationship Id="rId10" Type="http://schemas.openxmlformats.org/officeDocument/2006/relationships/hyperlink" Target="mailto:marcio@luitex.com.br" TargetMode="External"/><Relationship Id="rId19" Type="http://schemas.openxmlformats.org/officeDocument/2006/relationships/hyperlink" Target="mailto:atilio@alugaasolda.com.br" TargetMode="External"/><Relationship Id="rId4" Type="http://schemas.openxmlformats.org/officeDocument/2006/relationships/hyperlink" Target="mailto:heitor@suprimig.com.br" TargetMode="External"/><Relationship Id="rId9" Type="http://schemas.openxmlformats.org/officeDocument/2006/relationships/hyperlink" Target="mailto:thiagocassano@eletrosoldalimeira.com.br" TargetMode="External"/><Relationship Id="rId14" Type="http://schemas.openxmlformats.org/officeDocument/2006/relationships/hyperlink" Target="mailto:comercialsolda@hotmail.com" TargetMode="External"/><Relationship Id="rId22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4411-230A-47DC-BBD4-7EE7A705ED50}">
  <dimension ref="A1:AM61"/>
  <sheetViews>
    <sheetView showGridLines="0" zoomScale="85" zoomScaleNormal="85" workbookViewId="0">
      <pane xSplit="7" ySplit="1" topLeftCell="H2" activePane="bottomRight" state="frozen"/>
      <selection pane="bottomRight" activeCell="Y1" sqref="Y1"/>
      <selection pane="bottomLeft" activeCell="G3" sqref="G3"/>
      <selection pane="topRight" activeCell="H1" sqref="H1"/>
    </sheetView>
  </sheetViews>
  <sheetFormatPr defaultRowHeight="15" customHeight="1"/>
  <cols>
    <col min="1" max="1" width="9.28515625" hidden="1" customWidth="1"/>
    <col min="2" max="2" width="43.42578125" hidden="1" customWidth="1"/>
    <col min="3" max="3" width="28.7109375" style="1" hidden="1" customWidth="1"/>
    <col min="4" max="5" width="17.5703125" style="1" hidden="1" customWidth="1"/>
    <col min="6" max="6" width="0" hidden="1" customWidth="1"/>
    <col min="7" max="7" width="38.5703125" customWidth="1"/>
    <col min="8" max="10" width="13.140625" style="1" customWidth="1"/>
    <col min="11" max="23" width="13.140625" customWidth="1"/>
    <col min="24" max="25" width="14.42578125" customWidth="1"/>
    <col min="27" max="27" width="13.140625" style="10" customWidth="1"/>
    <col min="28" max="28" width="7.42578125" customWidth="1"/>
    <col min="29" max="29" width="7.85546875" customWidth="1"/>
    <col min="30" max="30" width="21.85546875" customWidth="1"/>
    <col min="31" max="31" width="34.5703125" customWidth="1"/>
    <col min="32" max="32" width="29.7109375" bestFit="1" customWidth="1"/>
    <col min="33" max="33" width="17.85546875" bestFit="1" customWidth="1"/>
    <col min="34" max="34" width="22.85546875" bestFit="1" customWidth="1"/>
    <col min="35" max="35" width="18.5703125" bestFit="1" customWidth="1"/>
    <col min="36" max="36" width="30" bestFit="1" customWidth="1"/>
  </cols>
  <sheetData>
    <row r="1" spans="1:39">
      <c r="B1" t="s">
        <v>0</v>
      </c>
      <c r="G1" t="s">
        <v>1</v>
      </c>
      <c r="H1" s="18" t="s">
        <v>2</v>
      </c>
      <c r="I1" s="16"/>
      <c r="J1" s="16"/>
      <c r="K1" s="58" t="s">
        <v>3</v>
      </c>
      <c r="L1" s="59"/>
      <c r="M1" s="59"/>
      <c r="N1" s="59"/>
      <c r="O1" s="59"/>
      <c r="P1" s="60"/>
      <c r="Q1" s="15" t="s">
        <v>4</v>
      </c>
      <c r="R1" s="15"/>
      <c r="S1" s="15"/>
      <c r="T1" s="15"/>
      <c r="U1" s="15"/>
      <c r="V1" s="15"/>
      <c r="W1" s="15"/>
      <c r="X1" s="17" t="s">
        <v>5</v>
      </c>
      <c r="Y1" s="17"/>
      <c r="AI1" s="331" t="s">
        <v>6</v>
      </c>
      <c r="AJ1" s="332"/>
    </row>
    <row r="2" spans="1:39" s="3" customFormat="1">
      <c r="B2" s="4" t="s">
        <v>7</v>
      </c>
      <c r="C2" s="5" t="s">
        <v>8</v>
      </c>
      <c r="D2" s="5" t="s">
        <v>9</v>
      </c>
      <c r="E2" s="5" t="s">
        <v>10</v>
      </c>
      <c r="G2" s="4" t="s">
        <v>11</v>
      </c>
      <c r="H2" s="5" t="s">
        <v>8</v>
      </c>
      <c r="I2" s="5" t="s">
        <v>9</v>
      </c>
      <c r="J2" s="50" t="s">
        <v>10</v>
      </c>
      <c r="K2" s="61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62" t="s">
        <v>17</v>
      </c>
      <c r="Q2" s="54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344" t="s">
        <v>23</v>
      </c>
      <c r="W2" s="345"/>
      <c r="X2" s="13" t="s">
        <v>24</v>
      </c>
      <c r="Y2" s="13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2" t="s">
        <v>32</v>
      </c>
      <c r="AH2" s="143" t="s">
        <v>33</v>
      </c>
      <c r="AI2" s="151" t="s">
        <v>34</v>
      </c>
      <c r="AJ2" s="152" t="s">
        <v>35</v>
      </c>
    </row>
    <row r="3" spans="1:39" s="37" customFormat="1" ht="16.5" customHeight="1">
      <c r="B3" s="35" t="s">
        <v>36</v>
      </c>
      <c r="C3" s="36" t="s">
        <v>37</v>
      </c>
      <c r="D3" s="36" t="s">
        <v>37</v>
      </c>
      <c r="E3" s="36" t="s">
        <v>38</v>
      </c>
      <c r="G3" s="38" t="s">
        <v>27</v>
      </c>
      <c r="H3" s="39" t="s">
        <v>39</v>
      </c>
      <c r="I3" s="39" t="s">
        <v>39</v>
      </c>
      <c r="J3" s="51" t="s">
        <v>39</v>
      </c>
      <c r="K3" s="63" t="s">
        <v>40</v>
      </c>
      <c r="L3" s="40" t="s">
        <v>40</v>
      </c>
      <c r="M3" s="40" t="s">
        <v>40</v>
      </c>
      <c r="N3" s="40" t="s">
        <v>40</v>
      </c>
      <c r="O3" s="40" t="s">
        <v>40</v>
      </c>
      <c r="P3" s="64" t="s">
        <v>40</v>
      </c>
      <c r="Q3" s="55" t="s">
        <v>40</v>
      </c>
      <c r="R3" s="36" t="s">
        <v>40</v>
      </c>
      <c r="S3" s="36" t="s">
        <v>40</v>
      </c>
      <c r="T3" s="36" t="s">
        <v>40</v>
      </c>
      <c r="U3" s="36" t="s">
        <v>40</v>
      </c>
      <c r="V3" s="36" t="s">
        <v>40</v>
      </c>
      <c r="W3" s="36" t="s">
        <v>40</v>
      </c>
      <c r="X3" s="36" t="s">
        <v>39</v>
      </c>
      <c r="Y3" s="36" t="s">
        <v>39</v>
      </c>
      <c r="AA3" s="132" t="s">
        <v>8</v>
      </c>
      <c r="AB3" s="41" t="s">
        <v>39</v>
      </c>
      <c r="AC3" s="41" t="s">
        <v>41</v>
      </c>
      <c r="AD3" s="41" t="s">
        <v>41</v>
      </c>
      <c r="AE3" s="41" t="s">
        <v>42</v>
      </c>
      <c r="AF3" s="41" t="s">
        <v>42</v>
      </c>
      <c r="AG3" s="41" t="s">
        <v>43</v>
      </c>
      <c r="AH3" s="340" t="s">
        <v>44</v>
      </c>
      <c r="AI3" s="351" t="s">
        <v>45</v>
      </c>
      <c r="AJ3" s="348" t="s">
        <v>46</v>
      </c>
      <c r="AK3" s="347" t="s">
        <v>47</v>
      </c>
      <c r="AL3" s="347"/>
      <c r="AM3" s="347"/>
    </row>
    <row r="4" spans="1:39" s="37" customFormat="1" ht="16.5" customHeight="1">
      <c r="B4" s="35" t="s">
        <v>48</v>
      </c>
      <c r="C4" s="36" t="s">
        <v>38</v>
      </c>
      <c r="D4" s="36" t="s">
        <v>37</v>
      </c>
      <c r="E4" s="36" t="s">
        <v>37</v>
      </c>
      <c r="G4" s="38" t="s">
        <v>28</v>
      </c>
      <c r="H4" s="40" t="s">
        <v>40</v>
      </c>
      <c r="I4" s="40" t="s">
        <v>40</v>
      </c>
      <c r="J4" s="52" t="s">
        <v>40</v>
      </c>
      <c r="K4" s="65" t="s">
        <v>49</v>
      </c>
      <c r="L4" s="42" t="s">
        <v>49</v>
      </c>
      <c r="M4" s="42" t="s">
        <v>49</v>
      </c>
      <c r="N4" s="39">
        <v>1</v>
      </c>
      <c r="O4" s="39">
        <v>1</v>
      </c>
      <c r="P4" s="66">
        <v>1</v>
      </c>
      <c r="Q4" s="55" t="s">
        <v>40</v>
      </c>
      <c r="R4" s="36" t="s">
        <v>40</v>
      </c>
      <c r="S4" s="36" t="s">
        <v>40</v>
      </c>
      <c r="T4" s="36" t="s">
        <v>40</v>
      </c>
      <c r="U4" s="36" t="s">
        <v>40</v>
      </c>
      <c r="V4" s="36" t="s">
        <v>40</v>
      </c>
      <c r="W4" s="36" t="s">
        <v>40</v>
      </c>
      <c r="X4" s="36" t="s">
        <v>39</v>
      </c>
      <c r="Y4" s="36" t="s">
        <v>39</v>
      </c>
      <c r="AA4" s="132" t="s">
        <v>9</v>
      </c>
      <c r="AB4" s="41" t="s">
        <v>39</v>
      </c>
      <c r="AC4" s="41" t="s">
        <v>41</v>
      </c>
      <c r="AD4" s="41" t="s">
        <v>41</v>
      </c>
      <c r="AE4" s="41" t="s">
        <v>42</v>
      </c>
      <c r="AF4" s="137" t="s">
        <v>39</v>
      </c>
      <c r="AG4" s="41" t="s">
        <v>43</v>
      </c>
      <c r="AH4" s="341"/>
      <c r="AI4" s="352"/>
      <c r="AJ4" s="349"/>
      <c r="AK4" s="347"/>
      <c r="AL4" s="347"/>
      <c r="AM4" s="347"/>
    </row>
    <row r="5" spans="1:39" s="37" customFormat="1" ht="16.5" customHeight="1">
      <c r="B5" s="35" t="s">
        <v>50</v>
      </c>
      <c r="C5" s="36" t="s">
        <v>38</v>
      </c>
      <c r="D5" s="36" t="s">
        <v>38</v>
      </c>
      <c r="E5" s="36" t="s">
        <v>37</v>
      </c>
      <c r="G5" s="38" t="s">
        <v>29</v>
      </c>
      <c r="H5" s="40" t="s">
        <v>40</v>
      </c>
      <c r="I5" s="40" t="s">
        <v>40</v>
      </c>
      <c r="J5" s="52" t="s">
        <v>40</v>
      </c>
      <c r="K5" s="63" t="s">
        <v>40</v>
      </c>
      <c r="L5" s="40" t="s">
        <v>40</v>
      </c>
      <c r="M5" s="40" t="s">
        <v>40</v>
      </c>
      <c r="N5" s="40" t="s">
        <v>40</v>
      </c>
      <c r="O5" s="40" t="s">
        <v>40</v>
      </c>
      <c r="P5" s="64" t="s">
        <v>40</v>
      </c>
      <c r="Q5" s="56" t="s">
        <v>51</v>
      </c>
      <c r="R5" s="56" t="s">
        <v>51</v>
      </c>
      <c r="S5" s="56" t="s">
        <v>51</v>
      </c>
      <c r="T5" s="43" t="s">
        <v>52</v>
      </c>
      <c r="U5" s="43" t="s">
        <v>52</v>
      </c>
      <c r="V5" s="43" t="s">
        <v>52</v>
      </c>
      <c r="W5" s="43" t="s">
        <v>52</v>
      </c>
      <c r="X5" s="36" t="s">
        <v>39</v>
      </c>
      <c r="Y5" s="36" t="s">
        <v>39</v>
      </c>
      <c r="AA5" s="132" t="s">
        <v>10</v>
      </c>
      <c r="AB5" s="41" t="s">
        <v>39</v>
      </c>
      <c r="AC5" s="41" t="s">
        <v>41</v>
      </c>
      <c r="AD5" s="41" t="s">
        <v>41</v>
      </c>
      <c r="AE5" s="137" t="s">
        <v>39</v>
      </c>
      <c r="AF5" s="137" t="s">
        <v>39</v>
      </c>
      <c r="AG5" s="41" t="s">
        <v>43</v>
      </c>
      <c r="AH5" s="342"/>
      <c r="AI5" s="352"/>
      <c r="AJ5" s="349"/>
      <c r="AK5" s="347"/>
      <c r="AL5" s="347"/>
      <c r="AM5" s="347"/>
    </row>
    <row r="6" spans="1:39" s="37" customFormat="1" ht="16.5" customHeight="1">
      <c r="B6" s="35"/>
      <c r="C6" s="36"/>
      <c r="D6" s="36"/>
      <c r="E6" s="36"/>
      <c r="G6" s="76" t="s">
        <v>53</v>
      </c>
      <c r="H6" s="40" t="s">
        <v>42</v>
      </c>
      <c r="I6" s="40" t="s">
        <v>42</v>
      </c>
      <c r="J6" s="51" t="s">
        <v>39</v>
      </c>
      <c r="K6" s="63" t="s">
        <v>42</v>
      </c>
      <c r="L6" s="40" t="s">
        <v>42</v>
      </c>
      <c r="M6" s="39" t="s">
        <v>39</v>
      </c>
      <c r="N6" s="40" t="s">
        <v>42</v>
      </c>
      <c r="O6" s="40" t="s">
        <v>42</v>
      </c>
      <c r="P6" s="66" t="s">
        <v>39</v>
      </c>
      <c r="Q6" s="55" t="s">
        <v>42</v>
      </c>
      <c r="R6" s="36" t="s">
        <v>42</v>
      </c>
      <c r="S6" s="43" t="s">
        <v>39</v>
      </c>
      <c r="T6" s="36" t="s">
        <v>42</v>
      </c>
      <c r="U6" s="36" t="s">
        <v>42</v>
      </c>
      <c r="V6" s="43" t="s">
        <v>39</v>
      </c>
      <c r="W6" s="43" t="s">
        <v>39</v>
      </c>
      <c r="X6" s="36" t="s">
        <v>39</v>
      </c>
      <c r="Y6" s="36" t="s">
        <v>39</v>
      </c>
      <c r="AA6" s="133" t="s">
        <v>12</v>
      </c>
      <c r="AB6" s="41" t="s">
        <v>41</v>
      </c>
      <c r="AC6" s="41" t="s">
        <v>49</v>
      </c>
      <c r="AD6" s="41" t="s">
        <v>41</v>
      </c>
      <c r="AE6" s="41" t="s">
        <v>42</v>
      </c>
      <c r="AF6" s="41" t="s">
        <v>42</v>
      </c>
      <c r="AG6" s="41" t="s">
        <v>43</v>
      </c>
      <c r="AH6" s="343" t="s">
        <v>44</v>
      </c>
      <c r="AI6" s="352"/>
      <c r="AJ6" s="349"/>
      <c r="AK6" s="346" t="s">
        <v>54</v>
      </c>
      <c r="AL6" s="346"/>
      <c r="AM6" s="346"/>
    </row>
    <row r="7" spans="1:39" s="37" customFormat="1" ht="16.5" customHeight="1">
      <c r="B7" s="35"/>
      <c r="C7" s="36"/>
      <c r="D7" s="36"/>
      <c r="E7" s="36"/>
      <c r="G7" s="38" t="s">
        <v>31</v>
      </c>
      <c r="H7" s="40" t="s">
        <v>42</v>
      </c>
      <c r="I7" s="39" t="s">
        <v>39</v>
      </c>
      <c r="J7" s="51" t="s">
        <v>39</v>
      </c>
      <c r="K7" s="63" t="s">
        <v>42</v>
      </c>
      <c r="L7" s="39" t="s">
        <v>39</v>
      </c>
      <c r="M7" s="39" t="s">
        <v>39</v>
      </c>
      <c r="N7" s="40" t="s">
        <v>42</v>
      </c>
      <c r="O7" s="39" t="s">
        <v>39</v>
      </c>
      <c r="P7" s="66" t="s">
        <v>39</v>
      </c>
      <c r="Q7" s="55" t="s">
        <v>42</v>
      </c>
      <c r="R7" s="43" t="s">
        <v>39</v>
      </c>
      <c r="S7" s="43" t="s">
        <v>39</v>
      </c>
      <c r="T7" s="36" t="s">
        <v>42</v>
      </c>
      <c r="U7" s="43" t="s">
        <v>39</v>
      </c>
      <c r="V7" s="43" t="s">
        <v>39</v>
      </c>
      <c r="W7" s="43" t="s">
        <v>39</v>
      </c>
      <c r="X7" s="36" t="s">
        <v>39</v>
      </c>
      <c r="Y7" s="36" t="s">
        <v>39</v>
      </c>
      <c r="AA7" s="133" t="s">
        <v>13</v>
      </c>
      <c r="AB7" s="41" t="s">
        <v>41</v>
      </c>
      <c r="AC7" s="41" t="s">
        <v>49</v>
      </c>
      <c r="AD7" s="41" t="s">
        <v>41</v>
      </c>
      <c r="AE7" s="41" t="s">
        <v>42</v>
      </c>
      <c r="AF7" s="137" t="s">
        <v>39</v>
      </c>
      <c r="AG7" s="41" t="s">
        <v>43</v>
      </c>
      <c r="AH7" s="341"/>
      <c r="AI7" s="352"/>
      <c r="AJ7" s="349"/>
      <c r="AK7" s="346"/>
      <c r="AL7" s="346"/>
      <c r="AM7" s="346"/>
    </row>
    <row r="8" spans="1:39" s="37" customFormat="1" ht="16.5" customHeight="1">
      <c r="B8" s="44" t="s">
        <v>55</v>
      </c>
      <c r="C8" s="45" t="s">
        <v>56</v>
      </c>
      <c r="D8" s="45" t="s">
        <v>56</v>
      </c>
      <c r="E8" s="45" t="s">
        <v>56</v>
      </c>
      <c r="G8" s="38" t="s">
        <v>32</v>
      </c>
      <c r="H8" s="40" t="s">
        <v>43</v>
      </c>
      <c r="I8" s="40" t="s">
        <v>43</v>
      </c>
      <c r="J8" s="52" t="s">
        <v>43</v>
      </c>
      <c r="K8" s="63" t="s">
        <v>43</v>
      </c>
      <c r="L8" s="40" t="s">
        <v>43</v>
      </c>
      <c r="M8" s="40" t="s">
        <v>43</v>
      </c>
      <c r="N8" s="40" t="s">
        <v>43</v>
      </c>
      <c r="O8" s="40" t="s">
        <v>43</v>
      </c>
      <c r="P8" s="64" t="s">
        <v>43</v>
      </c>
      <c r="Q8" s="55" t="s">
        <v>43</v>
      </c>
      <c r="R8" s="36" t="s">
        <v>43</v>
      </c>
      <c r="S8" s="36" t="s">
        <v>43</v>
      </c>
      <c r="T8" s="36" t="s">
        <v>43</v>
      </c>
      <c r="U8" s="36" t="s">
        <v>43</v>
      </c>
      <c r="V8" s="36" t="s">
        <v>43</v>
      </c>
      <c r="W8" s="36" t="s">
        <v>43</v>
      </c>
      <c r="X8" s="36" t="s">
        <v>57</v>
      </c>
      <c r="Y8" s="36" t="s">
        <v>57</v>
      </c>
      <c r="AA8" s="133" t="s">
        <v>14</v>
      </c>
      <c r="AB8" s="41" t="s">
        <v>41</v>
      </c>
      <c r="AC8" s="41" t="s">
        <v>49</v>
      </c>
      <c r="AD8" s="41" t="s">
        <v>41</v>
      </c>
      <c r="AE8" s="137" t="s">
        <v>39</v>
      </c>
      <c r="AF8" s="137" t="s">
        <v>39</v>
      </c>
      <c r="AG8" s="41" t="s">
        <v>43</v>
      </c>
      <c r="AH8" s="341"/>
      <c r="AI8" s="352"/>
      <c r="AJ8" s="349"/>
      <c r="AK8" s="346"/>
      <c r="AL8" s="346"/>
      <c r="AM8" s="346"/>
    </row>
    <row r="9" spans="1:39" s="37" customFormat="1" ht="16.5" customHeight="1">
      <c r="B9" s="37" t="s">
        <v>58</v>
      </c>
      <c r="C9" s="46"/>
      <c r="D9" s="46"/>
      <c r="E9" s="46"/>
      <c r="G9" s="47" t="s">
        <v>59</v>
      </c>
      <c r="H9" s="48" t="s">
        <v>44</v>
      </c>
      <c r="I9" s="48" t="s">
        <v>44</v>
      </c>
      <c r="J9" s="53" t="s">
        <v>44</v>
      </c>
      <c r="K9" s="67" t="s">
        <v>44</v>
      </c>
      <c r="L9" s="68" t="s">
        <v>44</v>
      </c>
      <c r="M9" s="68" t="s">
        <v>44</v>
      </c>
      <c r="N9" s="68" t="s">
        <v>44</v>
      </c>
      <c r="O9" s="68" t="s">
        <v>44</v>
      </c>
      <c r="P9" s="69" t="s">
        <v>60</v>
      </c>
      <c r="Q9" s="57" t="s">
        <v>44</v>
      </c>
      <c r="R9" s="48" t="s">
        <v>44</v>
      </c>
      <c r="S9" s="49" t="s">
        <v>60</v>
      </c>
      <c r="T9" s="48" t="s">
        <v>44</v>
      </c>
      <c r="U9" s="48" t="s">
        <v>44</v>
      </c>
      <c r="V9" s="85" t="s">
        <v>61</v>
      </c>
      <c r="W9" s="84" t="s">
        <v>60</v>
      </c>
      <c r="X9" s="84" t="s">
        <v>60</v>
      </c>
      <c r="Y9" s="85" t="s">
        <v>61</v>
      </c>
      <c r="AA9" s="133" t="s">
        <v>15</v>
      </c>
      <c r="AB9" s="41" t="s">
        <v>41</v>
      </c>
      <c r="AC9" s="41">
        <v>1</v>
      </c>
      <c r="AD9" s="41" t="s">
        <v>41</v>
      </c>
      <c r="AE9" s="41" t="s">
        <v>42</v>
      </c>
      <c r="AF9" s="41" t="s">
        <v>42</v>
      </c>
      <c r="AG9" s="41" t="s">
        <v>43</v>
      </c>
      <c r="AH9" s="341"/>
      <c r="AI9" s="352"/>
      <c r="AJ9" s="349"/>
      <c r="AK9" s="346"/>
      <c r="AL9" s="346"/>
      <c r="AM9" s="346"/>
    </row>
    <row r="10" spans="1:39" s="37" customFormat="1" ht="16.5" customHeight="1">
      <c r="C10" s="46"/>
      <c r="D10" s="46"/>
      <c r="E10" s="46"/>
      <c r="G10" s="97" t="s">
        <v>62</v>
      </c>
      <c r="H10" s="96"/>
      <c r="I10" s="94"/>
      <c r="J10" s="94"/>
      <c r="K10" s="94"/>
      <c r="L10" s="94"/>
      <c r="M10" s="94"/>
      <c r="N10" s="94"/>
      <c r="O10" s="94"/>
      <c r="P10" s="95"/>
      <c r="Q10" s="94"/>
      <c r="R10" s="94"/>
      <c r="S10" s="95"/>
      <c r="T10" s="94"/>
      <c r="U10" s="94"/>
      <c r="V10" s="179" t="s">
        <v>63</v>
      </c>
      <c r="W10" s="179" t="s">
        <v>64</v>
      </c>
      <c r="X10" s="95"/>
      <c r="Y10" s="95"/>
      <c r="AA10" s="133" t="s">
        <v>16</v>
      </c>
      <c r="AB10" s="41" t="s">
        <v>41</v>
      </c>
      <c r="AC10" s="41">
        <v>1</v>
      </c>
      <c r="AD10" s="41" t="s">
        <v>41</v>
      </c>
      <c r="AE10" s="41" t="s">
        <v>42</v>
      </c>
      <c r="AF10" s="137" t="s">
        <v>39</v>
      </c>
      <c r="AG10" s="41" t="s">
        <v>43</v>
      </c>
      <c r="AH10" s="342"/>
      <c r="AI10" s="352"/>
      <c r="AJ10" s="349"/>
      <c r="AK10" s="346"/>
      <c r="AL10" s="346"/>
      <c r="AM10" s="346"/>
    </row>
    <row r="11" spans="1:39" s="37" customFormat="1" ht="16.5" customHeight="1">
      <c r="C11" s="46"/>
      <c r="D11" s="46"/>
      <c r="E11" s="46"/>
      <c r="G11" s="97" t="s">
        <v>65</v>
      </c>
      <c r="H11" s="39" t="s">
        <v>45</v>
      </c>
      <c r="I11" s="39" t="s">
        <v>45</v>
      </c>
      <c r="J11" s="39" t="s">
        <v>45</v>
      </c>
      <c r="K11" s="39" t="s">
        <v>45</v>
      </c>
      <c r="L11" s="39" t="s">
        <v>45</v>
      </c>
      <c r="M11" s="39" t="s">
        <v>45</v>
      </c>
      <c r="N11" s="39" t="s">
        <v>45</v>
      </c>
      <c r="O11" s="39" t="s">
        <v>45</v>
      </c>
      <c r="P11" s="39" t="s">
        <v>45</v>
      </c>
      <c r="Q11" s="39" t="s">
        <v>45</v>
      </c>
      <c r="R11" s="39" t="s">
        <v>45</v>
      </c>
      <c r="S11" s="39" t="s">
        <v>45</v>
      </c>
      <c r="T11" s="39" t="s">
        <v>45</v>
      </c>
      <c r="U11" s="39" t="s">
        <v>45</v>
      </c>
      <c r="V11" s="39" t="s">
        <v>45</v>
      </c>
      <c r="W11" s="39" t="s">
        <v>45</v>
      </c>
      <c r="X11" s="39" t="s">
        <v>45</v>
      </c>
      <c r="Y11" s="39" t="s">
        <v>66</v>
      </c>
      <c r="AA11" s="134" t="s">
        <v>17</v>
      </c>
      <c r="AB11" s="135" t="s">
        <v>41</v>
      </c>
      <c r="AC11" s="135">
        <v>1</v>
      </c>
      <c r="AD11" s="135" t="s">
        <v>41</v>
      </c>
      <c r="AE11" s="138" t="s">
        <v>39</v>
      </c>
      <c r="AF11" s="137" t="s">
        <v>39</v>
      </c>
      <c r="AG11" s="135" t="s">
        <v>43</v>
      </c>
      <c r="AH11" s="142" t="s">
        <v>60</v>
      </c>
      <c r="AI11" s="352"/>
      <c r="AJ11" s="349"/>
      <c r="AK11" s="346"/>
      <c r="AL11" s="346"/>
      <c r="AM11" s="346"/>
    </row>
    <row r="12" spans="1:39" s="37" customFormat="1" ht="16.5" customHeight="1">
      <c r="C12" s="46"/>
      <c r="D12" s="46"/>
      <c r="E12" s="46"/>
      <c r="G12" s="97" t="s">
        <v>67</v>
      </c>
      <c r="H12" s="39" t="s">
        <v>46</v>
      </c>
      <c r="I12" s="39" t="s">
        <v>46</v>
      </c>
      <c r="J12" s="39" t="s">
        <v>46</v>
      </c>
      <c r="K12" s="39" t="s">
        <v>46</v>
      </c>
      <c r="L12" s="39" t="s">
        <v>46</v>
      </c>
      <c r="M12" s="39" t="s">
        <v>46</v>
      </c>
      <c r="N12" s="39" t="s">
        <v>46</v>
      </c>
      <c r="O12" s="39" t="s">
        <v>46</v>
      </c>
      <c r="P12" s="39" t="s">
        <v>46</v>
      </c>
      <c r="Q12" s="39" t="s">
        <v>46</v>
      </c>
      <c r="R12" s="39" t="s">
        <v>46</v>
      </c>
      <c r="S12" s="39" t="s">
        <v>46</v>
      </c>
      <c r="T12" s="39" t="s">
        <v>46</v>
      </c>
      <c r="U12" s="39" t="s">
        <v>46</v>
      </c>
      <c r="V12" s="39" t="s">
        <v>46</v>
      </c>
      <c r="W12" s="39" t="s">
        <v>46</v>
      </c>
      <c r="X12" s="39" t="s">
        <v>46</v>
      </c>
      <c r="Y12" s="39" t="s">
        <v>66</v>
      </c>
      <c r="AA12" s="136" t="s">
        <v>18</v>
      </c>
      <c r="AB12" s="135" t="s">
        <v>41</v>
      </c>
      <c r="AC12" s="135" t="s">
        <v>41</v>
      </c>
      <c r="AD12" s="135" t="s">
        <v>51</v>
      </c>
      <c r="AE12" s="135" t="s">
        <v>42</v>
      </c>
      <c r="AF12" s="135" t="s">
        <v>42</v>
      </c>
      <c r="AG12" s="135" t="s">
        <v>43</v>
      </c>
      <c r="AH12" s="343" t="s">
        <v>44</v>
      </c>
      <c r="AI12" s="352"/>
      <c r="AJ12" s="349"/>
      <c r="AK12" s="335" t="s">
        <v>68</v>
      </c>
      <c r="AL12" s="335"/>
      <c r="AM12" s="335"/>
    </row>
    <row r="13" spans="1:39" s="37" customFormat="1" ht="16.5" customHeight="1">
      <c r="A13"/>
      <c r="B13" t="s">
        <v>69</v>
      </c>
      <c r="C13" s="12">
        <v>0</v>
      </c>
      <c r="D13" s="12">
        <v>0.03</v>
      </c>
      <c r="E13" s="12">
        <v>0.05</v>
      </c>
      <c r="F13"/>
      <c r="G13"/>
      <c r="H13" s="1"/>
      <c r="I13" s="1"/>
      <c r="J13" s="1"/>
      <c r="K13"/>
      <c r="L13"/>
      <c r="M13"/>
      <c r="N13"/>
      <c r="O13"/>
      <c r="P13"/>
      <c r="Q13"/>
      <c r="R13"/>
      <c r="S13"/>
      <c r="T13"/>
      <c r="U13"/>
      <c r="V13" s="131" t="s">
        <v>70</v>
      </c>
      <c r="W13"/>
      <c r="X13"/>
      <c r="Y13"/>
      <c r="AA13" s="136" t="s">
        <v>19</v>
      </c>
      <c r="AB13" s="135" t="s">
        <v>41</v>
      </c>
      <c r="AC13" s="135" t="s">
        <v>41</v>
      </c>
      <c r="AD13" s="135" t="s">
        <v>51</v>
      </c>
      <c r="AE13" s="135" t="s">
        <v>42</v>
      </c>
      <c r="AF13" s="137" t="s">
        <v>39</v>
      </c>
      <c r="AG13" s="135" t="s">
        <v>43</v>
      </c>
      <c r="AH13" s="342"/>
      <c r="AI13" s="352"/>
      <c r="AJ13" s="349"/>
      <c r="AK13" s="335"/>
      <c r="AL13" s="335"/>
      <c r="AM13" s="335"/>
    </row>
    <row r="14" spans="1:39">
      <c r="B14" t="s">
        <v>71</v>
      </c>
      <c r="C14" s="12">
        <v>0.01</v>
      </c>
      <c r="D14" s="12">
        <v>0.02</v>
      </c>
      <c r="E14" s="12">
        <v>0.04</v>
      </c>
      <c r="G14" s="30" t="s">
        <v>72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2"/>
      <c r="Y14" s="32"/>
      <c r="AA14" s="136" t="s">
        <v>20</v>
      </c>
      <c r="AB14" s="135" t="s">
        <v>41</v>
      </c>
      <c r="AC14" s="135" t="s">
        <v>41</v>
      </c>
      <c r="AD14" s="135" t="s">
        <v>51</v>
      </c>
      <c r="AE14" s="138" t="s">
        <v>39</v>
      </c>
      <c r="AF14" s="137" t="s">
        <v>39</v>
      </c>
      <c r="AG14" s="135" t="s">
        <v>43</v>
      </c>
      <c r="AH14" s="142" t="s">
        <v>60</v>
      </c>
      <c r="AI14" s="352"/>
      <c r="AJ14" s="349"/>
      <c r="AK14" s="335"/>
      <c r="AL14" s="335"/>
      <c r="AM14" s="335"/>
    </row>
    <row r="15" spans="1:39">
      <c r="B15" t="s">
        <v>73</v>
      </c>
      <c r="C15" s="12">
        <v>1.2E-2</v>
      </c>
      <c r="D15" s="12">
        <v>1.2E-2</v>
      </c>
      <c r="E15" s="12">
        <v>1.2E-2</v>
      </c>
      <c r="G15" s="20" t="s">
        <v>74</v>
      </c>
      <c r="H15" s="28">
        <v>0</v>
      </c>
      <c r="I15" s="28">
        <v>0.01</v>
      </c>
      <c r="J15" s="28">
        <v>0.01</v>
      </c>
      <c r="K15" s="28">
        <v>0</v>
      </c>
      <c r="L15" s="28">
        <v>0.01</v>
      </c>
      <c r="M15" s="28">
        <v>0.01</v>
      </c>
      <c r="N15" s="28">
        <v>0</v>
      </c>
      <c r="O15" s="28">
        <v>0.01</v>
      </c>
      <c r="P15" s="164">
        <v>1.7000000000000001E-2</v>
      </c>
      <c r="Q15" s="28">
        <v>0</v>
      </c>
      <c r="R15" s="164">
        <v>0.01</v>
      </c>
      <c r="S15" s="164">
        <v>0.02</v>
      </c>
      <c r="T15" s="28">
        <v>0</v>
      </c>
      <c r="U15" s="164">
        <v>0.01</v>
      </c>
      <c r="V15" s="28">
        <v>0.05</v>
      </c>
      <c r="W15" s="28">
        <v>0.02</v>
      </c>
      <c r="X15" s="28">
        <v>0.03</v>
      </c>
      <c r="Y15" s="28">
        <v>0.05</v>
      </c>
      <c r="AA15" s="136" t="s">
        <v>21</v>
      </c>
      <c r="AB15" s="135" t="s">
        <v>41</v>
      </c>
      <c r="AC15" s="135" t="s">
        <v>41</v>
      </c>
      <c r="AD15" s="135" t="s">
        <v>52</v>
      </c>
      <c r="AE15" s="135" t="s">
        <v>42</v>
      </c>
      <c r="AF15" s="135" t="s">
        <v>42</v>
      </c>
      <c r="AG15" s="135" t="s">
        <v>43</v>
      </c>
      <c r="AH15" s="343" t="s">
        <v>44</v>
      </c>
      <c r="AI15" s="352"/>
      <c r="AJ15" s="349"/>
      <c r="AK15" s="335"/>
      <c r="AL15" s="335"/>
      <c r="AM15" s="335"/>
    </row>
    <row r="16" spans="1:39">
      <c r="G16" s="20" t="s">
        <v>75</v>
      </c>
      <c r="H16" s="182">
        <v>1.7000000000000001E-2</v>
      </c>
      <c r="I16" s="182">
        <v>1.7000000000000001E-2</v>
      </c>
      <c r="J16" s="182">
        <v>1.7000000000000001E-2</v>
      </c>
      <c r="K16" s="182">
        <v>1.7000000000000001E-2</v>
      </c>
      <c r="L16" s="182">
        <v>1.7000000000000001E-2</v>
      </c>
      <c r="M16" s="182">
        <v>1.7000000000000001E-2</v>
      </c>
      <c r="N16" s="182">
        <v>1.7000000000000001E-2</v>
      </c>
      <c r="O16" s="182">
        <v>1.7000000000000001E-2</v>
      </c>
      <c r="P16" s="164" t="s">
        <v>76</v>
      </c>
      <c r="Q16" s="182">
        <v>1.7000000000000001E-2</v>
      </c>
      <c r="R16" s="182">
        <v>1.7000000000000001E-2</v>
      </c>
      <c r="S16" s="182">
        <v>1.7000000000000001E-2</v>
      </c>
      <c r="T16" s="182">
        <v>1.7000000000000001E-2</v>
      </c>
      <c r="U16" s="182">
        <v>1.7000000000000001E-2</v>
      </c>
      <c r="V16" s="182">
        <v>1.7000000000000001E-2</v>
      </c>
      <c r="W16" s="182">
        <v>1.7000000000000001E-2</v>
      </c>
      <c r="X16" s="182">
        <v>0</v>
      </c>
      <c r="Y16" s="28">
        <v>0</v>
      </c>
      <c r="AA16" s="136" t="s">
        <v>22</v>
      </c>
      <c r="AB16" s="135" t="s">
        <v>41</v>
      </c>
      <c r="AC16" s="135" t="s">
        <v>41</v>
      </c>
      <c r="AD16" s="135" t="s">
        <v>52</v>
      </c>
      <c r="AE16" s="135" t="s">
        <v>42</v>
      </c>
      <c r="AF16" s="137" t="s">
        <v>39</v>
      </c>
      <c r="AG16" s="135" t="s">
        <v>43</v>
      </c>
      <c r="AH16" s="341"/>
      <c r="AI16" s="352"/>
      <c r="AJ16" s="349"/>
      <c r="AK16" s="335"/>
      <c r="AL16" s="335"/>
      <c r="AM16" s="335"/>
    </row>
    <row r="17" spans="1:39">
      <c r="A17" s="1"/>
      <c r="B17" s="9" t="s">
        <v>77</v>
      </c>
      <c r="C17" s="9" t="s">
        <v>8</v>
      </c>
      <c r="D17" s="9" t="s">
        <v>9</v>
      </c>
      <c r="E17" s="9" t="s">
        <v>10</v>
      </c>
      <c r="F17" s="1"/>
      <c r="G17" s="20" t="s">
        <v>78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11" t="s">
        <v>79</v>
      </c>
      <c r="Q17" s="28">
        <v>0</v>
      </c>
      <c r="R17" s="28">
        <v>0</v>
      </c>
      <c r="S17" s="29" t="s">
        <v>80</v>
      </c>
      <c r="T17" s="28">
        <v>0</v>
      </c>
      <c r="U17" s="28">
        <v>0</v>
      </c>
      <c r="V17" s="28" t="s">
        <v>81</v>
      </c>
      <c r="W17" s="29" t="s">
        <v>80</v>
      </c>
      <c r="X17" s="29" t="s">
        <v>80</v>
      </c>
      <c r="Y17" s="28" t="s">
        <v>81</v>
      </c>
      <c r="AA17" s="333" t="s">
        <v>23</v>
      </c>
      <c r="AB17" s="139" t="s">
        <v>41</v>
      </c>
      <c r="AC17" s="139" t="s">
        <v>41</v>
      </c>
      <c r="AD17" s="135" t="s">
        <v>52</v>
      </c>
      <c r="AE17" s="140" t="s">
        <v>39</v>
      </c>
      <c r="AF17" s="141" t="s">
        <v>39</v>
      </c>
      <c r="AG17" s="139" t="s">
        <v>43</v>
      </c>
      <c r="AH17" s="342"/>
      <c r="AI17" s="352"/>
      <c r="AJ17" s="349"/>
      <c r="AK17" s="335"/>
      <c r="AL17" s="335"/>
      <c r="AM17" s="335"/>
    </row>
    <row r="18" spans="1:39" s="1" customFormat="1">
      <c r="A18"/>
      <c r="B18" s="6" t="s">
        <v>82</v>
      </c>
      <c r="C18" s="7" t="s">
        <v>37</v>
      </c>
      <c r="D18" s="7"/>
      <c r="E18" s="7"/>
      <c r="F18"/>
      <c r="G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AA18" s="334"/>
      <c r="AB18" s="144" t="s">
        <v>41</v>
      </c>
      <c r="AC18" s="144" t="s">
        <v>41</v>
      </c>
      <c r="AD18" s="135" t="s">
        <v>52</v>
      </c>
      <c r="AE18" s="145" t="s">
        <v>39</v>
      </c>
      <c r="AF18" s="146" t="s">
        <v>39</v>
      </c>
      <c r="AG18" s="144" t="s">
        <v>43</v>
      </c>
      <c r="AH18" s="142" t="s">
        <v>60</v>
      </c>
      <c r="AI18" s="353"/>
      <c r="AJ18" s="350"/>
      <c r="AK18" s="335"/>
      <c r="AL18" s="335"/>
      <c r="AM18" s="335"/>
    </row>
    <row r="19" spans="1:39" s="1" customFormat="1">
      <c r="A19"/>
      <c r="B19" s="6"/>
      <c r="C19" s="7"/>
      <c r="D19" s="7"/>
      <c r="E19" s="7"/>
      <c r="F19"/>
      <c r="G19" t="s">
        <v>83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AA19" s="180"/>
      <c r="AB19" s="203"/>
      <c r="AC19" s="203"/>
      <c r="AE19" s="204"/>
      <c r="AF19" s="205"/>
      <c r="AG19" s="203"/>
      <c r="AH19" s="142"/>
      <c r="AI19" s="46"/>
      <c r="AJ19" s="46"/>
      <c r="AK19" s="181"/>
      <c r="AL19" s="181"/>
      <c r="AM19" s="181"/>
    </row>
    <row r="20" spans="1:39">
      <c r="A20" t="s">
        <v>84</v>
      </c>
      <c r="B20" s="6" t="s">
        <v>85</v>
      </c>
      <c r="C20" s="7"/>
      <c r="D20" s="7"/>
      <c r="E20" s="7"/>
      <c r="G20" s="19" t="s">
        <v>86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4"/>
      <c r="AA20" s="147" t="s">
        <v>24</v>
      </c>
      <c r="AB20" s="148" t="s">
        <v>39</v>
      </c>
      <c r="AC20" s="148" t="s">
        <v>39</v>
      </c>
      <c r="AD20" s="148" t="s">
        <v>39</v>
      </c>
      <c r="AE20" s="148" t="s">
        <v>39</v>
      </c>
      <c r="AF20" s="148" t="s">
        <v>39</v>
      </c>
      <c r="AG20" s="148" t="s">
        <v>57</v>
      </c>
      <c r="AH20" s="142" t="s">
        <v>60</v>
      </c>
      <c r="AI20" s="153" t="s">
        <v>45</v>
      </c>
      <c r="AJ20" s="153" t="s">
        <v>46</v>
      </c>
      <c r="AK20" s="336" t="s">
        <v>87</v>
      </c>
      <c r="AL20" s="336"/>
      <c r="AM20" s="337"/>
    </row>
    <row r="21" spans="1:39">
      <c r="A21" t="s">
        <v>88</v>
      </c>
      <c r="B21" s="6" t="s">
        <v>89</v>
      </c>
      <c r="C21" s="7"/>
      <c r="D21" s="7" t="s">
        <v>37</v>
      </c>
      <c r="E21" s="7"/>
      <c r="G21" s="22">
        <v>1</v>
      </c>
      <c r="H21" s="212">
        <v>0</v>
      </c>
      <c r="I21" s="212">
        <v>0</v>
      </c>
      <c r="J21" s="212">
        <v>0</v>
      </c>
      <c r="K21" s="26" t="s">
        <v>37</v>
      </c>
      <c r="L21" s="26" t="s">
        <v>40</v>
      </c>
      <c r="M21" s="26" t="s">
        <v>40</v>
      </c>
      <c r="N21" s="26" t="s">
        <v>37</v>
      </c>
      <c r="O21" s="26" t="s">
        <v>40</v>
      </c>
      <c r="P21" s="209">
        <v>1.4999999999999999E-2</v>
      </c>
      <c r="Q21" s="26" t="s">
        <v>37</v>
      </c>
      <c r="R21" s="26" t="s">
        <v>40</v>
      </c>
      <c r="S21" s="23">
        <f>4%</f>
        <v>0.04</v>
      </c>
      <c r="T21" s="26" t="s">
        <v>37</v>
      </c>
      <c r="U21" s="26" t="s">
        <v>40</v>
      </c>
      <c r="V21" s="26" t="s">
        <v>40</v>
      </c>
      <c r="W21" s="23">
        <f>4%</f>
        <v>0.04</v>
      </c>
      <c r="X21" s="23">
        <f>4%</f>
        <v>0.04</v>
      </c>
      <c r="Y21" s="26" t="s">
        <v>40</v>
      </c>
      <c r="AA21" s="149" t="s">
        <v>25</v>
      </c>
      <c r="AB21" s="150" t="s">
        <v>39</v>
      </c>
      <c r="AC21" s="150" t="s">
        <v>39</v>
      </c>
      <c r="AD21" s="150" t="s">
        <v>39</v>
      </c>
      <c r="AE21" s="150" t="s">
        <v>39</v>
      </c>
      <c r="AF21" s="150" t="s">
        <v>39</v>
      </c>
      <c r="AG21" s="150" t="s">
        <v>57</v>
      </c>
      <c r="AH21" s="144" t="s">
        <v>66</v>
      </c>
      <c r="AI21" s="153" t="s">
        <v>90</v>
      </c>
      <c r="AJ21" s="153" t="s">
        <v>90</v>
      </c>
      <c r="AK21" s="338"/>
      <c r="AL21" s="338"/>
      <c r="AM21" s="339"/>
    </row>
    <row r="22" spans="1:39">
      <c r="A22" t="s">
        <v>91</v>
      </c>
      <c r="B22" s="6" t="s">
        <v>92</v>
      </c>
      <c r="C22" s="7"/>
      <c r="D22" s="7"/>
      <c r="E22" s="7" t="s">
        <v>37</v>
      </c>
      <c r="G22" s="22">
        <v>2</v>
      </c>
      <c r="H22" s="212">
        <v>0</v>
      </c>
      <c r="I22" s="212">
        <v>0</v>
      </c>
      <c r="J22" s="212">
        <v>0</v>
      </c>
      <c r="K22" s="26" t="s">
        <v>40</v>
      </c>
      <c r="L22" s="26" t="s">
        <v>37</v>
      </c>
      <c r="M22" s="26" t="s">
        <v>37</v>
      </c>
      <c r="N22" s="26" t="s">
        <v>40</v>
      </c>
      <c r="O22" s="26" t="s">
        <v>37</v>
      </c>
      <c r="P22" s="209">
        <v>1.4999999999999999E-2</v>
      </c>
      <c r="Q22" s="26" t="s">
        <v>40</v>
      </c>
      <c r="R22" s="26" t="s">
        <v>37</v>
      </c>
      <c r="S22" s="23">
        <v>0.05</v>
      </c>
      <c r="T22" s="26" t="s">
        <v>40</v>
      </c>
      <c r="U22" s="26" t="s">
        <v>37</v>
      </c>
      <c r="V22" s="26" t="s">
        <v>40</v>
      </c>
      <c r="W22" s="23">
        <v>0.05</v>
      </c>
      <c r="X22" s="23">
        <v>0.05</v>
      </c>
      <c r="Y22" s="26" t="s">
        <v>40</v>
      </c>
    </row>
    <row r="23" spans="1:39">
      <c r="A23" t="s">
        <v>93</v>
      </c>
      <c r="G23" s="22">
        <v>3</v>
      </c>
      <c r="H23" s="212">
        <v>0</v>
      </c>
      <c r="I23" s="212">
        <v>0</v>
      </c>
      <c r="J23" s="212">
        <v>0</v>
      </c>
      <c r="K23" s="26" t="s">
        <v>40</v>
      </c>
      <c r="L23" s="26" t="s">
        <v>37</v>
      </c>
      <c r="M23" s="26" t="s">
        <v>37</v>
      </c>
      <c r="N23" s="26" t="s">
        <v>40</v>
      </c>
      <c r="O23" s="26" t="s">
        <v>37</v>
      </c>
      <c r="P23" s="209">
        <v>1.4999999999999999E-2</v>
      </c>
      <c r="Q23" s="26" t="s">
        <v>40</v>
      </c>
      <c r="R23" s="26" t="s">
        <v>37</v>
      </c>
      <c r="S23" s="23">
        <f>6%</f>
        <v>0.06</v>
      </c>
      <c r="T23" s="26" t="s">
        <v>40</v>
      </c>
      <c r="U23" s="26" t="s">
        <v>37</v>
      </c>
      <c r="V23" s="26" t="s">
        <v>40</v>
      </c>
      <c r="W23" s="23">
        <f>6%</f>
        <v>0.06</v>
      </c>
      <c r="X23" s="23">
        <f>6%</f>
        <v>0.06</v>
      </c>
      <c r="Y23" s="26" t="s">
        <v>40</v>
      </c>
    </row>
    <row r="24" spans="1:39">
      <c r="B24" s="8" t="s">
        <v>62</v>
      </c>
      <c r="C24" s="9" t="s">
        <v>8</v>
      </c>
      <c r="D24" s="9" t="s">
        <v>9</v>
      </c>
      <c r="E24" s="9" t="s">
        <v>10</v>
      </c>
      <c r="G24" s="22">
        <v>4</v>
      </c>
      <c r="H24" s="212">
        <v>0</v>
      </c>
      <c r="I24" s="212">
        <v>0</v>
      </c>
      <c r="J24" s="212">
        <v>0</v>
      </c>
      <c r="K24" s="26" t="s">
        <v>40</v>
      </c>
      <c r="L24" s="26" t="s">
        <v>37</v>
      </c>
      <c r="M24" s="26" t="s">
        <v>37</v>
      </c>
      <c r="N24" s="26" t="s">
        <v>40</v>
      </c>
      <c r="O24" s="26" t="s">
        <v>37</v>
      </c>
      <c r="P24" s="209">
        <v>1.4999999999999999E-2</v>
      </c>
      <c r="Q24" s="26" t="s">
        <v>40</v>
      </c>
      <c r="R24" s="26" t="s">
        <v>37</v>
      </c>
      <c r="S24" s="23">
        <v>7.0000000000000007E-2</v>
      </c>
      <c r="T24" s="26" t="s">
        <v>40</v>
      </c>
      <c r="U24" s="26" t="s">
        <v>37</v>
      </c>
      <c r="V24" s="26" t="s">
        <v>40</v>
      </c>
      <c r="W24" s="23">
        <v>7.0000000000000007E-2</v>
      </c>
      <c r="X24" s="23">
        <v>7.0000000000000007E-2</v>
      </c>
      <c r="Y24" s="26" t="s">
        <v>40</v>
      </c>
      <c r="AA24"/>
    </row>
    <row r="25" spans="1:39">
      <c r="B25" s="6" t="s">
        <v>94</v>
      </c>
      <c r="C25" s="7" t="s">
        <v>37</v>
      </c>
      <c r="D25" s="7" t="s">
        <v>37</v>
      </c>
      <c r="E25" s="7" t="s">
        <v>37</v>
      </c>
      <c r="G25" s="22">
        <v>5</v>
      </c>
      <c r="H25" s="212">
        <v>0</v>
      </c>
      <c r="I25" s="212">
        <v>0</v>
      </c>
      <c r="J25" s="212">
        <v>0</v>
      </c>
      <c r="K25" s="26" t="s">
        <v>40</v>
      </c>
      <c r="L25" s="26" t="s">
        <v>37</v>
      </c>
      <c r="M25" s="26" t="s">
        <v>37</v>
      </c>
      <c r="N25" s="26" t="s">
        <v>40</v>
      </c>
      <c r="O25" s="26" t="s">
        <v>37</v>
      </c>
      <c r="P25" s="209">
        <v>1.4999999999999999E-2</v>
      </c>
      <c r="Q25" s="26" t="s">
        <v>40</v>
      </c>
      <c r="R25" s="26" t="s">
        <v>37</v>
      </c>
      <c r="S25" s="23">
        <v>0.08</v>
      </c>
      <c r="T25" s="26" t="s">
        <v>40</v>
      </c>
      <c r="U25" s="26" t="s">
        <v>37</v>
      </c>
      <c r="V25" s="26" t="s">
        <v>40</v>
      </c>
      <c r="W25" s="23">
        <v>0.08</v>
      </c>
      <c r="X25" s="23">
        <v>0.08</v>
      </c>
      <c r="Y25" s="26" t="s">
        <v>40</v>
      </c>
    </row>
    <row r="26" spans="1:39">
      <c r="B26" s="6" t="s">
        <v>95</v>
      </c>
      <c r="C26" s="7"/>
      <c r="D26" s="7"/>
      <c r="E26" s="7"/>
      <c r="G26" s="22">
        <v>6</v>
      </c>
      <c r="H26" s="212">
        <v>0</v>
      </c>
      <c r="I26" s="212">
        <v>0</v>
      </c>
      <c r="J26" s="212">
        <v>0</v>
      </c>
      <c r="K26" s="26" t="s">
        <v>40</v>
      </c>
      <c r="L26" s="26" t="s">
        <v>37</v>
      </c>
      <c r="M26" s="26" t="s">
        <v>37</v>
      </c>
      <c r="N26" s="26" t="s">
        <v>40</v>
      </c>
      <c r="O26" s="26" t="s">
        <v>37</v>
      </c>
      <c r="P26" s="209">
        <v>1.4999999999999999E-2</v>
      </c>
      <c r="Q26" s="26" t="s">
        <v>40</v>
      </c>
      <c r="R26" s="26" t="s">
        <v>37</v>
      </c>
      <c r="S26" s="23">
        <v>0.09</v>
      </c>
      <c r="T26" s="26" t="s">
        <v>40</v>
      </c>
      <c r="U26" s="26" t="s">
        <v>37</v>
      </c>
      <c r="V26" s="26" t="s">
        <v>40</v>
      </c>
      <c r="W26" s="23">
        <v>0.09</v>
      </c>
      <c r="X26" s="23">
        <v>0.09</v>
      </c>
      <c r="Y26" s="26" t="s">
        <v>40</v>
      </c>
    </row>
    <row r="27" spans="1:39">
      <c r="A27" t="s">
        <v>84</v>
      </c>
      <c r="B27" s="6" t="s">
        <v>85</v>
      </c>
      <c r="C27" s="7"/>
      <c r="D27" s="7"/>
      <c r="E27" s="7"/>
      <c r="G27" s="206" t="s">
        <v>96</v>
      </c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8"/>
      <c r="AA27" s="147" t="s">
        <v>24</v>
      </c>
      <c r="AB27" s="148" t="s">
        <v>39</v>
      </c>
      <c r="AC27" s="148" t="s">
        <v>39</v>
      </c>
      <c r="AD27" s="148" t="s">
        <v>39</v>
      </c>
      <c r="AE27" s="148" t="s">
        <v>39</v>
      </c>
      <c r="AF27" s="148" t="s">
        <v>39</v>
      </c>
      <c r="AG27" s="148" t="s">
        <v>57</v>
      </c>
      <c r="AH27" s="142" t="s">
        <v>60</v>
      </c>
      <c r="AI27" s="153" t="s">
        <v>45</v>
      </c>
      <c r="AJ27" s="153" t="s">
        <v>46</v>
      </c>
      <c r="AK27" s="336" t="s">
        <v>87</v>
      </c>
      <c r="AL27" s="336"/>
      <c r="AM27" s="337"/>
    </row>
    <row r="28" spans="1:39">
      <c r="A28" t="s">
        <v>88</v>
      </c>
      <c r="B28" s="6" t="s">
        <v>89</v>
      </c>
      <c r="C28" s="7"/>
      <c r="D28" s="7" t="s">
        <v>37</v>
      </c>
      <c r="E28" s="7"/>
      <c r="G28" s="22">
        <v>1</v>
      </c>
      <c r="H28" s="213">
        <v>1.2E-2</v>
      </c>
      <c r="I28" s="213">
        <v>1.2E-2</v>
      </c>
      <c r="J28" s="213">
        <v>1.2E-2</v>
      </c>
      <c r="K28" s="26" t="s">
        <v>37</v>
      </c>
      <c r="L28" s="26" t="s">
        <v>40</v>
      </c>
      <c r="M28" s="26" t="s">
        <v>40</v>
      </c>
      <c r="N28" s="26" t="s">
        <v>37</v>
      </c>
      <c r="O28" s="26" t="s">
        <v>40</v>
      </c>
      <c r="P28" s="210">
        <v>1.2E-2</v>
      </c>
      <c r="Q28" s="26" t="s">
        <v>37</v>
      </c>
      <c r="R28" s="26" t="s">
        <v>40</v>
      </c>
      <c r="S28" s="23">
        <f>4%</f>
        <v>0.04</v>
      </c>
      <c r="T28" s="26" t="s">
        <v>37</v>
      </c>
      <c r="U28" s="26" t="s">
        <v>40</v>
      </c>
      <c r="V28" s="26" t="s">
        <v>40</v>
      </c>
      <c r="W28" s="23">
        <f>4%</f>
        <v>0.04</v>
      </c>
      <c r="X28" s="23">
        <f>4%</f>
        <v>0.04</v>
      </c>
      <c r="Y28" s="26" t="s">
        <v>40</v>
      </c>
      <c r="AA28" s="149" t="s">
        <v>25</v>
      </c>
      <c r="AB28" s="150" t="s">
        <v>39</v>
      </c>
      <c r="AC28" s="150" t="s">
        <v>39</v>
      </c>
      <c r="AD28" s="150" t="s">
        <v>39</v>
      </c>
      <c r="AE28" s="150" t="s">
        <v>39</v>
      </c>
      <c r="AF28" s="150" t="s">
        <v>39</v>
      </c>
      <c r="AG28" s="150" t="s">
        <v>57</v>
      </c>
      <c r="AH28" s="144" t="s">
        <v>66</v>
      </c>
      <c r="AI28" s="153" t="s">
        <v>90</v>
      </c>
      <c r="AJ28" s="153" t="s">
        <v>90</v>
      </c>
      <c r="AK28" s="338"/>
      <c r="AL28" s="338"/>
      <c r="AM28" s="339"/>
    </row>
    <row r="29" spans="1:39">
      <c r="A29" t="s">
        <v>91</v>
      </c>
      <c r="B29" s="6" t="s">
        <v>92</v>
      </c>
      <c r="C29" s="7"/>
      <c r="D29" s="7"/>
      <c r="E29" s="7" t="s">
        <v>37</v>
      </c>
      <c r="G29" s="22">
        <v>2</v>
      </c>
      <c r="H29" s="213">
        <v>1.4999999999999999E-2</v>
      </c>
      <c r="I29" s="213">
        <v>1.4999999999999999E-2</v>
      </c>
      <c r="J29" s="213">
        <v>1.4999999999999999E-2</v>
      </c>
      <c r="K29" s="26" t="s">
        <v>40</v>
      </c>
      <c r="L29" s="26" t="s">
        <v>37</v>
      </c>
      <c r="M29" s="26" t="s">
        <v>37</v>
      </c>
      <c r="N29" s="26" t="s">
        <v>40</v>
      </c>
      <c r="O29" s="26" t="s">
        <v>37</v>
      </c>
      <c r="P29" s="210">
        <v>1.4999999999999999E-2</v>
      </c>
      <c r="Q29" s="26" t="s">
        <v>40</v>
      </c>
      <c r="R29" s="26" t="s">
        <v>37</v>
      </c>
      <c r="S29" s="23">
        <v>0.05</v>
      </c>
      <c r="T29" s="26" t="s">
        <v>40</v>
      </c>
      <c r="U29" s="26" t="s">
        <v>37</v>
      </c>
      <c r="V29" s="26" t="s">
        <v>40</v>
      </c>
      <c r="W29" s="23">
        <v>0.05</v>
      </c>
      <c r="X29" s="23">
        <v>0.05</v>
      </c>
      <c r="Y29" s="26" t="s">
        <v>40</v>
      </c>
    </row>
    <row r="30" spans="1:39">
      <c r="A30" t="s">
        <v>93</v>
      </c>
      <c r="G30" s="22">
        <v>3</v>
      </c>
      <c r="H30" s="213">
        <v>1.7000000000000001E-2</v>
      </c>
      <c r="I30" s="213">
        <v>1.7000000000000001E-2</v>
      </c>
      <c r="J30" s="213">
        <v>1.7000000000000001E-2</v>
      </c>
      <c r="K30" s="26" t="s">
        <v>40</v>
      </c>
      <c r="L30" s="26" t="s">
        <v>37</v>
      </c>
      <c r="M30" s="26" t="s">
        <v>37</v>
      </c>
      <c r="N30" s="26" t="s">
        <v>40</v>
      </c>
      <c r="O30" s="26" t="s">
        <v>37</v>
      </c>
      <c r="P30" s="210">
        <v>1.7000000000000001E-2</v>
      </c>
      <c r="Q30" s="26" t="s">
        <v>40</v>
      </c>
      <c r="R30" s="26" t="s">
        <v>37</v>
      </c>
      <c r="S30" s="23">
        <f>6%</f>
        <v>0.06</v>
      </c>
      <c r="T30" s="26" t="s">
        <v>40</v>
      </c>
      <c r="U30" s="26" t="s">
        <v>37</v>
      </c>
      <c r="V30" s="26" t="s">
        <v>40</v>
      </c>
      <c r="W30" s="23">
        <f>6%</f>
        <v>0.06</v>
      </c>
      <c r="X30" s="23">
        <f>6%</f>
        <v>0.06</v>
      </c>
      <c r="Y30" s="26" t="s">
        <v>40</v>
      </c>
    </row>
    <row r="31" spans="1:39">
      <c r="B31" s="8" t="s">
        <v>62</v>
      </c>
      <c r="C31" s="9" t="s">
        <v>8</v>
      </c>
      <c r="D31" s="9" t="s">
        <v>9</v>
      </c>
      <c r="E31" s="9" t="s">
        <v>10</v>
      </c>
      <c r="G31" s="22">
        <v>4</v>
      </c>
      <c r="H31" s="213">
        <v>1.9E-2</v>
      </c>
      <c r="I31" s="213">
        <v>1.9E-2</v>
      </c>
      <c r="J31" s="213">
        <v>1.9E-2</v>
      </c>
      <c r="K31" s="26" t="s">
        <v>40</v>
      </c>
      <c r="L31" s="26" t="s">
        <v>37</v>
      </c>
      <c r="M31" s="26" t="s">
        <v>37</v>
      </c>
      <c r="N31" s="26" t="s">
        <v>40</v>
      </c>
      <c r="O31" s="26" t="s">
        <v>37</v>
      </c>
      <c r="P31" s="210">
        <v>1.9E-2</v>
      </c>
      <c r="Q31" s="26" t="s">
        <v>40</v>
      </c>
      <c r="R31" s="26" t="s">
        <v>37</v>
      </c>
      <c r="S31" s="23">
        <v>7.0000000000000007E-2</v>
      </c>
      <c r="T31" s="26" t="s">
        <v>40</v>
      </c>
      <c r="U31" s="26" t="s">
        <v>37</v>
      </c>
      <c r="V31" s="26" t="s">
        <v>40</v>
      </c>
      <c r="W31" s="23">
        <v>7.0000000000000007E-2</v>
      </c>
      <c r="X31" s="23">
        <v>7.0000000000000007E-2</v>
      </c>
      <c r="Y31" s="26" t="s">
        <v>40</v>
      </c>
      <c r="AA31"/>
    </row>
    <row r="32" spans="1:39">
      <c r="B32" s="6" t="s">
        <v>94</v>
      </c>
      <c r="C32" s="7" t="s">
        <v>37</v>
      </c>
      <c r="D32" s="7" t="s">
        <v>37</v>
      </c>
      <c r="E32" s="7" t="s">
        <v>37</v>
      </c>
      <c r="G32" s="22">
        <v>5</v>
      </c>
      <c r="H32" s="213">
        <v>0.02</v>
      </c>
      <c r="I32" s="213">
        <v>0.02</v>
      </c>
      <c r="J32" s="213">
        <v>0.02</v>
      </c>
      <c r="K32" s="26" t="s">
        <v>40</v>
      </c>
      <c r="L32" s="26" t="s">
        <v>37</v>
      </c>
      <c r="M32" s="26" t="s">
        <v>37</v>
      </c>
      <c r="N32" s="26" t="s">
        <v>40</v>
      </c>
      <c r="O32" s="26" t="s">
        <v>37</v>
      </c>
      <c r="P32" s="210">
        <v>0.02</v>
      </c>
      <c r="Q32" s="26" t="s">
        <v>40</v>
      </c>
      <c r="R32" s="26" t="s">
        <v>37</v>
      </c>
      <c r="S32" s="23">
        <v>0.08</v>
      </c>
      <c r="T32" s="26" t="s">
        <v>40</v>
      </c>
      <c r="U32" s="26" t="s">
        <v>37</v>
      </c>
      <c r="V32" s="26" t="s">
        <v>40</v>
      </c>
      <c r="W32" s="23">
        <v>0.08</v>
      </c>
      <c r="X32" s="23">
        <v>0.08</v>
      </c>
      <c r="Y32" s="26" t="s">
        <v>40</v>
      </c>
    </row>
    <row r="33" spans="1:39">
      <c r="B33" s="6" t="s">
        <v>95</v>
      </c>
      <c r="C33" s="7"/>
      <c r="D33" s="7"/>
      <c r="E33" s="7"/>
      <c r="G33" s="22">
        <v>6</v>
      </c>
      <c r="H33" s="213">
        <v>2.1000000000000001E-2</v>
      </c>
      <c r="I33" s="213">
        <v>2.1000000000000001E-2</v>
      </c>
      <c r="J33" s="213">
        <v>2.1000000000000001E-2</v>
      </c>
      <c r="K33" s="26" t="s">
        <v>40</v>
      </c>
      <c r="L33" s="26" t="s">
        <v>37</v>
      </c>
      <c r="M33" s="26" t="s">
        <v>37</v>
      </c>
      <c r="N33" s="26" t="s">
        <v>40</v>
      </c>
      <c r="O33" s="26" t="s">
        <v>37</v>
      </c>
      <c r="P33" s="210">
        <v>2.1000000000000001E-2</v>
      </c>
      <c r="Q33" s="26" t="s">
        <v>40</v>
      </c>
      <c r="R33" s="26" t="s">
        <v>37</v>
      </c>
      <c r="S33" s="23">
        <v>0.09</v>
      </c>
      <c r="T33" s="26" t="s">
        <v>40</v>
      </c>
      <c r="U33" s="26" t="s">
        <v>37</v>
      </c>
      <c r="V33" s="26" t="s">
        <v>40</v>
      </c>
      <c r="W33" s="23">
        <v>0.09</v>
      </c>
      <c r="X33" s="23">
        <v>0.09</v>
      </c>
      <c r="Y33" s="26" t="s">
        <v>40</v>
      </c>
    </row>
    <row r="34" spans="1:39">
      <c r="A34" t="s">
        <v>84</v>
      </c>
      <c r="B34" s="6" t="s">
        <v>85</v>
      </c>
      <c r="C34" s="7"/>
      <c r="D34" s="7"/>
      <c r="E34" s="7"/>
      <c r="G34" s="206" t="s">
        <v>97</v>
      </c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8"/>
      <c r="AA34" s="147" t="s">
        <v>24</v>
      </c>
      <c r="AB34" s="148" t="s">
        <v>39</v>
      </c>
      <c r="AC34" s="148" t="s">
        <v>39</v>
      </c>
      <c r="AD34" s="148" t="s">
        <v>39</v>
      </c>
      <c r="AE34" s="148" t="s">
        <v>39</v>
      </c>
      <c r="AF34" s="148" t="s">
        <v>39</v>
      </c>
      <c r="AG34" s="148" t="s">
        <v>57</v>
      </c>
      <c r="AH34" s="142" t="s">
        <v>60</v>
      </c>
      <c r="AI34" s="153" t="s">
        <v>45</v>
      </c>
      <c r="AJ34" s="153" t="s">
        <v>46</v>
      </c>
      <c r="AK34" s="336" t="s">
        <v>87</v>
      </c>
      <c r="AL34" s="336"/>
      <c r="AM34" s="337"/>
    </row>
    <row r="35" spans="1:39">
      <c r="A35" t="s">
        <v>88</v>
      </c>
      <c r="B35" s="6" t="s">
        <v>89</v>
      </c>
      <c r="C35" s="7"/>
      <c r="D35" s="7" t="s">
        <v>37</v>
      </c>
      <c r="E35" s="7"/>
      <c r="G35" s="22">
        <v>1</v>
      </c>
      <c r="H35" s="23">
        <v>0</v>
      </c>
      <c r="I35" s="23">
        <v>0</v>
      </c>
      <c r="J35" s="23">
        <v>0</v>
      </c>
      <c r="K35" s="26" t="s">
        <v>37</v>
      </c>
      <c r="L35" s="26" t="s">
        <v>40</v>
      </c>
      <c r="M35" s="26" t="s">
        <v>40</v>
      </c>
      <c r="N35" s="26" t="s">
        <v>37</v>
      </c>
      <c r="O35" s="26" t="s">
        <v>40</v>
      </c>
      <c r="P35" s="210">
        <v>1.2E-2</v>
      </c>
      <c r="Q35" s="26" t="s">
        <v>37</v>
      </c>
      <c r="R35" s="26" t="s">
        <v>40</v>
      </c>
      <c r="S35" s="23">
        <f>4%</f>
        <v>0.04</v>
      </c>
      <c r="T35" s="26" t="s">
        <v>37</v>
      </c>
      <c r="U35" s="26" t="s">
        <v>40</v>
      </c>
      <c r="V35" s="26" t="s">
        <v>40</v>
      </c>
      <c r="W35" s="23">
        <f>4%</f>
        <v>0.04</v>
      </c>
      <c r="X35" s="23">
        <f>4%</f>
        <v>0.04</v>
      </c>
      <c r="Y35" s="26" t="s">
        <v>40</v>
      </c>
      <c r="AA35" s="149" t="s">
        <v>25</v>
      </c>
      <c r="AB35" s="150" t="s">
        <v>39</v>
      </c>
      <c r="AC35" s="150" t="s">
        <v>39</v>
      </c>
      <c r="AD35" s="150" t="s">
        <v>39</v>
      </c>
      <c r="AE35" s="150" t="s">
        <v>39</v>
      </c>
      <c r="AF35" s="150" t="s">
        <v>39</v>
      </c>
      <c r="AG35" s="150" t="s">
        <v>57</v>
      </c>
      <c r="AH35" s="144" t="s">
        <v>66</v>
      </c>
      <c r="AI35" s="153" t="s">
        <v>90</v>
      </c>
      <c r="AJ35" s="153" t="s">
        <v>90</v>
      </c>
      <c r="AK35" s="338"/>
      <c r="AL35" s="338"/>
      <c r="AM35" s="339"/>
    </row>
    <row r="36" spans="1:39">
      <c r="A36" t="s">
        <v>91</v>
      </c>
      <c r="B36" s="6" t="s">
        <v>92</v>
      </c>
      <c r="C36" s="7"/>
      <c r="D36" s="7"/>
      <c r="E36" s="7" t="s">
        <v>37</v>
      </c>
      <c r="G36" s="22">
        <v>2</v>
      </c>
      <c r="H36" s="23">
        <v>0</v>
      </c>
      <c r="I36" s="23">
        <v>0.01</v>
      </c>
      <c r="J36" s="23">
        <v>0.01</v>
      </c>
      <c r="K36" s="26" t="s">
        <v>40</v>
      </c>
      <c r="L36" s="26" t="s">
        <v>37</v>
      </c>
      <c r="M36" s="26" t="s">
        <v>37</v>
      </c>
      <c r="N36" s="26" t="s">
        <v>40</v>
      </c>
      <c r="O36" s="26" t="s">
        <v>37</v>
      </c>
      <c r="P36" s="210">
        <v>1.4999999999999999E-2</v>
      </c>
      <c r="Q36" s="26" t="s">
        <v>40</v>
      </c>
      <c r="R36" s="26" t="s">
        <v>37</v>
      </c>
      <c r="S36" s="23">
        <v>0.05</v>
      </c>
      <c r="T36" s="26" t="s">
        <v>40</v>
      </c>
      <c r="U36" s="26" t="s">
        <v>37</v>
      </c>
      <c r="V36" s="26" t="s">
        <v>40</v>
      </c>
      <c r="W36" s="23">
        <v>0.05</v>
      </c>
      <c r="X36" s="23">
        <v>0.05</v>
      </c>
      <c r="Y36" s="26" t="s">
        <v>40</v>
      </c>
    </row>
    <row r="37" spans="1:39">
      <c r="A37" t="s">
        <v>93</v>
      </c>
      <c r="G37" s="22">
        <v>3</v>
      </c>
      <c r="H37" s="23">
        <v>0</v>
      </c>
      <c r="I37" s="23">
        <v>0.01</v>
      </c>
      <c r="J37" s="23">
        <v>0.01</v>
      </c>
      <c r="K37" s="26" t="s">
        <v>40</v>
      </c>
      <c r="L37" s="26" t="s">
        <v>37</v>
      </c>
      <c r="M37" s="26" t="s">
        <v>37</v>
      </c>
      <c r="N37" s="26" t="s">
        <v>40</v>
      </c>
      <c r="O37" s="26" t="s">
        <v>37</v>
      </c>
      <c r="P37" s="210">
        <v>1.7000000000000001E-2</v>
      </c>
      <c r="Q37" s="26" t="s">
        <v>40</v>
      </c>
      <c r="R37" s="26" t="s">
        <v>37</v>
      </c>
      <c r="S37" s="23">
        <f>6%</f>
        <v>0.06</v>
      </c>
      <c r="T37" s="26" t="s">
        <v>40</v>
      </c>
      <c r="U37" s="26" t="s">
        <v>37</v>
      </c>
      <c r="V37" s="26" t="s">
        <v>40</v>
      </c>
      <c r="W37" s="23">
        <f>6%</f>
        <v>0.06</v>
      </c>
      <c r="X37" s="23">
        <f>6%</f>
        <v>0.06</v>
      </c>
      <c r="Y37" s="26" t="s">
        <v>40</v>
      </c>
    </row>
    <row r="38" spans="1:39">
      <c r="B38" s="8" t="s">
        <v>62</v>
      </c>
      <c r="C38" s="9" t="s">
        <v>8</v>
      </c>
      <c r="D38" s="9" t="s">
        <v>9</v>
      </c>
      <c r="E38" s="9" t="s">
        <v>10</v>
      </c>
      <c r="G38" s="22">
        <v>4</v>
      </c>
      <c r="H38" s="23">
        <v>0</v>
      </c>
      <c r="I38" s="23">
        <v>0.01</v>
      </c>
      <c r="J38" s="23">
        <v>0.01</v>
      </c>
      <c r="K38" s="26" t="s">
        <v>40</v>
      </c>
      <c r="L38" s="26" t="s">
        <v>37</v>
      </c>
      <c r="M38" s="26" t="s">
        <v>37</v>
      </c>
      <c r="N38" s="26" t="s">
        <v>40</v>
      </c>
      <c r="O38" s="26" t="s">
        <v>37</v>
      </c>
      <c r="P38" s="210">
        <v>1.9E-2</v>
      </c>
      <c r="Q38" s="26" t="s">
        <v>40</v>
      </c>
      <c r="R38" s="26" t="s">
        <v>37</v>
      </c>
      <c r="S38" s="23">
        <v>7.0000000000000007E-2</v>
      </c>
      <c r="T38" s="26" t="s">
        <v>40</v>
      </c>
      <c r="U38" s="26" t="s">
        <v>37</v>
      </c>
      <c r="V38" s="26" t="s">
        <v>40</v>
      </c>
      <c r="W38" s="23">
        <v>7.0000000000000007E-2</v>
      </c>
      <c r="X38" s="23">
        <v>7.0000000000000007E-2</v>
      </c>
      <c r="Y38" s="26" t="s">
        <v>40</v>
      </c>
      <c r="AA38"/>
    </row>
    <row r="39" spans="1:39">
      <c r="B39" s="6" t="s">
        <v>94</v>
      </c>
      <c r="C39" s="7" t="s">
        <v>37</v>
      </c>
      <c r="D39" s="7" t="s">
        <v>37</v>
      </c>
      <c r="E39" s="7" t="s">
        <v>37</v>
      </c>
      <c r="G39" s="22">
        <v>5</v>
      </c>
      <c r="H39" s="23">
        <v>0</v>
      </c>
      <c r="I39" s="23">
        <v>0.01</v>
      </c>
      <c r="J39" s="23">
        <v>0.01</v>
      </c>
      <c r="K39" s="26" t="s">
        <v>40</v>
      </c>
      <c r="L39" s="26" t="s">
        <v>37</v>
      </c>
      <c r="M39" s="26" t="s">
        <v>37</v>
      </c>
      <c r="N39" s="26" t="s">
        <v>40</v>
      </c>
      <c r="O39" s="26" t="s">
        <v>37</v>
      </c>
      <c r="P39" s="210">
        <v>0.02</v>
      </c>
      <c r="Q39" s="26" t="s">
        <v>40</v>
      </c>
      <c r="R39" s="26" t="s">
        <v>37</v>
      </c>
      <c r="S39" s="23">
        <v>0.08</v>
      </c>
      <c r="T39" s="26" t="s">
        <v>40</v>
      </c>
      <c r="U39" s="26" t="s">
        <v>37</v>
      </c>
      <c r="V39" s="26" t="s">
        <v>40</v>
      </c>
      <c r="W39" s="23">
        <v>0.08</v>
      </c>
      <c r="X39" s="23">
        <v>0.08</v>
      </c>
      <c r="Y39" s="26" t="s">
        <v>40</v>
      </c>
    </row>
    <row r="40" spans="1:39">
      <c r="B40" s="6" t="s">
        <v>95</v>
      </c>
      <c r="C40" s="7"/>
      <c r="D40" s="7"/>
      <c r="E40" s="7"/>
      <c r="G40" s="22">
        <v>6</v>
      </c>
      <c r="H40" s="23">
        <v>0</v>
      </c>
      <c r="I40" s="23">
        <v>0.01</v>
      </c>
      <c r="J40" s="23">
        <v>0.01</v>
      </c>
      <c r="K40" s="26" t="s">
        <v>40</v>
      </c>
      <c r="L40" s="26" t="s">
        <v>37</v>
      </c>
      <c r="M40" s="26" t="s">
        <v>37</v>
      </c>
      <c r="N40" s="26" t="s">
        <v>40</v>
      </c>
      <c r="O40" s="26" t="s">
        <v>37</v>
      </c>
      <c r="P40" s="210">
        <v>2.1000000000000001E-2</v>
      </c>
      <c r="Q40" s="26" t="s">
        <v>40</v>
      </c>
      <c r="R40" s="26" t="s">
        <v>37</v>
      </c>
      <c r="S40" s="23">
        <v>0.09</v>
      </c>
      <c r="T40" s="26" t="s">
        <v>40</v>
      </c>
      <c r="U40" s="26" t="s">
        <v>37</v>
      </c>
      <c r="V40" s="26" t="s">
        <v>40</v>
      </c>
      <c r="W40" s="23">
        <v>0.09</v>
      </c>
      <c r="X40" s="23">
        <v>0.09</v>
      </c>
      <c r="Y40" s="26" t="s">
        <v>40</v>
      </c>
    </row>
    <row r="41" spans="1:39">
      <c r="B41" t="s">
        <v>98</v>
      </c>
      <c r="C41" s="1" t="s">
        <v>37</v>
      </c>
    </row>
    <row r="42" spans="1:39">
      <c r="B42" t="s">
        <v>99</v>
      </c>
      <c r="C42" s="1" t="s">
        <v>37</v>
      </c>
      <c r="G42" s="24" t="s">
        <v>100</v>
      </c>
      <c r="H42" s="25" t="s">
        <v>101</v>
      </c>
      <c r="I42" s="25" t="s">
        <v>102</v>
      </c>
      <c r="J42" s="25" t="s">
        <v>102</v>
      </c>
      <c r="K42" s="25" t="s">
        <v>101</v>
      </c>
      <c r="L42" s="25" t="s">
        <v>102</v>
      </c>
      <c r="M42" s="25" t="s">
        <v>102</v>
      </c>
      <c r="N42" s="25" t="s">
        <v>101</v>
      </c>
      <c r="O42" s="25" t="s">
        <v>102</v>
      </c>
      <c r="P42" s="21" t="s">
        <v>103</v>
      </c>
      <c r="Q42" s="26" t="s">
        <v>101</v>
      </c>
      <c r="R42" s="25" t="s">
        <v>102</v>
      </c>
      <c r="S42" s="21" t="s">
        <v>103</v>
      </c>
      <c r="T42" s="26" t="s">
        <v>101</v>
      </c>
      <c r="U42" s="26" t="s">
        <v>90</v>
      </c>
      <c r="V42" s="21" t="s">
        <v>103</v>
      </c>
      <c r="W42" s="21" t="s">
        <v>103</v>
      </c>
      <c r="X42" s="21" t="s">
        <v>103</v>
      </c>
      <c r="Y42" s="27" t="s">
        <v>42</v>
      </c>
    </row>
    <row r="43" spans="1:39">
      <c r="B43" t="s">
        <v>104</v>
      </c>
      <c r="C43" s="1" t="s">
        <v>38</v>
      </c>
    </row>
    <row r="44" spans="1:39">
      <c r="B44" t="s">
        <v>105</v>
      </c>
      <c r="C44" s="1" t="s">
        <v>38</v>
      </c>
    </row>
    <row r="45" spans="1:39">
      <c r="G45" s="47" t="s">
        <v>59</v>
      </c>
    </row>
    <row r="46" spans="1:39">
      <c r="G46" s="84" t="s">
        <v>60</v>
      </c>
      <c r="H46" s="10" t="s">
        <v>106</v>
      </c>
    </row>
    <row r="47" spans="1:39">
      <c r="G47" s="85" t="s">
        <v>61</v>
      </c>
      <c r="H47" s="10" t="s">
        <v>107</v>
      </c>
    </row>
    <row r="48" spans="1:39">
      <c r="H48" s="131" t="s">
        <v>108</v>
      </c>
    </row>
    <row r="49" spans="8:8" ht="15" customHeight="1">
      <c r="H49"/>
    </row>
    <row r="50" spans="8:8" ht="15" customHeight="1">
      <c r="H50"/>
    </row>
    <row r="51" spans="8:8" ht="15" customHeight="1">
      <c r="H51"/>
    </row>
    <row r="52" spans="8:8" ht="15" customHeight="1">
      <c r="H52"/>
    </row>
    <row r="53" spans="8:8" ht="15" customHeight="1">
      <c r="H53"/>
    </row>
    <row r="54" spans="8:8" ht="15" customHeight="1">
      <c r="H54"/>
    </row>
    <row r="55" spans="8:8" ht="15" customHeight="1">
      <c r="H55"/>
    </row>
    <row r="56" spans="8:8" ht="15" customHeight="1">
      <c r="H56"/>
    </row>
    <row r="57" spans="8:8" ht="15" customHeight="1">
      <c r="H57"/>
    </row>
    <row r="58" spans="8:8" ht="15" customHeight="1">
      <c r="H58"/>
    </row>
    <row r="59" spans="8:8" ht="15" customHeight="1">
      <c r="H59"/>
    </row>
    <row r="60" spans="8:8" ht="15" customHeight="1">
      <c r="H60"/>
    </row>
    <row r="61" spans="8:8" ht="15" customHeight="1">
      <c r="H61"/>
    </row>
  </sheetData>
  <mergeCells count="15">
    <mergeCell ref="AK34:AM35"/>
    <mergeCell ref="V2:W2"/>
    <mergeCell ref="AK6:AM11"/>
    <mergeCell ref="AK3:AM5"/>
    <mergeCell ref="AH15:AH17"/>
    <mergeCell ref="AJ3:AJ18"/>
    <mergeCell ref="AI3:AI18"/>
    <mergeCell ref="AI1:AJ1"/>
    <mergeCell ref="AA17:AA18"/>
    <mergeCell ref="AK12:AM18"/>
    <mergeCell ref="AK27:AM28"/>
    <mergeCell ref="AH3:AH5"/>
    <mergeCell ref="AH6:AH10"/>
    <mergeCell ref="AH12:AH13"/>
    <mergeCell ref="AK20:AM21"/>
  </mergeCells>
  <phoneticPr fontId="7" type="noConversion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EFFF-BE52-4751-BDB7-1313A01C27A3}">
  <dimension ref="A1:AO114"/>
  <sheetViews>
    <sheetView showGridLines="0" topLeftCell="G1" zoomScale="70" zoomScaleNormal="70" workbookViewId="0">
      <pane xSplit="1" ySplit="2" topLeftCell="H3" activePane="bottomRight" state="frozen"/>
      <selection pane="bottomRight" activeCell="R3" sqref="R3:R19"/>
      <selection pane="bottomLeft" activeCell="G3" sqref="G3"/>
      <selection pane="topRight" activeCell="H1" sqref="H1"/>
    </sheetView>
  </sheetViews>
  <sheetFormatPr defaultRowHeight="15" customHeight="1"/>
  <cols>
    <col min="1" max="1" width="9.28515625" hidden="1" customWidth="1"/>
    <col min="2" max="2" width="43.42578125" hidden="1" customWidth="1"/>
    <col min="3" max="3" width="28.7109375" style="1" hidden="1" customWidth="1"/>
    <col min="4" max="5" width="17.5703125" style="1" hidden="1" customWidth="1"/>
    <col min="6" max="6" width="0" hidden="1" customWidth="1"/>
    <col min="7" max="7" width="72.5703125" customWidth="1"/>
    <col min="8" max="10" width="13.140625" style="1" customWidth="1"/>
    <col min="11" max="20" width="13.140625" customWidth="1"/>
    <col min="21" max="24" width="18" customWidth="1"/>
    <col min="25" max="25" width="13.140625" customWidth="1"/>
    <col min="26" max="27" width="14.42578125" customWidth="1"/>
    <col min="29" max="29" width="13.140625" style="10" customWidth="1"/>
    <col min="30" max="30" width="7.42578125" customWidth="1"/>
    <col min="31" max="31" width="7.85546875" customWidth="1"/>
    <col min="32" max="32" width="21.85546875" customWidth="1"/>
    <col min="33" max="33" width="34.5703125" customWidth="1"/>
    <col min="34" max="34" width="29.7109375" bestFit="1" customWidth="1"/>
    <col min="35" max="35" width="17.85546875" bestFit="1" customWidth="1"/>
    <col min="36" max="36" width="22.85546875" bestFit="1" customWidth="1"/>
    <col min="37" max="37" width="18.5703125" bestFit="1" customWidth="1"/>
    <col min="38" max="38" width="30" bestFit="1" customWidth="1"/>
    <col min="39" max="39" width="26" bestFit="1" customWidth="1"/>
  </cols>
  <sheetData>
    <row r="1" spans="2:41">
      <c r="B1" t="s">
        <v>0</v>
      </c>
      <c r="G1" t="s">
        <v>1</v>
      </c>
      <c r="H1" s="288" t="s">
        <v>2</v>
      </c>
      <c r="I1" s="289"/>
      <c r="J1" s="290"/>
      <c r="K1" s="58" t="s">
        <v>3</v>
      </c>
      <c r="L1" s="59"/>
      <c r="M1" s="60"/>
      <c r="N1" s="262" t="s">
        <v>4</v>
      </c>
      <c r="O1" s="263"/>
      <c r="P1" s="263"/>
      <c r="Q1" s="263"/>
      <c r="R1" s="263"/>
      <c r="S1" s="263"/>
      <c r="T1" s="264"/>
      <c r="U1" s="226" t="s">
        <v>5</v>
      </c>
      <c r="V1" s="227"/>
      <c r="W1" s="227"/>
      <c r="X1" s="228"/>
      <c r="AK1" s="185" t="s">
        <v>6</v>
      </c>
      <c r="AL1" s="74"/>
    </row>
    <row r="2" spans="2:41" s="3" customFormat="1">
      <c r="B2" s="4" t="s">
        <v>7</v>
      </c>
      <c r="C2" s="5" t="s">
        <v>8</v>
      </c>
      <c r="D2" s="5" t="s">
        <v>9</v>
      </c>
      <c r="E2" s="5" t="s">
        <v>10</v>
      </c>
      <c r="G2" s="279" t="s">
        <v>11</v>
      </c>
      <c r="H2" s="61" t="s">
        <v>8</v>
      </c>
      <c r="I2" s="5" t="s">
        <v>9</v>
      </c>
      <c r="J2" s="62" t="s">
        <v>10</v>
      </c>
      <c r="K2" s="61" t="s">
        <v>12</v>
      </c>
      <c r="L2" s="5" t="s">
        <v>13</v>
      </c>
      <c r="M2" s="62" t="s">
        <v>14</v>
      </c>
      <c r="N2" s="265" t="s">
        <v>15</v>
      </c>
      <c r="O2" s="5" t="s">
        <v>16</v>
      </c>
      <c r="P2" s="5" t="s">
        <v>17</v>
      </c>
      <c r="Q2" s="5" t="s">
        <v>18</v>
      </c>
      <c r="R2" s="50" t="s">
        <v>19</v>
      </c>
      <c r="S2" s="179" t="s">
        <v>109</v>
      </c>
      <c r="T2" s="266" t="s">
        <v>110</v>
      </c>
      <c r="U2" s="229" t="s">
        <v>21</v>
      </c>
      <c r="V2" s="13" t="s">
        <v>22</v>
      </c>
      <c r="W2" s="13" t="s">
        <v>23</v>
      </c>
      <c r="X2" s="230" t="s">
        <v>24</v>
      </c>
      <c r="AC2" s="14" t="s">
        <v>26</v>
      </c>
      <c r="AD2" s="14" t="s">
        <v>27</v>
      </c>
      <c r="AE2" s="14" t="s">
        <v>28</v>
      </c>
      <c r="AF2" s="14" t="s">
        <v>29</v>
      </c>
      <c r="AG2" s="14" t="s">
        <v>30</v>
      </c>
      <c r="AH2" s="14" t="s">
        <v>31</v>
      </c>
      <c r="AI2" s="142" t="s">
        <v>32</v>
      </c>
      <c r="AJ2" s="143" t="s">
        <v>33</v>
      </c>
      <c r="AK2" s="151" t="s">
        <v>34</v>
      </c>
      <c r="AL2" s="152" t="s">
        <v>35</v>
      </c>
    </row>
    <row r="3" spans="2:41" s="37" customFormat="1" ht="16.5" customHeight="1">
      <c r="B3" s="35" t="s">
        <v>36</v>
      </c>
      <c r="C3" s="36" t="s">
        <v>37</v>
      </c>
      <c r="D3" s="36" t="s">
        <v>37</v>
      </c>
      <c r="E3" s="36" t="s">
        <v>38</v>
      </c>
      <c r="G3" s="280" t="s">
        <v>27</v>
      </c>
      <c r="H3" s="237" t="s">
        <v>39</v>
      </c>
      <c r="I3" s="39" t="s">
        <v>39</v>
      </c>
      <c r="J3" s="66" t="s">
        <v>39</v>
      </c>
      <c r="K3" s="63" t="s">
        <v>40</v>
      </c>
      <c r="L3" s="40" t="s">
        <v>40</v>
      </c>
      <c r="M3" s="64" t="s">
        <v>40</v>
      </c>
      <c r="N3" s="233" t="s">
        <v>40</v>
      </c>
      <c r="O3" s="36" t="s">
        <v>40</v>
      </c>
      <c r="P3" s="36" t="s">
        <v>40</v>
      </c>
      <c r="Q3" s="36" t="s">
        <v>40</v>
      </c>
      <c r="R3" s="36" t="s">
        <v>40</v>
      </c>
      <c r="S3" s="36" t="s">
        <v>40</v>
      </c>
      <c r="T3" s="234" t="s">
        <v>40</v>
      </c>
      <c r="U3" s="231" t="s">
        <v>39</v>
      </c>
      <c r="V3" s="43" t="s">
        <v>40</v>
      </c>
      <c r="W3" s="43" t="s">
        <v>40</v>
      </c>
      <c r="X3" s="232" t="s">
        <v>39</v>
      </c>
      <c r="AC3" s="132" t="s">
        <v>8</v>
      </c>
      <c r="AD3" s="41" t="s">
        <v>39</v>
      </c>
      <c r="AE3" s="41" t="s">
        <v>41</v>
      </c>
      <c r="AF3" s="41" t="s">
        <v>41</v>
      </c>
      <c r="AG3" s="41" t="s">
        <v>42</v>
      </c>
      <c r="AH3" s="41" t="s">
        <v>42</v>
      </c>
      <c r="AI3" s="41" t="s">
        <v>43</v>
      </c>
      <c r="AJ3" s="191" t="s">
        <v>44</v>
      </c>
      <c r="AK3" s="200" t="s">
        <v>45</v>
      </c>
      <c r="AL3" s="197" t="s">
        <v>46</v>
      </c>
      <c r="AM3" s="196" t="s">
        <v>47</v>
      </c>
      <c r="AN3" s="196"/>
      <c r="AO3" s="196"/>
    </row>
    <row r="4" spans="2:41" s="37" customFormat="1" ht="16.5" customHeight="1">
      <c r="B4" s="35" t="s">
        <v>48</v>
      </c>
      <c r="C4" s="36" t="s">
        <v>38</v>
      </c>
      <c r="D4" s="36" t="s">
        <v>37</v>
      </c>
      <c r="E4" s="36" t="s">
        <v>37</v>
      </c>
      <c r="G4" s="280" t="s">
        <v>28</v>
      </c>
      <c r="H4" s="63" t="s">
        <v>40</v>
      </c>
      <c r="I4" s="40" t="s">
        <v>40</v>
      </c>
      <c r="J4" s="64" t="s">
        <v>40</v>
      </c>
      <c r="K4" s="237" t="s">
        <v>37</v>
      </c>
      <c r="L4" s="39" t="s">
        <v>37</v>
      </c>
      <c r="M4" s="66" t="s">
        <v>37</v>
      </c>
      <c r="N4" s="233" t="s">
        <v>40</v>
      </c>
      <c r="O4" s="36" t="s">
        <v>40</v>
      </c>
      <c r="P4" s="36" t="s">
        <v>40</v>
      </c>
      <c r="Q4" s="36" t="s">
        <v>40</v>
      </c>
      <c r="R4" s="36" t="s">
        <v>40</v>
      </c>
      <c r="S4" s="36" t="s">
        <v>40</v>
      </c>
      <c r="T4" s="234" t="s">
        <v>40</v>
      </c>
      <c r="U4" s="231" t="s">
        <v>40</v>
      </c>
      <c r="V4" s="43" t="s">
        <v>39</v>
      </c>
      <c r="W4" s="43" t="s">
        <v>40</v>
      </c>
      <c r="X4" s="232" t="s">
        <v>39</v>
      </c>
      <c r="AC4" s="132" t="s">
        <v>9</v>
      </c>
      <c r="AD4" s="41" t="s">
        <v>39</v>
      </c>
      <c r="AE4" s="41" t="s">
        <v>41</v>
      </c>
      <c r="AF4" s="41" t="s">
        <v>41</v>
      </c>
      <c r="AG4" s="41" t="s">
        <v>42</v>
      </c>
      <c r="AH4" s="137" t="s">
        <v>39</v>
      </c>
      <c r="AI4" s="41" t="s">
        <v>43</v>
      </c>
      <c r="AJ4" s="192"/>
      <c r="AK4" s="201"/>
      <c r="AL4" s="198"/>
      <c r="AM4" s="196"/>
      <c r="AN4" s="196"/>
      <c r="AO4" s="196"/>
    </row>
    <row r="5" spans="2:41" s="37" customFormat="1" ht="16.5" customHeight="1">
      <c r="B5" s="35" t="s">
        <v>50</v>
      </c>
      <c r="C5" s="36" t="s">
        <v>38</v>
      </c>
      <c r="D5" s="36" t="s">
        <v>38</v>
      </c>
      <c r="E5" s="36" t="s">
        <v>37</v>
      </c>
      <c r="G5" s="280" t="s">
        <v>29</v>
      </c>
      <c r="H5" s="63" t="s">
        <v>40</v>
      </c>
      <c r="I5" s="40" t="s">
        <v>40</v>
      </c>
      <c r="J5" s="64" t="s">
        <v>40</v>
      </c>
      <c r="K5" s="63" t="s">
        <v>40</v>
      </c>
      <c r="L5" s="40" t="s">
        <v>40</v>
      </c>
      <c r="M5" s="64" t="s">
        <v>40</v>
      </c>
      <c r="N5" s="231" t="s">
        <v>51</v>
      </c>
      <c r="O5" s="56" t="s">
        <v>51</v>
      </c>
      <c r="P5" s="56" t="s">
        <v>51</v>
      </c>
      <c r="Q5" s="43" t="s">
        <v>52</v>
      </c>
      <c r="R5" s="43" t="s">
        <v>52</v>
      </c>
      <c r="S5" s="43" t="s">
        <v>52</v>
      </c>
      <c r="T5" s="232" t="s">
        <v>52</v>
      </c>
      <c r="U5" s="231" t="s">
        <v>40</v>
      </c>
      <c r="V5" s="43" t="s">
        <v>40</v>
      </c>
      <c r="W5" s="43" t="s">
        <v>39</v>
      </c>
      <c r="X5" s="232" t="s">
        <v>39</v>
      </c>
      <c r="AC5" s="132" t="s">
        <v>10</v>
      </c>
      <c r="AD5" s="41" t="s">
        <v>39</v>
      </c>
      <c r="AE5" s="41" t="s">
        <v>41</v>
      </c>
      <c r="AF5" s="41" t="s">
        <v>41</v>
      </c>
      <c r="AG5" s="137" t="s">
        <v>39</v>
      </c>
      <c r="AH5" s="137" t="s">
        <v>39</v>
      </c>
      <c r="AI5" s="41" t="s">
        <v>43</v>
      </c>
      <c r="AJ5" s="193"/>
      <c r="AK5" s="201"/>
      <c r="AL5" s="198"/>
      <c r="AM5" s="196"/>
      <c r="AN5" s="196"/>
      <c r="AO5" s="196"/>
    </row>
    <row r="6" spans="2:41" s="37" customFormat="1" ht="16.5" customHeight="1">
      <c r="B6" s="35"/>
      <c r="C6" s="36"/>
      <c r="D6" s="36"/>
      <c r="E6" s="36"/>
      <c r="G6" s="280" t="s">
        <v>53</v>
      </c>
      <c r="H6" s="63" t="s">
        <v>42</v>
      </c>
      <c r="I6" s="40" t="s">
        <v>42</v>
      </c>
      <c r="J6" s="66" t="s">
        <v>39</v>
      </c>
      <c r="K6" s="63" t="s">
        <v>42</v>
      </c>
      <c r="L6" s="40" t="s">
        <v>42</v>
      </c>
      <c r="M6" s="66" t="s">
        <v>39</v>
      </c>
      <c r="N6" s="233" t="s">
        <v>42</v>
      </c>
      <c r="O6" s="36" t="s">
        <v>42</v>
      </c>
      <c r="P6" s="43" t="s">
        <v>39</v>
      </c>
      <c r="Q6" s="36" t="s">
        <v>42</v>
      </c>
      <c r="R6" s="36" t="s">
        <v>42</v>
      </c>
      <c r="S6" s="43" t="s">
        <v>39</v>
      </c>
      <c r="T6" s="232" t="s">
        <v>39</v>
      </c>
      <c r="U6" s="231" t="s">
        <v>39</v>
      </c>
      <c r="V6" s="43" t="s">
        <v>39</v>
      </c>
      <c r="W6" s="43" t="s">
        <v>39</v>
      </c>
      <c r="X6" s="232" t="s">
        <v>39</v>
      </c>
      <c r="AC6" s="133" t="s">
        <v>12</v>
      </c>
      <c r="AD6" s="41" t="s">
        <v>41</v>
      </c>
      <c r="AE6" s="41" t="s">
        <v>49</v>
      </c>
      <c r="AF6" s="41" t="s">
        <v>41</v>
      </c>
      <c r="AG6" s="41" t="s">
        <v>42</v>
      </c>
      <c r="AH6" s="41" t="s">
        <v>42</v>
      </c>
      <c r="AI6" s="41" t="s">
        <v>43</v>
      </c>
      <c r="AJ6" s="194" t="s">
        <v>44</v>
      </c>
      <c r="AK6" s="201"/>
      <c r="AL6" s="198"/>
      <c r="AM6" s="195" t="s">
        <v>54</v>
      </c>
      <c r="AN6" s="195"/>
      <c r="AO6" s="195"/>
    </row>
    <row r="7" spans="2:41" s="37" customFormat="1" ht="16.5" customHeight="1">
      <c r="B7" s="35"/>
      <c r="C7" s="36"/>
      <c r="D7" s="36"/>
      <c r="E7" s="36"/>
      <c r="G7" s="280" t="s">
        <v>31</v>
      </c>
      <c r="H7" s="63" t="s">
        <v>42</v>
      </c>
      <c r="I7" s="39" t="s">
        <v>39</v>
      </c>
      <c r="J7" s="66" t="s">
        <v>39</v>
      </c>
      <c r="K7" s="63" t="s">
        <v>42</v>
      </c>
      <c r="L7" s="39" t="s">
        <v>39</v>
      </c>
      <c r="M7" s="66" t="s">
        <v>39</v>
      </c>
      <c r="N7" s="233" t="s">
        <v>42</v>
      </c>
      <c r="O7" s="43" t="s">
        <v>39</v>
      </c>
      <c r="P7" s="43" t="s">
        <v>39</v>
      </c>
      <c r="Q7" s="36" t="s">
        <v>42</v>
      </c>
      <c r="R7" s="43" t="s">
        <v>39</v>
      </c>
      <c r="S7" s="43" t="s">
        <v>39</v>
      </c>
      <c r="T7" s="232" t="s">
        <v>39</v>
      </c>
      <c r="U7" s="231" t="s">
        <v>39</v>
      </c>
      <c r="V7" s="43" t="s">
        <v>39</v>
      </c>
      <c r="W7" s="43" t="s">
        <v>39</v>
      </c>
      <c r="X7" s="232" t="s">
        <v>39</v>
      </c>
      <c r="AC7" s="133" t="s">
        <v>13</v>
      </c>
      <c r="AD7" s="41" t="s">
        <v>41</v>
      </c>
      <c r="AE7" s="41" t="s">
        <v>49</v>
      </c>
      <c r="AF7" s="41" t="s">
        <v>41</v>
      </c>
      <c r="AG7" s="41" t="s">
        <v>42</v>
      </c>
      <c r="AH7" s="137" t="s">
        <v>39</v>
      </c>
      <c r="AI7" s="41" t="s">
        <v>43</v>
      </c>
      <c r="AJ7" s="192"/>
      <c r="AK7" s="201"/>
      <c r="AL7" s="198"/>
      <c r="AM7" s="195"/>
      <c r="AN7" s="195"/>
      <c r="AO7" s="195"/>
    </row>
    <row r="8" spans="2:41" s="37" customFormat="1" ht="16.5" customHeight="1" thickBot="1">
      <c r="B8" s="44" t="s">
        <v>55</v>
      </c>
      <c r="C8" s="45" t="s">
        <v>56</v>
      </c>
      <c r="D8" s="45" t="s">
        <v>56</v>
      </c>
      <c r="E8" s="45" t="s">
        <v>56</v>
      </c>
      <c r="G8" s="313" t="s">
        <v>32</v>
      </c>
      <c r="H8" s="314" t="s">
        <v>43</v>
      </c>
      <c r="I8" s="315" t="s">
        <v>43</v>
      </c>
      <c r="J8" s="316" t="s">
        <v>43</v>
      </c>
      <c r="K8" s="314" t="s">
        <v>43</v>
      </c>
      <c r="L8" s="315" t="s">
        <v>43</v>
      </c>
      <c r="M8" s="316" t="s">
        <v>43</v>
      </c>
      <c r="N8" s="317" t="s">
        <v>43</v>
      </c>
      <c r="O8" s="318" t="s">
        <v>43</v>
      </c>
      <c r="P8" s="318" t="s">
        <v>43</v>
      </c>
      <c r="Q8" s="318" t="s">
        <v>43</v>
      </c>
      <c r="R8" s="318" t="s">
        <v>43</v>
      </c>
      <c r="S8" s="318" t="s">
        <v>43</v>
      </c>
      <c r="T8" s="319" t="s">
        <v>43</v>
      </c>
      <c r="U8" s="317" t="s">
        <v>57</v>
      </c>
      <c r="V8" s="318" t="s">
        <v>57</v>
      </c>
      <c r="W8" s="318" t="s">
        <v>57</v>
      </c>
      <c r="X8" s="319" t="s">
        <v>57</v>
      </c>
      <c r="AC8" s="133" t="s">
        <v>14</v>
      </c>
      <c r="AD8" s="41" t="s">
        <v>41</v>
      </c>
      <c r="AE8" s="41" t="s">
        <v>49</v>
      </c>
      <c r="AF8" s="41" t="s">
        <v>41</v>
      </c>
      <c r="AG8" s="137" t="s">
        <v>39</v>
      </c>
      <c r="AH8" s="137" t="s">
        <v>39</v>
      </c>
      <c r="AI8" s="41" t="s">
        <v>43</v>
      </c>
      <c r="AJ8" s="192"/>
      <c r="AK8" s="201"/>
      <c r="AL8" s="198"/>
      <c r="AM8" s="195"/>
      <c r="AN8" s="195"/>
      <c r="AO8" s="195"/>
    </row>
    <row r="9" spans="2:41" s="37" customFormat="1" ht="16.5" customHeight="1" thickBot="1">
      <c r="B9" s="215"/>
      <c r="C9" s="216"/>
      <c r="D9" s="216"/>
      <c r="E9" s="216"/>
      <c r="G9" s="320" t="s">
        <v>59</v>
      </c>
      <c r="H9" s="321" t="s">
        <v>44</v>
      </c>
      <c r="I9" s="322" t="s">
        <v>44</v>
      </c>
      <c r="J9" s="323" t="s">
        <v>44</v>
      </c>
      <c r="K9" s="321" t="s">
        <v>44</v>
      </c>
      <c r="L9" s="322" t="s">
        <v>44</v>
      </c>
      <c r="M9" s="324" t="s">
        <v>60</v>
      </c>
      <c r="N9" s="321" t="s">
        <v>44</v>
      </c>
      <c r="O9" s="322" t="s">
        <v>44</v>
      </c>
      <c r="P9" s="325" t="s">
        <v>60</v>
      </c>
      <c r="Q9" s="322" t="s">
        <v>44</v>
      </c>
      <c r="R9" s="322" t="s">
        <v>44</v>
      </c>
      <c r="S9" s="326" t="s">
        <v>61</v>
      </c>
      <c r="T9" s="324" t="s">
        <v>60</v>
      </c>
      <c r="U9" s="327" t="s">
        <v>60</v>
      </c>
      <c r="V9" s="328" t="s">
        <v>60</v>
      </c>
      <c r="W9" s="328" t="s">
        <v>60</v>
      </c>
      <c r="X9" s="329" t="s">
        <v>61</v>
      </c>
      <c r="AC9" s="133" t="s">
        <v>15</v>
      </c>
      <c r="AD9" s="41" t="s">
        <v>41</v>
      </c>
      <c r="AE9" s="41">
        <v>1</v>
      </c>
      <c r="AF9" s="41" t="s">
        <v>41</v>
      </c>
      <c r="AG9" s="41" t="s">
        <v>42</v>
      </c>
      <c r="AH9" s="41" t="s">
        <v>42</v>
      </c>
      <c r="AI9" s="41" t="s">
        <v>43</v>
      </c>
      <c r="AJ9" s="192"/>
      <c r="AK9" s="201"/>
      <c r="AL9" s="198"/>
      <c r="AM9" s="195"/>
      <c r="AN9" s="195"/>
      <c r="AO9" s="195"/>
    </row>
    <row r="10" spans="2:41" s="37" customFormat="1" ht="16.5" customHeight="1">
      <c r="B10" s="37" t="s">
        <v>58</v>
      </c>
      <c r="C10" s="46"/>
      <c r="D10" s="46"/>
      <c r="E10" s="46"/>
      <c r="G10" s="97" t="s">
        <v>111</v>
      </c>
      <c r="H10" s="291"/>
      <c r="I10" s="94"/>
      <c r="J10" s="292"/>
      <c r="K10" s="267"/>
      <c r="L10" s="94"/>
      <c r="M10" s="236"/>
      <c r="N10" s="267"/>
      <c r="O10" s="94"/>
      <c r="P10" s="95"/>
      <c r="Q10" s="94"/>
      <c r="R10" s="94"/>
      <c r="T10" s="268"/>
      <c r="U10" s="235"/>
      <c r="V10" s="95"/>
      <c r="W10" s="95"/>
      <c r="X10" s="236"/>
      <c r="AC10" s="133" t="s">
        <v>16</v>
      </c>
      <c r="AD10" s="41" t="s">
        <v>41</v>
      </c>
      <c r="AE10" s="41">
        <v>1</v>
      </c>
      <c r="AF10" s="41" t="s">
        <v>41</v>
      </c>
      <c r="AG10" s="41" t="s">
        <v>42</v>
      </c>
      <c r="AH10" s="137" t="s">
        <v>39</v>
      </c>
      <c r="AI10" s="41" t="s">
        <v>43</v>
      </c>
      <c r="AJ10" s="193"/>
      <c r="AK10" s="201"/>
      <c r="AL10" s="198"/>
      <c r="AM10" s="195"/>
      <c r="AN10" s="195"/>
      <c r="AO10" s="195"/>
    </row>
    <row r="11" spans="2:41" s="37" customFormat="1" ht="16.5" customHeight="1">
      <c r="C11" s="46"/>
      <c r="D11" s="46"/>
      <c r="E11" s="46"/>
      <c r="G11" s="97" t="s">
        <v>65</v>
      </c>
      <c r="H11" s="237" t="s">
        <v>45</v>
      </c>
      <c r="I11" s="39" t="s">
        <v>45</v>
      </c>
      <c r="J11" s="66" t="s">
        <v>45</v>
      </c>
      <c r="K11" s="237" t="s">
        <v>45</v>
      </c>
      <c r="L11" s="39" t="s">
        <v>45</v>
      </c>
      <c r="M11" s="66" t="s">
        <v>45</v>
      </c>
      <c r="N11" s="237" t="s">
        <v>45</v>
      </c>
      <c r="O11" s="39" t="s">
        <v>45</v>
      </c>
      <c r="P11" s="39" t="s">
        <v>45</v>
      </c>
      <c r="Q11" s="39" t="s">
        <v>45</v>
      </c>
      <c r="R11" s="39" t="s">
        <v>45</v>
      </c>
      <c r="S11" s="39" t="s">
        <v>40</v>
      </c>
      <c r="T11" s="66" t="s">
        <v>45</v>
      </c>
      <c r="U11" s="237" t="s">
        <v>45</v>
      </c>
      <c r="V11" s="39" t="s">
        <v>45</v>
      </c>
      <c r="W11" s="39" t="s">
        <v>45</v>
      </c>
      <c r="X11" s="66" t="s">
        <v>40</v>
      </c>
      <c r="AC11" s="134" t="s">
        <v>17</v>
      </c>
      <c r="AD11" s="135" t="s">
        <v>41</v>
      </c>
      <c r="AE11" s="135">
        <v>1</v>
      </c>
      <c r="AF11" s="135" t="s">
        <v>41</v>
      </c>
      <c r="AG11" s="138" t="s">
        <v>39</v>
      </c>
      <c r="AH11" s="137" t="s">
        <v>39</v>
      </c>
      <c r="AI11" s="135" t="s">
        <v>43</v>
      </c>
      <c r="AJ11" s="142" t="s">
        <v>60</v>
      </c>
      <c r="AK11" s="201"/>
      <c r="AL11" s="198"/>
      <c r="AM11" s="195"/>
      <c r="AN11" s="195"/>
      <c r="AO11" s="195"/>
    </row>
    <row r="12" spans="2:41" s="37" customFormat="1" ht="16.5" customHeight="1">
      <c r="C12" s="46"/>
      <c r="D12" s="46"/>
      <c r="E12" s="46"/>
      <c r="G12" s="97" t="s">
        <v>67</v>
      </c>
      <c r="H12" s="237" t="s">
        <v>46</v>
      </c>
      <c r="I12" s="39" t="s">
        <v>46</v>
      </c>
      <c r="J12" s="66" t="s">
        <v>46</v>
      </c>
      <c r="K12" s="237" t="s">
        <v>46</v>
      </c>
      <c r="L12" s="39" t="s">
        <v>46</v>
      </c>
      <c r="M12" s="66" t="s">
        <v>46</v>
      </c>
      <c r="N12" s="237" t="s">
        <v>46</v>
      </c>
      <c r="O12" s="39" t="s">
        <v>46</v>
      </c>
      <c r="P12" s="39" t="s">
        <v>46</v>
      </c>
      <c r="Q12" s="39" t="s">
        <v>46</v>
      </c>
      <c r="R12" s="39" t="s">
        <v>46</v>
      </c>
      <c r="S12" s="39" t="s">
        <v>40</v>
      </c>
      <c r="T12" s="66" t="s">
        <v>46</v>
      </c>
      <c r="U12" s="237" t="s">
        <v>46</v>
      </c>
      <c r="V12" s="39" t="s">
        <v>46</v>
      </c>
      <c r="W12" s="39" t="s">
        <v>46</v>
      </c>
      <c r="X12" s="66" t="s">
        <v>40</v>
      </c>
      <c r="AC12" s="136" t="s">
        <v>18</v>
      </c>
      <c r="AD12" s="135" t="s">
        <v>41</v>
      </c>
      <c r="AE12" s="135" t="s">
        <v>41</v>
      </c>
      <c r="AF12" s="135" t="s">
        <v>51</v>
      </c>
      <c r="AG12" s="135" t="s">
        <v>42</v>
      </c>
      <c r="AH12" s="135" t="s">
        <v>42</v>
      </c>
      <c r="AI12" s="135" t="s">
        <v>43</v>
      </c>
      <c r="AJ12" s="194" t="s">
        <v>44</v>
      </c>
      <c r="AK12" s="201"/>
      <c r="AL12" s="198"/>
      <c r="AM12" s="181" t="s">
        <v>68</v>
      </c>
      <c r="AN12" s="181"/>
      <c r="AO12" s="181"/>
    </row>
    <row r="13" spans="2:41" s="37" customFormat="1" ht="16.5" customHeight="1">
      <c r="C13" s="46"/>
      <c r="D13" s="46"/>
      <c r="E13" s="46"/>
      <c r="G13" s="217" t="s">
        <v>112</v>
      </c>
      <c r="H13" s="238"/>
      <c r="I13" s="218"/>
      <c r="J13" s="239"/>
      <c r="K13" s="238"/>
      <c r="L13" s="218"/>
      <c r="M13" s="239"/>
      <c r="N13" s="238"/>
      <c r="O13" s="218"/>
      <c r="P13" s="218"/>
      <c r="Q13" s="218"/>
      <c r="R13" s="218"/>
      <c r="S13" s="218"/>
      <c r="T13" s="239"/>
      <c r="U13" s="238"/>
      <c r="V13" s="218"/>
      <c r="W13" s="218"/>
      <c r="X13" s="239"/>
      <c r="AC13" s="136"/>
      <c r="AD13" s="135"/>
      <c r="AE13" s="135"/>
      <c r="AF13" s="135"/>
      <c r="AG13" s="135"/>
      <c r="AH13" s="135"/>
      <c r="AI13" s="135"/>
      <c r="AJ13" s="192"/>
      <c r="AK13" s="201"/>
      <c r="AL13" s="198"/>
      <c r="AM13" s="181"/>
      <c r="AN13" s="181"/>
      <c r="AO13" s="181"/>
    </row>
    <row r="14" spans="2:41" s="37" customFormat="1" ht="16.5" customHeight="1">
      <c r="C14" s="46"/>
      <c r="D14" s="46"/>
      <c r="E14" s="46"/>
      <c r="G14"/>
      <c r="H14" s="293"/>
      <c r="I14" s="1"/>
      <c r="J14" s="294"/>
      <c r="K14" s="240"/>
      <c r="L14"/>
      <c r="M14" s="241"/>
      <c r="N14" s="240"/>
      <c r="O14"/>
      <c r="P14"/>
      <c r="Q14"/>
      <c r="R14"/>
      <c r="S14" s="131" t="s">
        <v>70</v>
      </c>
      <c r="T14" s="241"/>
      <c r="U14" s="240"/>
      <c r="V14"/>
      <c r="W14"/>
      <c r="X14" s="241"/>
      <c r="AC14" s="136" t="s">
        <v>19</v>
      </c>
      <c r="AD14" s="135" t="s">
        <v>41</v>
      </c>
      <c r="AE14" s="135" t="s">
        <v>41</v>
      </c>
      <c r="AF14" s="135" t="s">
        <v>51</v>
      </c>
      <c r="AG14" s="135" t="s">
        <v>42</v>
      </c>
      <c r="AH14" s="137" t="s">
        <v>39</v>
      </c>
      <c r="AI14" s="135" t="s">
        <v>43</v>
      </c>
      <c r="AJ14" s="193"/>
      <c r="AK14" s="201"/>
      <c r="AL14" s="198"/>
      <c r="AM14" s="181"/>
      <c r="AN14" s="181"/>
      <c r="AO14" s="181"/>
    </row>
    <row r="15" spans="2:41" ht="16.5" customHeight="1">
      <c r="B15" t="s">
        <v>69</v>
      </c>
      <c r="C15" s="12">
        <v>0</v>
      </c>
      <c r="D15" s="12">
        <v>0.03</v>
      </c>
      <c r="E15" s="12">
        <v>0.05</v>
      </c>
      <c r="G15" s="30" t="s">
        <v>72</v>
      </c>
      <c r="H15" s="269"/>
      <c r="I15" s="31"/>
      <c r="J15" s="270"/>
      <c r="K15" s="269"/>
      <c r="L15" s="31"/>
      <c r="M15" s="270"/>
      <c r="N15" s="269"/>
      <c r="O15" s="31"/>
      <c r="P15" s="31"/>
      <c r="Q15" s="31"/>
      <c r="R15" s="31"/>
      <c r="S15" s="31"/>
      <c r="T15" s="270"/>
      <c r="U15" s="242"/>
      <c r="V15" s="32"/>
      <c r="W15" s="32"/>
      <c r="X15" s="243"/>
      <c r="AC15" s="136" t="s">
        <v>20</v>
      </c>
      <c r="AD15" s="135" t="s">
        <v>41</v>
      </c>
      <c r="AE15" s="135" t="s">
        <v>41</v>
      </c>
      <c r="AF15" s="135" t="s">
        <v>51</v>
      </c>
      <c r="AG15" s="138" t="s">
        <v>39</v>
      </c>
      <c r="AH15" s="137" t="s">
        <v>39</v>
      </c>
      <c r="AI15" s="135" t="s">
        <v>43</v>
      </c>
      <c r="AJ15" s="142" t="s">
        <v>60</v>
      </c>
      <c r="AK15" s="201"/>
      <c r="AL15" s="198"/>
      <c r="AM15" s="181"/>
      <c r="AN15" s="181"/>
      <c r="AO15" s="181"/>
    </row>
    <row r="16" spans="2:41">
      <c r="B16" t="s">
        <v>71</v>
      </c>
      <c r="C16" s="12">
        <v>0.01</v>
      </c>
      <c r="D16" s="12">
        <v>0.02</v>
      </c>
      <c r="E16" s="12">
        <v>0.04</v>
      </c>
      <c r="G16" s="281" t="s">
        <v>74</v>
      </c>
      <c r="H16" s="244">
        <v>0</v>
      </c>
      <c r="I16" s="223">
        <v>0.01</v>
      </c>
      <c r="J16" s="271">
        <v>0.01</v>
      </c>
      <c r="K16" s="244">
        <v>0</v>
      </c>
      <c r="L16" s="223">
        <v>0.01</v>
      </c>
      <c r="M16" s="271">
        <v>0.01</v>
      </c>
      <c r="N16" s="244">
        <v>0</v>
      </c>
      <c r="O16" s="223">
        <v>0.01</v>
      </c>
      <c r="P16" s="223">
        <v>0.01</v>
      </c>
      <c r="Q16" s="223">
        <v>0</v>
      </c>
      <c r="R16" s="223">
        <v>0.01</v>
      </c>
      <c r="S16" s="223" t="s">
        <v>40</v>
      </c>
      <c r="T16" s="271">
        <v>0.01</v>
      </c>
      <c r="U16" s="244">
        <v>0.01</v>
      </c>
      <c r="V16" s="223">
        <v>0.01</v>
      </c>
      <c r="W16" s="223">
        <v>0.02</v>
      </c>
      <c r="X16" s="245" t="s">
        <v>40</v>
      </c>
      <c r="AC16" s="136" t="s">
        <v>21</v>
      </c>
      <c r="AD16" s="135" t="s">
        <v>41</v>
      </c>
      <c r="AE16" s="135" t="s">
        <v>41</v>
      </c>
      <c r="AF16" s="135" t="s">
        <v>52</v>
      </c>
      <c r="AG16" s="135" t="s">
        <v>42</v>
      </c>
      <c r="AH16" s="135" t="s">
        <v>42</v>
      </c>
      <c r="AI16" s="135" t="s">
        <v>43</v>
      </c>
      <c r="AJ16" s="194" t="s">
        <v>44</v>
      </c>
      <c r="AK16" s="201"/>
      <c r="AL16" s="198"/>
      <c r="AM16" s="181"/>
      <c r="AN16" s="181"/>
      <c r="AO16" s="181"/>
    </row>
    <row r="17" spans="1:41">
      <c r="B17" t="s">
        <v>73</v>
      </c>
      <c r="C17" s="12">
        <v>1.2E-2</v>
      </c>
      <c r="D17" s="12">
        <v>1.2E-2</v>
      </c>
      <c r="E17" s="12">
        <v>1.2E-2</v>
      </c>
      <c r="G17" s="281" t="s">
        <v>75</v>
      </c>
      <c r="H17" s="244" t="s">
        <v>76</v>
      </c>
      <c r="I17" s="223" t="s">
        <v>76</v>
      </c>
      <c r="J17" s="271" t="s">
        <v>76</v>
      </c>
      <c r="K17" s="244" t="s">
        <v>76</v>
      </c>
      <c r="L17" s="223" t="s">
        <v>76</v>
      </c>
      <c r="M17" s="271" t="s">
        <v>76</v>
      </c>
      <c r="N17" s="244" t="s">
        <v>76</v>
      </c>
      <c r="O17" s="223" t="s">
        <v>76</v>
      </c>
      <c r="P17" s="28" t="s">
        <v>76</v>
      </c>
      <c r="Q17" s="28" t="s">
        <v>76</v>
      </c>
      <c r="R17" s="28" t="s">
        <v>76</v>
      </c>
      <c r="S17" s="28" t="s">
        <v>40</v>
      </c>
      <c r="T17" s="245" t="s">
        <v>76</v>
      </c>
      <c r="U17" s="244" t="s">
        <v>113</v>
      </c>
      <c r="V17" s="223" t="s">
        <v>113</v>
      </c>
      <c r="W17" s="223" t="s">
        <v>113</v>
      </c>
      <c r="X17" s="245" t="s">
        <v>40</v>
      </c>
      <c r="AC17" s="136" t="s">
        <v>22</v>
      </c>
      <c r="AD17" s="135" t="s">
        <v>41</v>
      </c>
      <c r="AE17" s="135" t="s">
        <v>41</v>
      </c>
      <c r="AF17" s="135" t="s">
        <v>52</v>
      </c>
      <c r="AG17" s="135" t="s">
        <v>42</v>
      </c>
      <c r="AH17" s="137" t="s">
        <v>39</v>
      </c>
      <c r="AI17" s="135" t="s">
        <v>43</v>
      </c>
      <c r="AJ17" s="192"/>
      <c r="AK17" s="201"/>
      <c r="AL17" s="198"/>
      <c r="AM17" s="181"/>
      <c r="AN17" s="181"/>
      <c r="AO17" s="181"/>
    </row>
    <row r="18" spans="1:41">
      <c r="G18" s="281" t="s">
        <v>78</v>
      </c>
      <c r="H18" s="244">
        <v>0</v>
      </c>
      <c r="I18" s="223">
        <v>0</v>
      </c>
      <c r="J18" s="271">
        <v>0</v>
      </c>
      <c r="K18" s="244">
        <v>0</v>
      </c>
      <c r="L18" s="223">
        <v>0</v>
      </c>
      <c r="M18" s="277">
        <v>1.4999999999999999E-2</v>
      </c>
      <c r="N18" s="244">
        <v>0</v>
      </c>
      <c r="O18" s="223">
        <v>0</v>
      </c>
      <c r="P18" s="223">
        <v>0.02</v>
      </c>
      <c r="Q18" s="223">
        <v>0</v>
      </c>
      <c r="R18" s="223">
        <v>0</v>
      </c>
      <c r="S18" s="223" t="s">
        <v>40</v>
      </c>
      <c r="T18" s="271">
        <v>0.02</v>
      </c>
      <c r="U18" s="244" t="s">
        <v>114</v>
      </c>
      <c r="V18" s="223" t="s">
        <v>115</v>
      </c>
      <c r="W18" s="223" t="s">
        <v>116</v>
      </c>
      <c r="X18" s="245" t="s">
        <v>40</v>
      </c>
      <c r="AC18" s="186" t="s">
        <v>23</v>
      </c>
      <c r="AD18" s="139" t="s">
        <v>41</v>
      </c>
      <c r="AE18" s="139" t="s">
        <v>41</v>
      </c>
      <c r="AF18" s="135" t="s">
        <v>52</v>
      </c>
      <c r="AG18" s="140" t="s">
        <v>39</v>
      </c>
      <c r="AH18" s="141" t="s">
        <v>39</v>
      </c>
      <c r="AI18" s="139" t="s">
        <v>43</v>
      </c>
      <c r="AJ18" s="193"/>
      <c r="AK18" s="201"/>
      <c r="AL18" s="198"/>
      <c r="AM18" s="181"/>
      <c r="AN18" s="181"/>
      <c r="AO18" s="181"/>
    </row>
    <row r="19" spans="1:41" s="1" customFormat="1">
      <c r="B19" s="9" t="s">
        <v>77</v>
      </c>
      <c r="C19" s="9" t="s">
        <v>8</v>
      </c>
      <c r="D19" s="9" t="s">
        <v>9</v>
      </c>
      <c r="E19" s="9" t="s">
        <v>10</v>
      </c>
      <c r="G19"/>
      <c r="H19" s="293"/>
      <c r="J19" s="294"/>
      <c r="K19" s="240"/>
      <c r="L19"/>
      <c r="M19" s="241"/>
      <c r="N19" s="240"/>
      <c r="O19"/>
      <c r="P19"/>
      <c r="Q19"/>
      <c r="R19"/>
      <c r="S19"/>
      <c r="T19" s="241"/>
      <c r="U19" s="240"/>
      <c r="V19"/>
      <c r="W19"/>
      <c r="X19" s="241"/>
      <c r="AC19" s="180"/>
      <c r="AD19" s="144" t="s">
        <v>41</v>
      </c>
      <c r="AE19" s="144" t="s">
        <v>41</v>
      </c>
      <c r="AF19" s="135" t="s">
        <v>52</v>
      </c>
      <c r="AG19" s="145" t="s">
        <v>39</v>
      </c>
      <c r="AH19" s="146" t="s">
        <v>39</v>
      </c>
      <c r="AI19" s="144" t="s">
        <v>43</v>
      </c>
      <c r="AJ19" s="142" t="s">
        <v>60</v>
      </c>
      <c r="AK19" s="202"/>
      <c r="AL19" s="199"/>
      <c r="AM19" s="181"/>
      <c r="AN19" s="181"/>
      <c r="AO19" s="181"/>
    </row>
    <row r="20" spans="1:41" s="1" customFormat="1">
      <c r="A20"/>
      <c r="B20" s="6" t="s">
        <v>82</v>
      </c>
      <c r="C20" s="7" t="s">
        <v>37</v>
      </c>
      <c r="D20" s="7"/>
      <c r="E20" s="7"/>
      <c r="F20"/>
      <c r="G20" s="214" t="s">
        <v>83</v>
      </c>
      <c r="H20" s="293"/>
      <c r="J20" s="294"/>
      <c r="K20" s="240"/>
      <c r="L20"/>
      <c r="M20" s="241"/>
      <c r="N20" s="240"/>
      <c r="O20"/>
      <c r="P20"/>
      <c r="Q20"/>
      <c r="R20"/>
      <c r="S20"/>
      <c r="T20" s="241"/>
      <c r="U20" s="240"/>
      <c r="V20"/>
      <c r="W20"/>
      <c r="X20" s="241"/>
      <c r="AC20" s="180"/>
      <c r="AD20" s="203"/>
      <c r="AE20" s="203"/>
      <c r="AG20" s="204"/>
      <c r="AH20" s="205"/>
      <c r="AI20" s="203"/>
      <c r="AJ20" s="142"/>
      <c r="AK20" s="46"/>
      <c r="AL20" s="46"/>
      <c r="AM20" s="181"/>
      <c r="AN20" s="181"/>
      <c r="AO20" s="181"/>
    </row>
    <row r="21" spans="1:41">
      <c r="B21" s="6"/>
      <c r="C21" s="7"/>
      <c r="D21" s="7"/>
      <c r="E21" s="7"/>
      <c r="G21" s="282" t="s">
        <v>117</v>
      </c>
      <c r="H21" s="272"/>
      <c r="I21" s="33"/>
      <c r="J21" s="273"/>
      <c r="K21" s="272"/>
      <c r="L21" s="33"/>
      <c r="M21" s="273"/>
      <c r="N21" s="272"/>
      <c r="O21" s="33"/>
      <c r="P21" s="33"/>
      <c r="Q21" s="33"/>
      <c r="R21" s="33"/>
      <c r="S21" s="33"/>
      <c r="T21" s="273"/>
      <c r="U21" s="246"/>
      <c r="V21" s="34"/>
      <c r="W21" s="34"/>
      <c r="X21" s="247"/>
      <c r="AC21" s="147" t="s">
        <v>24</v>
      </c>
      <c r="AD21" s="148" t="s">
        <v>39</v>
      </c>
      <c r="AE21" s="148" t="s">
        <v>39</v>
      </c>
      <c r="AF21" s="148" t="s">
        <v>39</v>
      </c>
      <c r="AG21" s="148" t="s">
        <v>39</v>
      </c>
      <c r="AH21" s="148" t="s">
        <v>39</v>
      </c>
      <c r="AI21" s="148" t="s">
        <v>57</v>
      </c>
      <c r="AJ21" s="142" t="s">
        <v>60</v>
      </c>
      <c r="AK21" s="153" t="s">
        <v>45</v>
      </c>
      <c r="AL21" s="153" t="s">
        <v>46</v>
      </c>
      <c r="AM21" s="187" t="s">
        <v>87</v>
      </c>
      <c r="AN21" s="187"/>
      <c r="AO21" s="188"/>
    </row>
    <row r="22" spans="1:41">
      <c r="A22" t="s">
        <v>84</v>
      </c>
      <c r="B22" s="6" t="s">
        <v>85</v>
      </c>
      <c r="C22" s="7"/>
      <c r="D22" s="7"/>
      <c r="E22" s="7"/>
      <c r="G22" s="283">
        <v>1</v>
      </c>
      <c r="H22" s="274">
        <v>0</v>
      </c>
      <c r="I22" s="219">
        <v>0</v>
      </c>
      <c r="J22" s="295">
        <v>0</v>
      </c>
      <c r="K22" s="274">
        <v>0</v>
      </c>
      <c r="L22" s="219">
        <v>0</v>
      </c>
      <c r="M22" s="276">
        <v>1.4999999999999999E-2</v>
      </c>
      <c r="N22" s="274">
        <v>0</v>
      </c>
      <c r="O22" s="219">
        <v>0</v>
      </c>
      <c r="P22" s="221">
        <v>0.02</v>
      </c>
      <c r="Q22" s="219">
        <v>0</v>
      </c>
      <c r="R22" s="219">
        <v>0</v>
      </c>
      <c r="S22" s="25" t="s">
        <v>40</v>
      </c>
      <c r="T22" s="275">
        <v>0.02</v>
      </c>
      <c r="U22" s="309">
        <v>1.4999999999999999E-2</v>
      </c>
      <c r="V22" s="305">
        <v>1.7000000000000001E-2</v>
      </c>
      <c r="W22" s="222">
        <v>0.03</v>
      </c>
      <c r="X22" s="249" t="s">
        <v>40</v>
      </c>
      <c r="AC22" s="149" t="s">
        <v>25</v>
      </c>
      <c r="AD22" s="150" t="s">
        <v>39</v>
      </c>
      <c r="AE22" s="150" t="s">
        <v>39</v>
      </c>
      <c r="AF22" s="150" t="s">
        <v>39</v>
      </c>
      <c r="AG22" s="150" t="s">
        <v>39</v>
      </c>
      <c r="AH22" s="150" t="s">
        <v>39</v>
      </c>
      <c r="AI22" s="150" t="s">
        <v>57</v>
      </c>
      <c r="AJ22" s="144" t="s">
        <v>66</v>
      </c>
      <c r="AK22" s="153" t="s">
        <v>90</v>
      </c>
      <c r="AL22" s="153" t="s">
        <v>90</v>
      </c>
      <c r="AM22" s="189"/>
      <c r="AN22" s="189"/>
      <c r="AO22" s="190"/>
    </row>
    <row r="23" spans="1:41">
      <c r="A23" t="s">
        <v>88</v>
      </c>
      <c r="B23" s="6" t="s">
        <v>89</v>
      </c>
      <c r="C23" s="7"/>
      <c r="D23" s="7" t="s">
        <v>37</v>
      </c>
      <c r="E23" s="7"/>
      <c r="G23" s="283">
        <v>2</v>
      </c>
      <c r="H23" s="274">
        <v>0</v>
      </c>
      <c r="I23" s="219">
        <v>0</v>
      </c>
      <c r="J23" s="295">
        <v>0</v>
      </c>
      <c r="K23" s="274">
        <v>0</v>
      </c>
      <c r="L23" s="219">
        <v>0</v>
      </c>
      <c r="M23" s="276">
        <v>1.4999999999999999E-2</v>
      </c>
      <c r="N23" s="274">
        <v>0</v>
      </c>
      <c r="O23" s="219">
        <v>0</v>
      </c>
      <c r="P23" s="221">
        <v>0.02</v>
      </c>
      <c r="Q23" s="219">
        <v>0</v>
      </c>
      <c r="R23" s="219">
        <v>0</v>
      </c>
      <c r="S23" s="25" t="s">
        <v>40</v>
      </c>
      <c r="T23" s="275">
        <v>0.02</v>
      </c>
      <c r="U23" s="309">
        <v>0.02</v>
      </c>
      <c r="V23" s="305">
        <v>0.02</v>
      </c>
      <c r="W23" s="222">
        <v>3.5000000000000003E-2</v>
      </c>
      <c r="X23" s="249" t="s">
        <v>40</v>
      </c>
    </row>
    <row r="24" spans="1:41">
      <c r="A24" t="s">
        <v>91</v>
      </c>
      <c r="B24" s="6" t="s">
        <v>92</v>
      </c>
      <c r="C24" s="7"/>
      <c r="D24" s="7"/>
      <c r="E24" s="7" t="s">
        <v>37</v>
      </c>
      <c r="G24" s="283">
        <v>3</v>
      </c>
      <c r="H24" s="274">
        <v>0</v>
      </c>
      <c r="I24" s="219">
        <v>0</v>
      </c>
      <c r="J24" s="295">
        <v>0</v>
      </c>
      <c r="K24" s="274">
        <v>0</v>
      </c>
      <c r="L24" s="219">
        <v>0</v>
      </c>
      <c r="M24" s="276">
        <v>1.4999999999999999E-2</v>
      </c>
      <c r="N24" s="274">
        <v>0</v>
      </c>
      <c r="O24" s="219">
        <v>0</v>
      </c>
      <c r="P24" s="221">
        <v>0.02</v>
      </c>
      <c r="Q24" s="219">
        <v>0</v>
      </c>
      <c r="R24" s="219">
        <v>0</v>
      </c>
      <c r="S24" s="25" t="s">
        <v>40</v>
      </c>
      <c r="T24" s="275">
        <v>0.02</v>
      </c>
      <c r="U24" s="309">
        <v>2.5000000000000001E-2</v>
      </c>
      <c r="V24" s="305">
        <v>2.5000000000000001E-2</v>
      </c>
      <c r="W24" s="222">
        <v>0.04</v>
      </c>
      <c r="X24" s="249" t="s">
        <v>40</v>
      </c>
    </row>
    <row r="25" spans="1:41">
      <c r="A25" t="s">
        <v>93</v>
      </c>
      <c r="G25" s="283">
        <v>4</v>
      </c>
      <c r="H25" s="274">
        <v>0</v>
      </c>
      <c r="I25" s="219">
        <v>0</v>
      </c>
      <c r="J25" s="295">
        <v>0</v>
      </c>
      <c r="K25" s="274">
        <v>0</v>
      </c>
      <c r="L25" s="219">
        <v>0</v>
      </c>
      <c r="M25" s="276">
        <v>1.4999999999999999E-2</v>
      </c>
      <c r="N25" s="274">
        <v>0</v>
      </c>
      <c r="O25" s="219">
        <v>0</v>
      </c>
      <c r="P25" s="221">
        <v>0.02</v>
      </c>
      <c r="Q25" s="219">
        <v>0</v>
      </c>
      <c r="R25" s="219">
        <v>0</v>
      </c>
      <c r="S25" s="25" t="s">
        <v>40</v>
      </c>
      <c r="T25" s="275">
        <v>0.02</v>
      </c>
      <c r="U25" s="309">
        <v>0.03</v>
      </c>
      <c r="V25" s="305">
        <v>0.03</v>
      </c>
      <c r="W25" s="222">
        <v>4.4999999999999998E-2</v>
      </c>
      <c r="X25" s="249" t="s">
        <v>40</v>
      </c>
      <c r="AC25"/>
    </row>
    <row r="26" spans="1:41">
      <c r="B26" s="8" t="s">
        <v>62</v>
      </c>
      <c r="C26" s="9" t="s">
        <v>8</v>
      </c>
      <c r="D26" s="9" t="s">
        <v>9</v>
      </c>
      <c r="E26" s="9" t="s">
        <v>10</v>
      </c>
      <c r="G26" s="283">
        <v>5</v>
      </c>
      <c r="H26" s="274">
        <v>0</v>
      </c>
      <c r="I26" s="219">
        <v>0</v>
      </c>
      <c r="J26" s="295">
        <v>0</v>
      </c>
      <c r="K26" s="274">
        <v>0</v>
      </c>
      <c r="L26" s="219">
        <v>0</v>
      </c>
      <c r="M26" s="276">
        <v>1.4999999999999999E-2</v>
      </c>
      <c r="N26" s="274">
        <v>0</v>
      </c>
      <c r="O26" s="219">
        <v>0</v>
      </c>
      <c r="P26" s="221">
        <v>0.02</v>
      </c>
      <c r="Q26" s="219">
        <v>0</v>
      </c>
      <c r="R26" s="219">
        <v>0</v>
      </c>
      <c r="S26" s="25" t="s">
        <v>40</v>
      </c>
      <c r="T26" s="275">
        <v>0.02</v>
      </c>
      <c r="U26" s="309">
        <v>3.5000000000000003E-2</v>
      </c>
      <c r="V26" s="305">
        <v>3.5000000000000003E-2</v>
      </c>
      <c r="W26" s="222">
        <v>0.05</v>
      </c>
      <c r="X26" s="249" t="s">
        <v>40</v>
      </c>
    </row>
    <row r="27" spans="1:41">
      <c r="B27" s="6" t="s">
        <v>94</v>
      </c>
      <c r="C27" s="7" t="s">
        <v>37</v>
      </c>
      <c r="D27" s="7" t="s">
        <v>37</v>
      </c>
      <c r="E27" s="7" t="s">
        <v>37</v>
      </c>
      <c r="G27" s="283">
        <v>6</v>
      </c>
      <c r="H27" s="274">
        <v>0</v>
      </c>
      <c r="I27" s="219">
        <v>0</v>
      </c>
      <c r="J27" s="295">
        <v>0</v>
      </c>
      <c r="K27" s="274">
        <v>0</v>
      </c>
      <c r="L27" s="219">
        <v>0</v>
      </c>
      <c r="M27" s="276">
        <v>1.4999999999999999E-2</v>
      </c>
      <c r="N27" s="274">
        <v>0</v>
      </c>
      <c r="O27" s="219">
        <v>0</v>
      </c>
      <c r="P27" s="221">
        <v>0.02</v>
      </c>
      <c r="Q27" s="219">
        <v>0</v>
      </c>
      <c r="R27" s="219">
        <v>0</v>
      </c>
      <c r="S27" s="25" t="s">
        <v>40</v>
      </c>
      <c r="T27" s="275">
        <v>0.02</v>
      </c>
      <c r="U27" s="309">
        <v>0.04</v>
      </c>
      <c r="V27" s="305">
        <v>0.04</v>
      </c>
      <c r="W27" s="222">
        <v>0.05</v>
      </c>
      <c r="X27" s="249" t="s">
        <v>40</v>
      </c>
    </row>
    <row r="28" spans="1:41">
      <c r="B28" s="6" t="s">
        <v>95</v>
      </c>
      <c r="C28" s="7"/>
      <c r="D28" s="7"/>
      <c r="E28" s="7"/>
      <c r="G28" s="284" t="s">
        <v>118</v>
      </c>
      <c r="H28" s="250"/>
      <c r="I28" s="207"/>
      <c r="J28" s="251"/>
      <c r="K28" s="250"/>
      <c r="L28" s="207"/>
      <c r="M28" s="251"/>
      <c r="N28" s="250"/>
      <c r="O28" s="207"/>
      <c r="P28" s="207"/>
      <c r="Q28" s="207"/>
      <c r="R28" s="207"/>
      <c r="S28" s="207"/>
      <c r="T28" s="251"/>
      <c r="U28" s="310"/>
      <c r="V28" s="306"/>
      <c r="W28" s="207"/>
      <c r="X28" s="251"/>
      <c r="AC28" s="147" t="s">
        <v>24</v>
      </c>
      <c r="AD28" s="148" t="s">
        <v>39</v>
      </c>
      <c r="AE28" s="148" t="s">
        <v>39</v>
      </c>
      <c r="AF28" s="148" t="s">
        <v>39</v>
      </c>
      <c r="AG28" s="148" t="s">
        <v>39</v>
      </c>
      <c r="AH28" s="148" t="s">
        <v>39</v>
      </c>
      <c r="AI28" s="148" t="s">
        <v>57</v>
      </c>
      <c r="AJ28" s="142" t="s">
        <v>60</v>
      </c>
      <c r="AK28" s="153" t="s">
        <v>45</v>
      </c>
      <c r="AL28" s="153" t="s">
        <v>46</v>
      </c>
      <c r="AM28" s="187" t="s">
        <v>87</v>
      </c>
      <c r="AN28" s="187"/>
      <c r="AO28" s="188"/>
    </row>
    <row r="29" spans="1:41">
      <c r="A29" t="s">
        <v>84</v>
      </c>
      <c r="B29" s="6" t="s">
        <v>85</v>
      </c>
      <c r="C29" s="7"/>
      <c r="D29" s="7"/>
      <c r="E29" s="7"/>
      <c r="G29" s="283">
        <v>1</v>
      </c>
      <c r="H29" s="261">
        <v>1.2E-2</v>
      </c>
      <c r="I29" s="220">
        <v>1.2E-2</v>
      </c>
      <c r="J29" s="276">
        <v>1.2E-2</v>
      </c>
      <c r="K29" s="261">
        <v>1.2E-2</v>
      </c>
      <c r="L29" s="220">
        <v>1.2E-2</v>
      </c>
      <c r="M29" s="276">
        <v>1.2E-2</v>
      </c>
      <c r="N29" s="261">
        <v>1.2E-2</v>
      </c>
      <c r="O29" s="220">
        <v>1.2E-2</v>
      </c>
      <c r="P29" s="222">
        <v>1.2E-2</v>
      </c>
      <c r="Q29" s="220">
        <v>1.2E-2</v>
      </c>
      <c r="R29" s="220">
        <v>1.2E-2</v>
      </c>
      <c r="S29" s="222" t="s">
        <v>40</v>
      </c>
      <c r="T29" s="252">
        <v>1.2E-2</v>
      </c>
      <c r="U29" s="309">
        <v>0.01</v>
      </c>
      <c r="V29" s="305">
        <v>0.01</v>
      </c>
      <c r="W29" s="222">
        <v>0.01</v>
      </c>
      <c r="X29" s="252" t="s">
        <v>40</v>
      </c>
      <c r="AC29" s="149" t="s">
        <v>25</v>
      </c>
      <c r="AD29" s="150" t="s">
        <v>39</v>
      </c>
      <c r="AE29" s="150" t="s">
        <v>39</v>
      </c>
      <c r="AF29" s="150" t="s">
        <v>39</v>
      </c>
      <c r="AG29" s="150" t="s">
        <v>39</v>
      </c>
      <c r="AH29" s="150" t="s">
        <v>39</v>
      </c>
      <c r="AI29" s="150" t="s">
        <v>57</v>
      </c>
      <c r="AJ29" s="144" t="s">
        <v>66</v>
      </c>
      <c r="AK29" s="153" t="s">
        <v>90</v>
      </c>
      <c r="AL29" s="153" t="s">
        <v>90</v>
      </c>
      <c r="AM29" s="189"/>
      <c r="AN29" s="189"/>
      <c r="AO29" s="190"/>
    </row>
    <row r="30" spans="1:41">
      <c r="A30" t="s">
        <v>88</v>
      </c>
      <c r="B30" s="6" t="s">
        <v>89</v>
      </c>
      <c r="C30" s="7"/>
      <c r="D30" s="7" t="s">
        <v>37</v>
      </c>
      <c r="E30" s="7"/>
      <c r="G30" s="283">
        <v>2</v>
      </c>
      <c r="H30" s="261">
        <v>1.4999999999999999E-2</v>
      </c>
      <c r="I30" s="220">
        <v>1.4999999999999999E-2</v>
      </c>
      <c r="J30" s="276">
        <v>1.4999999999999999E-2</v>
      </c>
      <c r="K30" s="261">
        <v>1.4999999999999999E-2</v>
      </c>
      <c r="L30" s="220">
        <v>1.4999999999999999E-2</v>
      </c>
      <c r="M30" s="276">
        <v>1.4999999999999999E-2</v>
      </c>
      <c r="N30" s="261">
        <v>1.4999999999999999E-2</v>
      </c>
      <c r="O30" s="220">
        <v>1.4999999999999999E-2</v>
      </c>
      <c r="P30" s="222">
        <v>1.4999999999999999E-2</v>
      </c>
      <c r="Q30" s="220">
        <v>1.4999999999999999E-2</v>
      </c>
      <c r="R30" s="220">
        <v>1.4999999999999999E-2</v>
      </c>
      <c r="S30" s="222" t="s">
        <v>40</v>
      </c>
      <c r="T30" s="252">
        <v>1.4999999999999999E-2</v>
      </c>
      <c r="U30" s="309">
        <v>1.2999999999999999E-2</v>
      </c>
      <c r="V30" s="305">
        <v>1.2999999999999999E-2</v>
      </c>
      <c r="W30" s="222">
        <v>1.2999999999999999E-2</v>
      </c>
      <c r="X30" s="252" t="s">
        <v>40</v>
      </c>
    </row>
    <row r="31" spans="1:41">
      <c r="A31" t="s">
        <v>91</v>
      </c>
      <c r="B31" s="6" t="s">
        <v>92</v>
      </c>
      <c r="C31" s="7"/>
      <c r="D31" s="7"/>
      <c r="E31" s="7" t="s">
        <v>37</v>
      </c>
      <c r="G31" s="283">
        <v>3</v>
      </c>
      <c r="H31" s="261">
        <v>1.7000000000000001E-2</v>
      </c>
      <c r="I31" s="220">
        <v>1.7000000000000001E-2</v>
      </c>
      <c r="J31" s="276">
        <v>1.7000000000000001E-2</v>
      </c>
      <c r="K31" s="261">
        <v>1.7000000000000001E-2</v>
      </c>
      <c r="L31" s="220">
        <v>1.7000000000000001E-2</v>
      </c>
      <c r="M31" s="276">
        <v>1.7000000000000001E-2</v>
      </c>
      <c r="N31" s="261">
        <v>1.7000000000000001E-2</v>
      </c>
      <c r="O31" s="220">
        <v>1.7000000000000001E-2</v>
      </c>
      <c r="P31" s="222">
        <v>1.7000000000000001E-2</v>
      </c>
      <c r="Q31" s="220">
        <v>1.7000000000000001E-2</v>
      </c>
      <c r="R31" s="220">
        <v>1.7000000000000001E-2</v>
      </c>
      <c r="S31" s="222" t="s">
        <v>40</v>
      </c>
      <c r="T31" s="252">
        <v>1.7000000000000001E-2</v>
      </c>
      <c r="U31" s="309">
        <v>1.4999999999999999E-2</v>
      </c>
      <c r="V31" s="305">
        <v>1.4999999999999999E-2</v>
      </c>
      <c r="W31" s="222">
        <v>1.4999999999999999E-2</v>
      </c>
      <c r="X31" s="252" t="s">
        <v>40</v>
      </c>
    </row>
    <row r="32" spans="1:41">
      <c r="A32" t="s">
        <v>93</v>
      </c>
      <c r="G32" s="283">
        <v>4</v>
      </c>
      <c r="H32" s="261">
        <v>1.9E-2</v>
      </c>
      <c r="I32" s="220">
        <v>1.9E-2</v>
      </c>
      <c r="J32" s="276">
        <v>1.9E-2</v>
      </c>
      <c r="K32" s="261">
        <v>1.9E-2</v>
      </c>
      <c r="L32" s="220">
        <v>1.9E-2</v>
      </c>
      <c r="M32" s="276">
        <v>1.9E-2</v>
      </c>
      <c r="N32" s="261">
        <v>1.9E-2</v>
      </c>
      <c r="O32" s="220">
        <v>1.9E-2</v>
      </c>
      <c r="P32" s="222">
        <v>1.9E-2</v>
      </c>
      <c r="Q32" s="220">
        <v>1.9E-2</v>
      </c>
      <c r="R32" s="220">
        <v>1.9E-2</v>
      </c>
      <c r="S32" s="222" t="s">
        <v>40</v>
      </c>
      <c r="T32" s="252">
        <v>1.9E-2</v>
      </c>
      <c r="U32" s="309">
        <v>1.7000000000000001E-2</v>
      </c>
      <c r="V32" s="305">
        <v>1.7000000000000001E-2</v>
      </c>
      <c r="W32" s="222">
        <v>1.7000000000000001E-2</v>
      </c>
      <c r="X32" s="252" t="s">
        <v>40</v>
      </c>
      <c r="AC32"/>
    </row>
    <row r="33" spans="1:41">
      <c r="B33" s="8" t="s">
        <v>62</v>
      </c>
      <c r="C33" s="9" t="s">
        <v>8</v>
      </c>
      <c r="D33" s="9" t="s">
        <v>9</v>
      </c>
      <c r="E33" s="9" t="s">
        <v>10</v>
      </c>
      <c r="G33" s="283">
        <v>5</v>
      </c>
      <c r="H33" s="261">
        <v>0.02</v>
      </c>
      <c r="I33" s="220">
        <v>0.02</v>
      </c>
      <c r="J33" s="276">
        <v>0.02</v>
      </c>
      <c r="K33" s="261">
        <v>0.02</v>
      </c>
      <c r="L33" s="220">
        <v>0.02</v>
      </c>
      <c r="M33" s="276">
        <v>0.02</v>
      </c>
      <c r="N33" s="261">
        <v>0.02</v>
      </c>
      <c r="O33" s="220">
        <v>0.02</v>
      </c>
      <c r="P33" s="222">
        <v>0.02</v>
      </c>
      <c r="Q33" s="220">
        <v>0.02</v>
      </c>
      <c r="R33" s="220">
        <v>0.02</v>
      </c>
      <c r="S33" s="222" t="s">
        <v>40</v>
      </c>
      <c r="T33" s="252">
        <v>0.02</v>
      </c>
      <c r="U33" s="309">
        <v>1.7999999999999999E-2</v>
      </c>
      <c r="V33" s="305">
        <v>1.7999999999999999E-2</v>
      </c>
      <c r="W33" s="222">
        <v>1.7999999999999999E-2</v>
      </c>
      <c r="X33" s="252" t="s">
        <v>40</v>
      </c>
    </row>
    <row r="34" spans="1:41">
      <c r="B34" s="6" t="s">
        <v>94</v>
      </c>
      <c r="C34" s="7" t="s">
        <v>37</v>
      </c>
      <c r="D34" s="7" t="s">
        <v>37</v>
      </c>
      <c r="E34" s="7" t="s">
        <v>37</v>
      </c>
      <c r="G34" s="283">
        <v>6</v>
      </c>
      <c r="H34" s="261">
        <v>2.1000000000000001E-2</v>
      </c>
      <c r="I34" s="220">
        <v>2.1000000000000001E-2</v>
      </c>
      <c r="J34" s="276">
        <v>2.1000000000000001E-2</v>
      </c>
      <c r="K34" s="261">
        <v>2.1000000000000001E-2</v>
      </c>
      <c r="L34" s="220">
        <v>2.1000000000000001E-2</v>
      </c>
      <c r="M34" s="276">
        <v>2.1000000000000001E-2</v>
      </c>
      <c r="N34" s="261">
        <v>2.1000000000000001E-2</v>
      </c>
      <c r="O34" s="220">
        <v>2.1000000000000001E-2</v>
      </c>
      <c r="P34" s="222">
        <v>2.1000000000000001E-2</v>
      </c>
      <c r="Q34" s="220">
        <v>2.1000000000000001E-2</v>
      </c>
      <c r="R34" s="220">
        <v>2.1000000000000001E-2</v>
      </c>
      <c r="S34" s="222" t="s">
        <v>40</v>
      </c>
      <c r="T34" s="252">
        <v>2.1000000000000001E-2</v>
      </c>
      <c r="U34" s="309">
        <v>1.9E-2</v>
      </c>
      <c r="V34" s="305">
        <v>1.9E-2</v>
      </c>
      <c r="W34" s="222">
        <v>1.9E-2</v>
      </c>
      <c r="X34" s="252" t="s">
        <v>40</v>
      </c>
    </row>
    <row r="35" spans="1:41">
      <c r="B35" s="6" t="s">
        <v>95</v>
      </c>
      <c r="C35" s="7"/>
      <c r="D35" s="7"/>
      <c r="E35" s="7"/>
      <c r="G35" s="285" t="s">
        <v>119</v>
      </c>
      <c r="H35" s="253"/>
      <c r="I35" s="254"/>
      <c r="J35" s="255"/>
      <c r="K35" s="253"/>
      <c r="L35" s="254"/>
      <c r="M35" s="255"/>
      <c r="N35" s="253"/>
      <c r="O35" s="254"/>
      <c r="P35" s="254"/>
      <c r="Q35" s="254"/>
      <c r="R35" s="254"/>
      <c r="S35" s="254"/>
      <c r="T35" s="255"/>
      <c r="U35" s="311"/>
      <c r="V35" s="307"/>
      <c r="W35" s="254"/>
      <c r="X35" s="255"/>
      <c r="AC35" s="147" t="s">
        <v>24</v>
      </c>
      <c r="AD35" s="148" t="s">
        <v>39</v>
      </c>
      <c r="AE35" s="148" t="s">
        <v>39</v>
      </c>
      <c r="AF35" s="148" t="s">
        <v>39</v>
      </c>
      <c r="AG35" s="148" t="s">
        <v>39</v>
      </c>
      <c r="AH35" s="148" t="s">
        <v>39</v>
      </c>
      <c r="AI35" s="148" t="s">
        <v>57</v>
      </c>
      <c r="AJ35" s="142" t="s">
        <v>60</v>
      </c>
      <c r="AK35" s="153" t="s">
        <v>45</v>
      </c>
      <c r="AL35" s="153" t="s">
        <v>46</v>
      </c>
      <c r="AM35" s="187" t="s">
        <v>87</v>
      </c>
      <c r="AN35" s="187"/>
      <c r="AO35" s="188"/>
    </row>
    <row r="36" spans="1:41">
      <c r="A36" t="s">
        <v>84</v>
      </c>
      <c r="B36" s="6" t="s">
        <v>85</v>
      </c>
      <c r="C36" s="7"/>
      <c r="D36" s="7"/>
      <c r="E36" s="7"/>
      <c r="G36" s="283">
        <v>1</v>
      </c>
      <c r="H36" s="256">
        <v>0</v>
      </c>
      <c r="I36" s="224">
        <v>0.01</v>
      </c>
      <c r="J36" s="257">
        <v>0.01</v>
      </c>
      <c r="K36" s="256">
        <v>0</v>
      </c>
      <c r="L36" s="225">
        <v>0.01</v>
      </c>
      <c r="M36" s="278">
        <v>0.01</v>
      </c>
      <c r="N36" s="256">
        <v>0</v>
      </c>
      <c r="O36" s="224">
        <v>0.01</v>
      </c>
      <c r="P36" s="224">
        <v>0.01</v>
      </c>
      <c r="Q36" s="224">
        <v>0</v>
      </c>
      <c r="R36" s="224">
        <v>0.01</v>
      </c>
      <c r="S36" s="224" t="s">
        <v>40</v>
      </c>
      <c r="T36" s="257">
        <v>0.01</v>
      </c>
      <c r="U36" s="244">
        <v>0.01</v>
      </c>
      <c r="V36" s="223">
        <v>0.02</v>
      </c>
      <c r="W36" s="224">
        <v>0.02</v>
      </c>
      <c r="X36" s="257" t="s">
        <v>40</v>
      </c>
      <c r="AC36" s="149" t="s">
        <v>25</v>
      </c>
      <c r="AD36" s="150" t="s">
        <v>39</v>
      </c>
      <c r="AE36" s="150" t="s">
        <v>39</v>
      </c>
      <c r="AF36" s="150" t="s">
        <v>39</v>
      </c>
      <c r="AG36" s="150" t="s">
        <v>39</v>
      </c>
      <c r="AH36" s="150" t="s">
        <v>39</v>
      </c>
      <c r="AI36" s="150" t="s">
        <v>57</v>
      </c>
      <c r="AJ36" s="144" t="s">
        <v>66</v>
      </c>
      <c r="AK36" s="153" t="s">
        <v>90</v>
      </c>
      <c r="AL36" s="153" t="s">
        <v>90</v>
      </c>
      <c r="AM36" s="189"/>
      <c r="AN36" s="189"/>
      <c r="AO36" s="190"/>
    </row>
    <row r="37" spans="1:41">
      <c r="A37" t="s">
        <v>88</v>
      </c>
      <c r="B37" s="6" t="s">
        <v>89</v>
      </c>
      <c r="C37" s="7"/>
      <c r="D37" s="7" t="s">
        <v>37</v>
      </c>
      <c r="E37" s="7"/>
      <c r="G37" s="283">
        <v>2</v>
      </c>
      <c r="H37" s="256">
        <v>0</v>
      </c>
      <c r="I37" s="224">
        <v>0.01</v>
      </c>
      <c r="J37" s="257">
        <v>0.01</v>
      </c>
      <c r="K37" s="256">
        <v>0</v>
      </c>
      <c r="L37" s="225">
        <v>0.01</v>
      </c>
      <c r="M37" s="278">
        <v>0.01</v>
      </c>
      <c r="N37" s="256">
        <v>0</v>
      </c>
      <c r="O37" s="224">
        <v>0.01</v>
      </c>
      <c r="P37" s="224">
        <v>0.01</v>
      </c>
      <c r="Q37" s="224">
        <v>0</v>
      </c>
      <c r="R37" s="224">
        <v>0.01</v>
      </c>
      <c r="S37" s="224" t="s">
        <v>40</v>
      </c>
      <c r="T37" s="257">
        <v>0.01</v>
      </c>
      <c r="U37" s="244">
        <v>0.01</v>
      </c>
      <c r="V37" s="223">
        <v>0.02</v>
      </c>
      <c r="W37" s="224">
        <v>0.02</v>
      </c>
      <c r="X37" s="257" t="s">
        <v>40</v>
      </c>
    </row>
    <row r="38" spans="1:41">
      <c r="A38" t="s">
        <v>91</v>
      </c>
      <c r="B38" s="6" t="s">
        <v>92</v>
      </c>
      <c r="C38" s="7"/>
      <c r="D38" s="7"/>
      <c r="E38" s="7" t="s">
        <v>37</v>
      </c>
      <c r="G38" s="283">
        <v>3</v>
      </c>
      <c r="H38" s="256">
        <v>0</v>
      </c>
      <c r="I38" s="224">
        <v>0.01</v>
      </c>
      <c r="J38" s="257">
        <v>0.01</v>
      </c>
      <c r="K38" s="256">
        <v>0</v>
      </c>
      <c r="L38" s="225">
        <v>0.01</v>
      </c>
      <c r="M38" s="278">
        <v>0.01</v>
      </c>
      <c r="N38" s="256">
        <v>0</v>
      </c>
      <c r="O38" s="224">
        <v>0.01</v>
      </c>
      <c r="P38" s="224">
        <v>0.01</v>
      </c>
      <c r="Q38" s="224">
        <v>0</v>
      </c>
      <c r="R38" s="224">
        <v>0.01</v>
      </c>
      <c r="S38" s="224" t="s">
        <v>40</v>
      </c>
      <c r="T38" s="257">
        <v>0.01</v>
      </c>
      <c r="U38" s="244">
        <v>0.01</v>
      </c>
      <c r="V38" s="223">
        <v>0.02</v>
      </c>
      <c r="W38" s="224">
        <v>0.02</v>
      </c>
      <c r="X38" s="257" t="s">
        <v>40</v>
      </c>
    </row>
    <row r="39" spans="1:41">
      <c r="A39" t="s">
        <v>93</v>
      </c>
      <c r="G39" s="283">
        <v>4</v>
      </c>
      <c r="H39" s="256">
        <v>0</v>
      </c>
      <c r="I39" s="224">
        <v>0.01</v>
      </c>
      <c r="J39" s="257">
        <v>0.01</v>
      </c>
      <c r="K39" s="256">
        <v>0</v>
      </c>
      <c r="L39" s="225">
        <v>0.01</v>
      </c>
      <c r="M39" s="278">
        <v>0.01</v>
      </c>
      <c r="N39" s="256">
        <v>0</v>
      </c>
      <c r="O39" s="224">
        <v>0.01</v>
      </c>
      <c r="P39" s="224">
        <v>0.01</v>
      </c>
      <c r="Q39" s="224">
        <v>0</v>
      </c>
      <c r="R39" s="224">
        <v>0.01</v>
      </c>
      <c r="S39" s="224" t="s">
        <v>40</v>
      </c>
      <c r="T39" s="257">
        <v>0.01</v>
      </c>
      <c r="U39" s="244">
        <v>0.01</v>
      </c>
      <c r="V39" s="223">
        <v>0.02</v>
      </c>
      <c r="W39" s="224">
        <v>0.02</v>
      </c>
      <c r="X39" s="257" t="s">
        <v>40</v>
      </c>
      <c r="AC39"/>
    </row>
    <row r="40" spans="1:41">
      <c r="B40" s="8" t="s">
        <v>62</v>
      </c>
      <c r="C40" s="9" t="s">
        <v>8</v>
      </c>
      <c r="D40" s="9" t="s">
        <v>9</v>
      </c>
      <c r="E40" s="9" t="s">
        <v>10</v>
      </c>
      <c r="G40" s="283">
        <v>5</v>
      </c>
      <c r="H40" s="256">
        <v>0</v>
      </c>
      <c r="I40" s="224">
        <v>0.01</v>
      </c>
      <c r="J40" s="257">
        <v>0.01</v>
      </c>
      <c r="K40" s="256">
        <v>0</v>
      </c>
      <c r="L40" s="225">
        <v>0.01</v>
      </c>
      <c r="M40" s="278">
        <v>0.01</v>
      </c>
      <c r="N40" s="256">
        <v>0</v>
      </c>
      <c r="O40" s="224">
        <v>0.01</v>
      </c>
      <c r="P40" s="224">
        <v>0.01</v>
      </c>
      <c r="Q40" s="224">
        <v>0</v>
      </c>
      <c r="R40" s="224">
        <v>0.01</v>
      </c>
      <c r="S40" s="224" t="s">
        <v>40</v>
      </c>
      <c r="T40" s="257">
        <v>0.01</v>
      </c>
      <c r="U40" s="244">
        <v>0.01</v>
      </c>
      <c r="V40" s="223">
        <v>0.02</v>
      </c>
      <c r="W40" s="224">
        <v>0.02</v>
      </c>
      <c r="X40" s="257" t="s">
        <v>40</v>
      </c>
      <c r="Z40" s="10"/>
      <c r="AC40"/>
    </row>
    <row r="41" spans="1:41">
      <c r="B41" s="6" t="s">
        <v>94</v>
      </c>
      <c r="C41" s="7" t="s">
        <v>37</v>
      </c>
      <c r="D41" s="7" t="s">
        <v>37</v>
      </c>
      <c r="E41" s="7" t="s">
        <v>37</v>
      </c>
      <c r="G41" s="283">
        <v>6</v>
      </c>
      <c r="H41" s="256">
        <v>0</v>
      </c>
      <c r="I41" s="224">
        <v>0.01</v>
      </c>
      <c r="J41" s="257">
        <v>0.01</v>
      </c>
      <c r="K41" s="256">
        <v>0</v>
      </c>
      <c r="L41" s="225">
        <v>0.01</v>
      </c>
      <c r="M41" s="278">
        <v>0.01</v>
      </c>
      <c r="N41" s="256">
        <v>0</v>
      </c>
      <c r="O41" s="224">
        <v>0.01</v>
      </c>
      <c r="P41" s="224">
        <v>0.01</v>
      </c>
      <c r="Q41" s="224">
        <v>0</v>
      </c>
      <c r="R41" s="224">
        <v>0.01</v>
      </c>
      <c r="S41" s="224" t="s">
        <v>40</v>
      </c>
      <c r="T41" s="257">
        <v>0.01</v>
      </c>
      <c r="U41" s="244">
        <v>0.01</v>
      </c>
      <c r="V41" s="223">
        <v>0.02</v>
      </c>
      <c r="W41" s="224">
        <v>0.02</v>
      </c>
      <c r="X41" s="257" t="s">
        <v>40</v>
      </c>
      <c r="Z41" s="10"/>
      <c r="AC41"/>
    </row>
    <row r="42" spans="1:41">
      <c r="B42" s="6" t="s">
        <v>95</v>
      </c>
      <c r="C42" s="7"/>
      <c r="D42" s="7"/>
      <c r="E42" s="7"/>
      <c r="G42" s="286" t="s">
        <v>120</v>
      </c>
      <c r="H42" s="258"/>
      <c r="I42" s="259"/>
      <c r="J42" s="260"/>
      <c r="K42" s="258"/>
      <c r="L42" s="259"/>
      <c r="M42" s="260"/>
      <c r="N42" s="258"/>
      <c r="O42" s="259"/>
      <c r="P42" s="259"/>
      <c r="Q42" s="259"/>
      <c r="R42" s="259"/>
      <c r="S42" s="259"/>
      <c r="T42" s="260"/>
      <c r="U42" s="312"/>
      <c r="V42" s="308"/>
      <c r="W42" s="259"/>
      <c r="X42" s="260"/>
      <c r="AC42" s="147" t="s">
        <v>24</v>
      </c>
      <c r="AD42" s="148" t="s">
        <v>39</v>
      </c>
      <c r="AE42" s="148" t="s">
        <v>39</v>
      </c>
      <c r="AF42" s="148" t="s">
        <v>39</v>
      </c>
      <c r="AG42" s="148" t="s">
        <v>39</v>
      </c>
      <c r="AH42" s="148" t="s">
        <v>39</v>
      </c>
      <c r="AI42" s="148" t="s">
        <v>57</v>
      </c>
      <c r="AJ42" s="142" t="s">
        <v>60</v>
      </c>
      <c r="AK42" s="153" t="s">
        <v>45</v>
      </c>
      <c r="AL42" s="153" t="s">
        <v>46</v>
      </c>
      <c r="AM42" s="187" t="s">
        <v>87</v>
      </c>
      <c r="AN42" s="187"/>
      <c r="AO42" s="188"/>
    </row>
    <row r="43" spans="1:41">
      <c r="A43" t="s">
        <v>84</v>
      </c>
      <c r="B43" s="6" t="s">
        <v>85</v>
      </c>
      <c r="C43" s="7"/>
      <c r="D43" s="7"/>
      <c r="E43" s="7"/>
      <c r="G43" s="283">
        <v>1</v>
      </c>
      <c r="H43" s="248" t="s">
        <v>40</v>
      </c>
      <c r="I43" s="222">
        <v>0.02</v>
      </c>
      <c r="J43" s="252">
        <v>0.02</v>
      </c>
      <c r="K43" s="248" t="s">
        <v>40</v>
      </c>
      <c r="L43" s="222">
        <f>L36+L29</f>
        <v>2.1999999999999999E-2</v>
      </c>
      <c r="M43" s="252">
        <f t="shared" ref="M43:M48" si="0">M36+M29</f>
        <v>2.1999999999999999E-2</v>
      </c>
      <c r="N43" s="248" t="s">
        <v>40</v>
      </c>
      <c r="O43" s="220">
        <f>O36+O29</f>
        <v>2.1999999999999999E-2</v>
      </c>
      <c r="P43" s="220">
        <f>P36+P29</f>
        <v>2.1999999999999999E-2</v>
      </c>
      <c r="Q43" s="222" t="s">
        <v>40</v>
      </c>
      <c r="R43" s="220">
        <f>R36+R29</f>
        <v>2.1999999999999999E-2</v>
      </c>
      <c r="S43" s="25" t="s">
        <v>40</v>
      </c>
      <c r="T43" s="276">
        <f>T36+T29</f>
        <v>2.1999999999999999E-2</v>
      </c>
      <c r="U43" s="261">
        <f t="shared" ref="U43" si="1">U36+U29</f>
        <v>0.02</v>
      </c>
      <c r="V43" s="220">
        <f t="shared" ref="V43:W43" si="2">V36+V29</f>
        <v>0.03</v>
      </c>
      <c r="W43" s="220">
        <f t="shared" si="2"/>
        <v>0.03</v>
      </c>
      <c r="X43" s="249" t="s">
        <v>40</v>
      </c>
      <c r="AC43" s="149" t="s">
        <v>25</v>
      </c>
      <c r="AD43" s="150" t="s">
        <v>39</v>
      </c>
      <c r="AE43" s="150" t="s">
        <v>39</v>
      </c>
      <c r="AF43" s="150" t="s">
        <v>39</v>
      </c>
      <c r="AG43" s="150" t="s">
        <v>39</v>
      </c>
      <c r="AH43" s="150" t="s">
        <v>39</v>
      </c>
      <c r="AI43" s="150" t="s">
        <v>57</v>
      </c>
      <c r="AJ43" s="144" t="s">
        <v>66</v>
      </c>
      <c r="AK43" s="153" t="s">
        <v>90</v>
      </c>
      <c r="AL43" s="153" t="s">
        <v>90</v>
      </c>
      <c r="AM43" s="189"/>
      <c r="AN43" s="189"/>
      <c r="AO43" s="190"/>
    </row>
    <row r="44" spans="1:41">
      <c r="A44" t="s">
        <v>88</v>
      </c>
      <c r="B44" s="6" t="s">
        <v>89</v>
      </c>
      <c r="C44" s="7"/>
      <c r="D44" s="7" t="s">
        <v>37</v>
      </c>
      <c r="E44" s="7"/>
      <c r="G44" s="283">
        <v>2</v>
      </c>
      <c r="H44" s="248" t="s">
        <v>40</v>
      </c>
      <c r="I44" s="222">
        <v>2.3E-2</v>
      </c>
      <c r="J44" s="252">
        <v>2.3E-2</v>
      </c>
      <c r="K44" s="248" t="s">
        <v>40</v>
      </c>
      <c r="L44" s="222">
        <f t="shared" ref="L44:L48" si="3">L37+L30</f>
        <v>2.5000000000000001E-2</v>
      </c>
      <c r="M44" s="252">
        <f t="shared" si="0"/>
        <v>2.5000000000000001E-2</v>
      </c>
      <c r="N44" s="248" t="s">
        <v>40</v>
      </c>
      <c r="O44" s="220">
        <f t="shared" ref="O44:P48" si="4">O37+O30</f>
        <v>2.5000000000000001E-2</v>
      </c>
      <c r="P44" s="220">
        <f t="shared" si="4"/>
        <v>2.5000000000000001E-2</v>
      </c>
      <c r="Q44" s="222" t="s">
        <v>40</v>
      </c>
      <c r="R44" s="220">
        <f t="shared" ref="R44:T48" si="5">R37+R30</f>
        <v>2.5000000000000001E-2</v>
      </c>
      <c r="S44" s="25" t="s">
        <v>40</v>
      </c>
      <c r="T44" s="276">
        <f t="shared" si="5"/>
        <v>2.5000000000000001E-2</v>
      </c>
      <c r="U44" s="261">
        <f t="shared" ref="U44" si="6">U37+U30</f>
        <v>2.3E-2</v>
      </c>
      <c r="V44" s="220">
        <f t="shared" ref="V44:W44" si="7">V37+V30</f>
        <v>3.3000000000000002E-2</v>
      </c>
      <c r="W44" s="220">
        <f t="shared" si="7"/>
        <v>3.3000000000000002E-2</v>
      </c>
      <c r="X44" s="249" t="s">
        <v>40</v>
      </c>
    </row>
    <row r="45" spans="1:41">
      <c r="A45" t="s">
        <v>91</v>
      </c>
      <c r="B45" s="6" t="s">
        <v>92</v>
      </c>
      <c r="C45" s="7"/>
      <c r="D45" s="7"/>
      <c r="E45" s="7" t="s">
        <v>37</v>
      </c>
      <c r="G45" s="283">
        <v>3</v>
      </c>
      <c r="H45" s="248" t="s">
        <v>40</v>
      </c>
      <c r="I45" s="222">
        <v>2.5000000000000001E-2</v>
      </c>
      <c r="J45" s="252">
        <v>2.5000000000000001E-2</v>
      </c>
      <c r="K45" s="248" t="s">
        <v>40</v>
      </c>
      <c r="L45" s="222">
        <f t="shared" si="3"/>
        <v>2.7000000000000003E-2</v>
      </c>
      <c r="M45" s="252">
        <f t="shared" si="0"/>
        <v>2.7000000000000003E-2</v>
      </c>
      <c r="N45" s="248" t="s">
        <v>40</v>
      </c>
      <c r="O45" s="220">
        <f t="shared" si="4"/>
        <v>2.7000000000000003E-2</v>
      </c>
      <c r="P45" s="220">
        <f t="shared" si="4"/>
        <v>2.7000000000000003E-2</v>
      </c>
      <c r="Q45" s="222" t="s">
        <v>40</v>
      </c>
      <c r="R45" s="220">
        <f t="shared" si="5"/>
        <v>2.7000000000000003E-2</v>
      </c>
      <c r="S45" s="25" t="s">
        <v>40</v>
      </c>
      <c r="T45" s="276">
        <f t="shared" si="5"/>
        <v>2.7000000000000003E-2</v>
      </c>
      <c r="U45" s="261">
        <f t="shared" ref="U45" si="8">U38+U31</f>
        <v>2.5000000000000001E-2</v>
      </c>
      <c r="V45" s="220">
        <f t="shared" ref="V45:W45" si="9">V38+V31</f>
        <v>3.5000000000000003E-2</v>
      </c>
      <c r="W45" s="220">
        <f t="shared" si="9"/>
        <v>3.5000000000000003E-2</v>
      </c>
      <c r="X45" s="249" t="s">
        <v>40</v>
      </c>
    </row>
    <row r="46" spans="1:41">
      <c r="A46" t="s">
        <v>93</v>
      </c>
      <c r="G46" s="283">
        <v>4</v>
      </c>
      <c r="H46" s="248" t="s">
        <v>40</v>
      </c>
      <c r="I46" s="222">
        <v>2.7E-2</v>
      </c>
      <c r="J46" s="252">
        <v>2.7E-2</v>
      </c>
      <c r="K46" s="248" t="s">
        <v>40</v>
      </c>
      <c r="L46" s="222">
        <f t="shared" si="3"/>
        <v>2.8999999999999998E-2</v>
      </c>
      <c r="M46" s="252">
        <f t="shared" si="0"/>
        <v>2.8999999999999998E-2</v>
      </c>
      <c r="N46" s="248" t="s">
        <v>40</v>
      </c>
      <c r="O46" s="220">
        <f t="shared" si="4"/>
        <v>2.8999999999999998E-2</v>
      </c>
      <c r="P46" s="220">
        <f t="shared" si="4"/>
        <v>2.8999999999999998E-2</v>
      </c>
      <c r="Q46" s="222" t="s">
        <v>40</v>
      </c>
      <c r="R46" s="220">
        <f t="shared" si="5"/>
        <v>2.8999999999999998E-2</v>
      </c>
      <c r="S46" s="25" t="s">
        <v>40</v>
      </c>
      <c r="T46" s="276">
        <f t="shared" si="5"/>
        <v>2.8999999999999998E-2</v>
      </c>
      <c r="U46" s="261">
        <f t="shared" ref="U46" si="10">U39+U32</f>
        <v>2.7000000000000003E-2</v>
      </c>
      <c r="V46" s="220">
        <f t="shared" ref="V46:W46" si="11">V39+V32</f>
        <v>3.7000000000000005E-2</v>
      </c>
      <c r="W46" s="220">
        <f t="shared" si="11"/>
        <v>3.7000000000000005E-2</v>
      </c>
      <c r="X46" s="249" t="s">
        <v>40</v>
      </c>
      <c r="AC46"/>
    </row>
    <row r="47" spans="1:41">
      <c r="B47" s="8" t="s">
        <v>62</v>
      </c>
      <c r="C47" s="9" t="s">
        <v>8</v>
      </c>
      <c r="D47" s="9" t="s">
        <v>9</v>
      </c>
      <c r="E47" s="9" t="s">
        <v>10</v>
      </c>
      <c r="G47" s="283">
        <v>5</v>
      </c>
      <c r="H47" s="248" t="s">
        <v>40</v>
      </c>
      <c r="I47" s="222">
        <v>2.8000000000000001E-2</v>
      </c>
      <c r="J47" s="252">
        <v>2.8000000000000001E-2</v>
      </c>
      <c r="K47" s="248" t="s">
        <v>40</v>
      </c>
      <c r="L47" s="222">
        <f t="shared" si="3"/>
        <v>0.03</v>
      </c>
      <c r="M47" s="252">
        <f t="shared" si="0"/>
        <v>0.03</v>
      </c>
      <c r="N47" s="248" t="s">
        <v>40</v>
      </c>
      <c r="O47" s="220">
        <f t="shared" si="4"/>
        <v>0.03</v>
      </c>
      <c r="P47" s="220">
        <f t="shared" si="4"/>
        <v>0.03</v>
      </c>
      <c r="Q47" s="222" t="s">
        <v>40</v>
      </c>
      <c r="R47" s="220">
        <f t="shared" si="5"/>
        <v>0.03</v>
      </c>
      <c r="S47" s="25" t="s">
        <v>40</v>
      </c>
      <c r="T47" s="276">
        <f t="shared" si="5"/>
        <v>0.03</v>
      </c>
      <c r="U47" s="261">
        <f t="shared" ref="U47" si="12">U40+U33</f>
        <v>2.7999999999999997E-2</v>
      </c>
      <c r="V47" s="220">
        <f t="shared" ref="V47:W47" si="13">V40+V33</f>
        <v>3.7999999999999999E-2</v>
      </c>
      <c r="W47" s="220">
        <f t="shared" si="13"/>
        <v>3.7999999999999999E-2</v>
      </c>
      <c r="X47" s="249" t="s">
        <v>40</v>
      </c>
      <c r="Z47" s="10"/>
      <c r="AC47"/>
    </row>
    <row r="48" spans="1:41">
      <c r="B48" s="6" t="s">
        <v>94</v>
      </c>
      <c r="C48" s="7" t="s">
        <v>37</v>
      </c>
      <c r="D48" s="7" t="s">
        <v>37</v>
      </c>
      <c r="E48" s="7" t="s">
        <v>37</v>
      </c>
      <c r="G48" s="283">
        <v>6</v>
      </c>
      <c r="H48" s="248" t="s">
        <v>40</v>
      </c>
      <c r="I48" s="222">
        <v>2.9000000000000001E-2</v>
      </c>
      <c r="J48" s="252">
        <v>2.9000000000000001E-2</v>
      </c>
      <c r="K48" s="248" t="s">
        <v>40</v>
      </c>
      <c r="L48" s="222">
        <f t="shared" si="3"/>
        <v>3.1E-2</v>
      </c>
      <c r="M48" s="252">
        <f t="shared" si="0"/>
        <v>3.1E-2</v>
      </c>
      <c r="N48" s="248" t="s">
        <v>40</v>
      </c>
      <c r="O48" s="220">
        <f t="shared" si="4"/>
        <v>3.1E-2</v>
      </c>
      <c r="P48" s="220">
        <f t="shared" si="4"/>
        <v>3.1E-2</v>
      </c>
      <c r="Q48" s="222" t="s">
        <v>40</v>
      </c>
      <c r="R48" s="220">
        <f t="shared" si="5"/>
        <v>3.1E-2</v>
      </c>
      <c r="S48" s="25" t="s">
        <v>40</v>
      </c>
      <c r="T48" s="276">
        <f t="shared" si="5"/>
        <v>3.1E-2</v>
      </c>
      <c r="U48" s="261">
        <f t="shared" ref="U48" si="14">U41+U34</f>
        <v>2.8999999999999998E-2</v>
      </c>
      <c r="V48" s="220">
        <f t="shared" ref="V48:W48" si="15">V41+V34</f>
        <v>3.9E-2</v>
      </c>
      <c r="W48" s="220">
        <f t="shared" si="15"/>
        <v>3.9E-2</v>
      </c>
      <c r="X48" s="249" t="s">
        <v>40</v>
      </c>
      <c r="Z48" s="10"/>
      <c r="AC48"/>
    </row>
    <row r="49" spans="2:29" ht="15.75" thickBot="1">
      <c r="B49" s="6" t="s">
        <v>95</v>
      </c>
      <c r="C49" s="7"/>
      <c r="D49" s="7"/>
      <c r="E49" s="7"/>
      <c r="H49" s="293"/>
      <c r="J49" s="294"/>
      <c r="K49" s="240"/>
      <c r="M49" s="241"/>
      <c r="N49" s="240"/>
      <c r="T49" s="241"/>
      <c r="U49" s="240"/>
      <c r="X49" s="241"/>
      <c r="Z49" s="10"/>
      <c r="AC49"/>
    </row>
    <row r="50" spans="2:29" ht="15.75" thickBot="1">
      <c r="B50" t="s">
        <v>98</v>
      </c>
      <c r="C50" s="1" t="s">
        <v>37</v>
      </c>
      <c r="G50" s="287" t="s">
        <v>121</v>
      </c>
      <c r="H50" s="296" t="s">
        <v>101</v>
      </c>
      <c r="I50" s="297" t="s">
        <v>102</v>
      </c>
      <c r="J50" s="298" t="s">
        <v>102</v>
      </c>
      <c r="K50" s="296" t="s">
        <v>101</v>
      </c>
      <c r="L50" s="297" t="s">
        <v>102</v>
      </c>
      <c r="M50" s="299" t="s">
        <v>103</v>
      </c>
      <c r="N50" s="300" t="s">
        <v>101</v>
      </c>
      <c r="O50" s="297" t="s">
        <v>102</v>
      </c>
      <c r="P50" s="301" t="s">
        <v>103</v>
      </c>
      <c r="Q50" s="302" t="s">
        <v>101</v>
      </c>
      <c r="R50" s="297" t="s">
        <v>102</v>
      </c>
      <c r="S50" s="303" t="s">
        <v>42</v>
      </c>
      <c r="T50" s="299" t="s">
        <v>103</v>
      </c>
      <c r="U50" s="300" t="s">
        <v>103</v>
      </c>
      <c r="V50" s="302" t="s">
        <v>103</v>
      </c>
      <c r="W50" s="302" t="s">
        <v>103</v>
      </c>
      <c r="X50" s="304" t="s">
        <v>42</v>
      </c>
      <c r="Z50" s="10"/>
      <c r="AC50"/>
    </row>
    <row r="51" spans="2:29">
      <c r="B51" t="s">
        <v>99</v>
      </c>
      <c r="C51" s="1" t="s">
        <v>37</v>
      </c>
      <c r="Z51" s="10"/>
      <c r="AC51"/>
    </row>
    <row r="52" spans="2:29">
      <c r="B52" t="s">
        <v>104</v>
      </c>
      <c r="C52" s="1" t="s">
        <v>38</v>
      </c>
      <c r="Z52" s="10"/>
      <c r="AC52"/>
    </row>
    <row r="53" spans="2:29">
      <c r="B53" t="s">
        <v>105</v>
      </c>
      <c r="C53" s="1" t="s">
        <v>38</v>
      </c>
      <c r="G53" s="47" t="s">
        <v>59</v>
      </c>
      <c r="Z53" s="10"/>
      <c r="AC53"/>
    </row>
    <row r="54" spans="2:29">
      <c r="G54" s="84" t="s">
        <v>60</v>
      </c>
      <c r="H54" s="10" t="s">
        <v>106</v>
      </c>
      <c r="Z54" s="10"/>
      <c r="AC54"/>
    </row>
    <row r="55" spans="2:29" ht="15.75" thickBot="1">
      <c r="G55" s="85" t="s">
        <v>61</v>
      </c>
      <c r="H55" s="10" t="s">
        <v>107</v>
      </c>
      <c r="Z55" s="10"/>
      <c r="AC55"/>
    </row>
    <row r="56" spans="2:29">
      <c r="H56" s="131" t="s">
        <v>108</v>
      </c>
      <c r="Z56" s="10"/>
      <c r="AC56"/>
    </row>
    <row r="57" spans="2:29">
      <c r="H57"/>
      <c r="Z57" s="10"/>
      <c r="AC57"/>
    </row>
    <row r="58" spans="2:29" ht="15" customHeight="1">
      <c r="H58"/>
      <c r="Z58" s="10"/>
      <c r="AC58"/>
    </row>
    <row r="59" spans="2:29" ht="15" customHeight="1">
      <c r="H59"/>
      <c r="Z59" s="10"/>
      <c r="AC59"/>
    </row>
    <row r="60" spans="2:29" ht="15" customHeight="1">
      <c r="H60"/>
      <c r="Z60" s="10"/>
      <c r="AC60"/>
    </row>
    <row r="61" spans="2:29" ht="15" customHeight="1">
      <c r="H61"/>
      <c r="Z61" s="10"/>
      <c r="AC61"/>
    </row>
    <row r="62" spans="2:29" ht="15" customHeight="1">
      <c r="H62"/>
      <c r="Z62" s="10"/>
      <c r="AC62"/>
    </row>
    <row r="63" spans="2:29" ht="15" customHeight="1">
      <c r="H63"/>
      <c r="Z63" s="10"/>
      <c r="AC63"/>
    </row>
    <row r="64" spans="2:29" ht="15" customHeight="1">
      <c r="H64"/>
      <c r="Z64" s="10"/>
      <c r="AC64"/>
    </row>
    <row r="65" spans="8:29" ht="15" customHeight="1">
      <c r="H65"/>
      <c r="Z65" s="10"/>
      <c r="AC65"/>
    </row>
    <row r="66" spans="8:29" ht="15" customHeight="1">
      <c r="H66"/>
      <c r="Z66" s="10"/>
      <c r="AC66"/>
    </row>
    <row r="67" spans="8:29" ht="15" customHeight="1">
      <c r="H67"/>
      <c r="Z67" s="10"/>
      <c r="AC67"/>
    </row>
    <row r="68" spans="8:29" ht="15" customHeight="1">
      <c r="H68"/>
      <c r="Z68" s="10"/>
      <c r="AC68"/>
    </row>
    <row r="69" spans="8:29" ht="15" customHeight="1">
      <c r="H69"/>
      <c r="Z69" s="10"/>
      <c r="AC69"/>
    </row>
    <row r="70" spans="8:29" ht="15" customHeight="1">
      <c r="Z70" s="10"/>
      <c r="AC70"/>
    </row>
    <row r="71" spans="8:29" ht="15" customHeight="1">
      <c r="Z71" s="10"/>
      <c r="AC71"/>
    </row>
    <row r="72" spans="8:29" ht="15" customHeight="1">
      <c r="Z72" s="10"/>
      <c r="AC72"/>
    </row>
    <row r="73" spans="8:29" ht="15" customHeight="1">
      <c r="Z73" s="10"/>
      <c r="AC73"/>
    </row>
    <row r="74" spans="8:29" ht="15" customHeight="1">
      <c r="Z74" s="10"/>
      <c r="AC74"/>
    </row>
    <row r="75" spans="8:29" ht="15" customHeight="1">
      <c r="Z75" s="10"/>
      <c r="AC75"/>
    </row>
    <row r="76" spans="8:29" ht="15" customHeight="1">
      <c r="Z76" s="10"/>
      <c r="AC76"/>
    </row>
    <row r="77" spans="8:29" ht="15" customHeight="1">
      <c r="Z77" s="10"/>
      <c r="AC77"/>
    </row>
    <row r="78" spans="8:29" ht="15" customHeight="1">
      <c r="Z78" s="10"/>
      <c r="AC78"/>
    </row>
    <row r="79" spans="8:29" ht="15" customHeight="1">
      <c r="Z79" s="10"/>
      <c r="AC79"/>
    </row>
    <row r="80" spans="8:29" ht="15" customHeight="1">
      <c r="Z80" s="10"/>
      <c r="AC80"/>
    </row>
    <row r="81" spans="26:29" ht="15" customHeight="1">
      <c r="Z81" s="10"/>
      <c r="AC81"/>
    </row>
    <row r="82" spans="26:29" ht="15" customHeight="1">
      <c r="Z82" s="10"/>
      <c r="AC82"/>
    </row>
    <row r="83" spans="26:29" ht="15" customHeight="1">
      <c r="Z83" s="10"/>
      <c r="AC83"/>
    </row>
    <row r="84" spans="26:29" ht="15" customHeight="1">
      <c r="Z84" s="10"/>
      <c r="AC84"/>
    </row>
    <row r="85" spans="26:29" ht="15" customHeight="1">
      <c r="Z85" s="10"/>
      <c r="AC85"/>
    </row>
    <row r="86" spans="26:29" ht="15" customHeight="1">
      <c r="Z86" s="10"/>
      <c r="AC86"/>
    </row>
    <row r="87" spans="26:29" ht="15" customHeight="1">
      <c r="Z87" s="10"/>
      <c r="AC87"/>
    </row>
    <row r="88" spans="26:29" ht="15" customHeight="1">
      <c r="Z88" s="10"/>
      <c r="AC88"/>
    </row>
    <row r="89" spans="26:29" ht="15" customHeight="1">
      <c r="Z89" s="10"/>
      <c r="AC89"/>
    </row>
    <row r="90" spans="26:29" ht="15" customHeight="1">
      <c r="Z90" s="10"/>
      <c r="AC90"/>
    </row>
    <row r="91" spans="26:29" ht="15" customHeight="1">
      <c r="Z91" s="10"/>
      <c r="AC91"/>
    </row>
    <row r="92" spans="26:29" ht="15" customHeight="1">
      <c r="Z92" s="10"/>
      <c r="AC92"/>
    </row>
    <row r="93" spans="26:29" ht="15" customHeight="1">
      <c r="Z93" s="10"/>
      <c r="AC93"/>
    </row>
    <row r="94" spans="26:29" ht="15" customHeight="1">
      <c r="Z94" s="10"/>
      <c r="AC94"/>
    </row>
    <row r="95" spans="26:29" ht="15" customHeight="1">
      <c r="Z95" s="10"/>
      <c r="AC95"/>
    </row>
    <row r="96" spans="26:29" ht="15" customHeight="1">
      <c r="Z96" s="10"/>
      <c r="AC96"/>
    </row>
    <row r="97" spans="26:29" ht="15" customHeight="1">
      <c r="Z97" s="10"/>
      <c r="AC97"/>
    </row>
    <row r="98" spans="26:29" ht="15" customHeight="1">
      <c r="Z98" s="10"/>
      <c r="AC98"/>
    </row>
    <row r="99" spans="26:29" ht="15" customHeight="1">
      <c r="Z99" s="10"/>
      <c r="AC99"/>
    </row>
    <row r="100" spans="26:29" ht="15" customHeight="1">
      <c r="Z100" s="10"/>
      <c r="AC100"/>
    </row>
    <row r="101" spans="26:29" ht="15" customHeight="1">
      <c r="Z101" s="10"/>
      <c r="AC101"/>
    </row>
    <row r="102" spans="26:29" ht="15" customHeight="1">
      <c r="Z102" s="10"/>
      <c r="AC102"/>
    </row>
    <row r="103" spans="26:29" ht="15" customHeight="1">
      <c r="Z103" s="10"/>
      <c r="AC103"/>
    </row>
    <row r="104" spans="26:29" ht="15" customHeight="1">
      <c r="Z104" s="10"/>
      <c r="AC104"/>
    </row>
    <row r="105" spans="26:29" ht="15" customHeight="1">
      <c r="Z105" s="10"/>
      <c r="AC105"/>
    </row>
    <row r="106" spans="26:29" ht="15" customHeight="1">
      <c r="Z106" s="10"/>
      <c r="AC106"/>
    </row>
    <row r="107" spans="26:29" ht="15" customHeight="1">
      <c r="Z107" s="10"/>
      <c r="AC107"/>
    </row>
    <row r="108" spans="26:29" ht="15" customHeight="1">
      <c r="Z108" s="10"/>
      <c r="AC108"/>
    </row>
    <row r="109" spans="26:29" ht="15" customHeight="1">
      <c r="Z109" s="10"/>
      <c r="AC109"/>
    </row>
    <row r="110" spans="26:29" ht="15" customHeight="1">
      <c r="Z110" s="10"/>
      <c r="AC110"/>
    </row>
    <row r="111" spans="26:29" ht="15" customHeight="1">
      <c r="Z111" s="10"/>
      <c r="AC111"/>
    </row>
    <row r="112" spans="26:29" ht="15" customHeight="1">
      <c r="Z112" s="10"/>
      <c r="AC112"/>
    </row>
    <row r="113" spans="26:29" ht="15" customHeight="1">
      <c r="Z113" s="10"/>
      <c r="AC113"/>
    </row>
    <row r="114" spans="26:29" ht="15" customHeight="1">
      <c r="Z114" s="10"/>
      <c r="AC114"/>
    </row>
  </sheetData>
  <phoneticPr fontId="7" type="noConversion"/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DEB9-D9D6-463B-BD73-4E0A5D711E32}">
  <dimension ref="A1:AH87"/>
  <sheetViews>
    <sheetView topLeftCell="A23" zoomScale="70" zoomScaleNormal="70" workbookViewId="0">
      <selection activeCell="C43" sqref="C43"/>
    </sheetView>
  </sheetViews>
  <sheetFormatPr defaultRowHeight="15" customHeight="1"/>
  <cols>
    <col min="1" max="1" width="7.140625" bestFit="1" customWidth="1"/>
    <col min="2" max="2" width="8.85546875" bestFit="1" customWidth="1"/>
    <col min="3" max="3" width="69.42578125" style="11" customWidth="1"/>
    <col min="4" max="4" width="18.140625" style="72" bestFit="1" customWidth="1"/>
    <col min="5" max="5" width="22.85546875" style="72" bestFit="1" customWidth="1"/>
    <col min="6" max="6" width="12.28515625" style="72" bestFit="1" customWidth="1"/>
    <col min="7" max="7" width="13" style="1" bestFit="1" customWidth="1"/>
    <col min="8" max="8" width="18" style="1" customWidth="1"/>
    <col min="9" max="9" width="17.5703125" style="1" bestFit="1" customWidth="1"/>
    <col min="10" max="10" width="22.42578125" style="1" bestFit="1" customWidth="1"/>
    <col min="11" max="11" width="14.85546875" style="1" bestFit="1" customWidth="1"/>
    <col min="12" max="12" width="19.42578125" style="1" bestFit="1" customWidth="1"/>
    <col min="13" max="13" width="24.5703125" style="1" customWidth="1"/>
    <col min="14" max="14" width="20.7109375" style="1" bestFit="1" customWidth="1"/>
    <col min="15" max="15" width="21.5703125" style="1" bestFit="1" customWidth="1"/>
    <col min="16" max="16" width="21.140625" style="1" bestFit="1" customWidth="1"/>
    <col min="17" max="17" width="12.42578125" style="72" bestFit="1" customWidth="1"/>
    <col min="18" max="18" width="16.140625" style="72" bestFit="1" customWidth="1"/>
    <col min="25" max="26" width="8.7109375" customWidth="1"/>
    <col min="27" max="27" width="8.7109375" style="1"/>
    <col min="30" max="30" width="38.5703125" bestFit="1" customWidth="1"/>
    <col min="31" max="32" width="21.5703125" bestFit="1" customWidth="1"/>
    <col min="33" max="33" width="12.140625" bestFit="1" customWidth="1"/>
    <col min="34" max="34" width="53.42578125" customWidth="1"/>
  </cols>
  <sheetData>
    <row r="1" spans="1:34">
      <c r="K1" s="74" t="s">
        <v>122</v>
      </c>
      <c r="L1" s="74" t="s">
        <v>123</v>
      </c>
      <c r="N1" s="74" t="s">
        <v>124</v>
      </c>
      <c r="O1" s="74" t="s">
        <v>125</v>
      </c>
      <c r="Y1" s="1">
        <f>SUM(Y3:Y10)</f>
        <v>20</v>
      </c>
      <c r="Z1" s="1">
        <f t="shared" ref="Z1:AA1" si="0">SUM(Z3:Z10)</f>
        <v>44</v>
      </c>
      <c r="AA1" s="1">
        <f t="shared" si="0"/>
        <v>64</v>
      </c>
    </row>
    <row r="2" spans="1:34" s="1" customFormat="1">
      <c r="A2" s="1" t="s">
        <v>126</v>
      </c>
      <c r="B2" s="1" t="s">
        <v>127</v>
      </c>
      <c r="C2" s="71" t="s">
        <v>128</v>
      </c>
      <c r="D2" s="71" t="s">
        <v>129</v>
      </c>
      <c r="E2" s="71" t="s">
        <v>130</v>
      </c>
      <c r="F2" s="71" t="s">
        <v>131</v>
      </c>
      <c r="G2" s="159" t="s">
        <v>132</v>
      </c>
      <c r="H2" s="159" t="s">
        <v>133</v>
      </c>
      <c r="I2" s="158" t="s">
        <v>134</v>
      </c>
      <c r="J2" s="2" t="s">
        <v>135</v>
      </c>
      <c r="K2" s="2" t="s">
        <v>136</v>
      </c>
      <c r="L2" s="2" t="s">
        <v>137</v>
      </c>
      <c r="M2" s="2" t="s">
        <v>138</v>
      </c>
      <c r="N2" s="2" t="s">
        <v>139</v>
      </c>
      <c r="O2" s="92" t="s">
        <v>140</v>
      </c>
      <c r="P2" s="92" t="s">
        <v>141</v>
      </c>
      <c r="Q2" s="71" t="s">
        <v>142</v>
      </c>
      <c r="R2" s="71" t="s">
        <v>143</v>
      </c>
      <c r="Y2" s="1" t="s">
        <v>144</v>
      </c>
      <c r="Z2" s="1" t="s">
        <v>145</v>
      </c>
      <c r="AA2" s="1" t="s">
        <v>146</v>
      </c>
      <c r="AD2" s="1" t="s">
        <v>147</v>
      </c>
      <c r="AE2" s="1" t="s">
        <v>148</v>
      </c>
      <c r="AF2" s="1" t="s">
        <v>149</v>
      </c>
      <c r="AG2" s="1" t="s">
        <v>150</v>
      </c>
      <c r="AH2" s="1" t="s">
        <v>151</v>
      </c>
    </row>
    <row r="3" spans="1:34">
      <c r="A3" s="1">
        <f>IF(_xlfn.IFNA(_xlfn.XLOOKUP(C3,[1]sheet1!$G:$G,[1]sheet1!$A:$A),_xlfn.XLOOKUP($C3&amp;"*",[1]sheet1!$D:$D,[1]sheet1!$A:$A,"Não encontrado",2))="Não Encontrado",LEFT(C3,5),_xlfn.IFNA(_xlfn.XLOOKUP(C3,[1]sheet1!$G:$G,[1]sheet1!$A:$A),_xlfn.XLOOKUP($C3&amp;"*",[1]sheet1!$D:$D,[1]sheet1!$A:$A,"Não encontrado",2)))</f>
        <v>29175</v>
      </c>
      <c r="B3" t="e">
        <f>IF(COUNTIF([1]sheet1!$G:$G,VLOOKUP(A3,[1]sheet1!$A:$G,25,0))=0,COUNTIF([1]sheet1!$C:$C,VLOOKUP(A3,[1]sheet1!$A:$C,3,0)),COUNTIF([1]sheet1!$G:$G,VLOOKUP(A3,[1]sheet1!$A:$G,25,0)))</f>
        <v>#VALUE!</v>
      </c>
      <c r="C3" s="70" t="s">
        <v>152</v>
      </c>
      <c r="D3" s="70" t="s">
        <v>153</v>
      </c>
      <c r="E3" s="70" t="s">
        <v>41</v>
      </c>
      <c r="F3" s="73" t="s">
        <v>154</v>
      </c>
      <c r="G3" s="1" t="s">
        <v>155</v>
      </c>
      <c r="I3" s="1" t="s">
        <v>155</v>
      </c>
      <c r="L3" s="1" t="s">
        <v>155</v>
      </c>
      <c r="O3" s="1" t="s">
        <v>155</v>
      </c>
      <c r="P3" s="1" t="s">
        <v>155</v>
      </c>
      <c r="Q3" s="73">
        <f>COUNTA(G3:M3)-COUNTA(O3:P3)</f>
        <v>1</v>
      </c>
      <c r="R3" s="73" t="str">
        <f>IF(Q3&gt;=$T$4,$U$4,IF(Q3&gt;=$T$3,$U$3,"Não Aplica"))</f>
        <v>Não Aplica</v>
      </c>
      <c r="T3">
        <v>5</v>
      </c>
      <c r="U3" t="s">
        <v>144</v>
      </c>
      <c r="X3" t="s">
        <v>154</v>
      </c>
      <c r="Y3" s="1">
        <f t="shared" ref="Y3:Z8" si="1">COUNTIFS($R:$R,Y$2,$F:$F,$X3)</f>
        <v>11</v>
      </c>
      <c r="Z3" s="1">
        <f t="shared" si="1"/>
        <v>16</v>
      </c>
      <c r="AA3" s="1">
        <f>SUM(Y3:Z3)</f>
        <v>27</v>
      </c>
      <c r="AB3" s="330" t="s">
        <v>156</v>
      </c>
    </row>
    <row r="4" spans="1:34">
      <c r="A4" s="1">
        <v>25767</v>
      </c>
      <c r="B4">
        <v>4</v>
      </c>
      <c r="C4" s="70" t="s">
        <v>157</v>
      </c>
      <c r="D4" s="70" t="s">
        <v>153</v>
      </c>
      <c r="E4" s="70" t="s">
        <v>41</v>
      </c>
      <c r="F4" s="73" t="s">
        <v>154</v>
      </c>
      <c r="G4" s="1" t="s">
        <v>155</v>
      </c>
      <c r="I4" s="1" t="s">
        <v>155</v>
      </c>
      <c r="J4" s="1" t="s">
        <v>155</v>
      </c>
      <c r="L4" s="1" t="s">
        <v>155</v>
      </c>
      <c r="P4" s="1" t="s">
        <v>155</v>
      </c>
      <c r="Q4" s="73">
        <f>COUNTA(G4:M4)-COUNTA(O4:P4)</f>
        <v>3</v>
      </c>
      <c r="R4" s="73" t="str">
        <f>IF(Q4&gt;=$T$4,$U$4,IF(Q4&gt;=$T$3,$U$3,"Não Aplica"))</f>
        <v>Não Aplica</v>
      </c>
      <c r="T4">
        <v>6</v>
      </c>
      <c r="U4" t="s">
        <v>145</v>
      </c>
      <c r="X4" t="s">
        <v>158</v>
      </c>
      <c r="Y4" s="1">
        <f t="shared" si="1"/>
        <v>5</v>
      </c>
      <c r="Z4" s="1">
        <f t="shared" si="1"/>
        <v>3</v>
      </c>
      <c r="AA4" s="1">
        <f t="shared" ref="AA4:AA5" si="2">SUM(Y4:Z4)</f>
        <v>8</v>
      </c>
    </row>
    <row r="5" spans="1:34">
      <c r="A5" s="1">
        <v>28699</v>
      </c>
      <c r="B5">
        <v>53</v>
      </c>
      <c r="C5" s="70" t="s">
        <v>159</v>
      </c>
      <c r="D5" s="70" t="s">
        <v>153</v>
      </c>
      <c r="E5" s="70" t="s">
        <v>41</v>
      </c>
      <c r="F5" s="73" t="s">
        <v>154</v>
      </c>
      <c r="G5" s="1" t="s">
        <v>155</v>
      </c>
      <c r="I5" s="1" t="s">
        <v>155</v>
      </c>
      <c r="L5" s="1" t="s">
        <v>155</v>
      </c>
      <c r="P5" s="1" t="s">
        <v>155</v>
      </c>
      <c r="Q5" s="73">
        <f>COUNTA(G5:M5)-COUNTA(O5:P5)</f>
        <v>2</v>
      </c>
      <c r="R5" s="73" t="str">
        <f>IF(Q5&gt;=$T$4,$U$4,IF(Q5&gt;=$T$3,$U$3,"Não Aplica"))</f>
        <v>Não Aplica</v>
      </c>
      <c r="X5" t="s">
        <v>160</v>
      </c>
      <c r="Y5" s="1">
        <f t="shared" si="1"/>
        <v>3</v>
      </c>
      <c r="Z5" s="1">
        <f t="shared" si="1"/>
        <v>17</v>
      </c>
      <c r="AA5" s="1">
        <f t="shared" si="2"/>
        <v>20</v>
      </c>
    </row>
    <row r="6" spans="1:34" ht="15.75">
      <c r="A6" s="1">
        <v>48193</v>
      </c>
      <c r="B6">
        <v>2</v>
      </c>
      <c r="C6" s="102" t="s">
        <v>161</v>
      </c>
      <c r="D6" s="102" t="s">
        <v>162</v>
      </c>
      <c r="E6" s="98" t="s">
        <v>163</v>
      </c>
      <c r="F6" s="109" t="s">
        <v>158</v>
      </c>
      <c r="G6" s="101" t="s">
        <v>155</v>
      </c>
      <c r="H6" s="101" t="s">
        <v>155</v>
      </c>
      <c r="I6" s="101" t="s">
        <v>155</v>
      </c>
      <c r="J6" s="101" t="s">
        <v>155</v>
      </c>
      <c r="K6" s="101" t="s">
        <v>155</v>
      </c>
      <c r="L6" s="101" t="s">
        <v>155</v>
      </c>
      <c r="M6" s="101" t="s">
        <v>155</v>
      </c>
      <c r="N6" s="101"/>
      <c r="O6" s="101"/>
      <c r="P6" s="101"/>
      <c r="Q6" s="73">
        <f t="shared" ref="Q6:Q11" si="3">COUNTA(G6:M6)-COUNTA(O6:P6)</f>
        <v>7</v>
      </c>
      <c r="R6" s="73" t="str">
        <f t="shared" ref="R6:R13" si="4">IF(Q6&gt;=$T$4,$U$4,IF(Q6&gt;=$T$3,$U$3,"Não Aplica"))</f>
        <v>Ouro</v>
      </c>
      <c r="X6" t="s">
        <v>164</v>
      </c>
      <c r="Y6" s="1">
        <f t="shared" si="1"/>
        <v>1</v>
      </c>
      <c r="Z6" s="1">
        <f t="shared" si="1"/>
        <v>3</v>
      </c>
      <c r="AA6" s="1">
        <f>SUM(Y6:Z6)</f>
        <v>4</v>
      </c>
      <c r="AF6" s="176" t="s">
        <v>165</v>
      </c>
      <c r="AG6" s="176" t="s">
        <v>166</v>
      </c>
      <c r="AH6" s="176" t="s">
        <v>167</v>
      </c>
    </row>
    <row r="7" spans="1:34" ht="15.75">
      <c r="A7" s="74">
        <v>35821</v>
      </c>
      <c r="B7">
        <v>2</v>
      </c>
      <c r="C7" s="102" t="s">
        <v>168</v>
      </c>
      <c r="D7" s="102" t="s">
        <v>162</v>
      </c>
      <c r="E7" s="98" t="s">
        <v>169</v>
      </c>
      <c r="F7" s="109" t="s">
        <v>158</v>
      </c>
      <c r="G7" s="101" t="s">
        <v>155</v>
      </c>
      <c r="H7" s="101" t="s">
        <v>155</v>
      </c>
      <c r="I7" s="101" t="s">
        <v>155</v>
      </c>
      <c r="J7" s="101" t="s">
        <v>155</v>
      </c>
      <c r="K7" s="101" t="s">
        <v>155</v>
      </c>
      <c r="L7" s="101"/>
      <c r="M7" s="101"/>
      <c r="N7" s="101"/>
      <c r="O7" s="101"/>
      <c r="P7" s="101"/>
      <c r="Q7" s="73">
        <f t="shared" si="3"/>
        <v>5</v>
      </c>
      <c r="R7" s="73" t="str">
        <f t="shared" si="4"/>
        <v>Prata</v>
      </c>
      <c r="X7" t="s">
        <v>170</v>
      </c>
      <c r="Y7" s="1">
        <f t="shared" si="1"/>
        <v>0</v>
      </c>
      <c r="Z7" s="1">
        <f t="shared" si="1"/>
        <v>4</v>
      </c>
      <c r="AA7" s="1">
        <f>SUM(Y7:Z7)</f>
        <v>4</v>
      </c>
      <c r="AF7" s="176" t="s">
        <v>171</v>
      </c>
      <c r="AG7" s="176" t="s">
        <v>172</v>
      </c>
      <c r="AH7" s="176" t="s">
        <v>173</v>
      </c>
    </row>
    <row r="8" spans="1:34" ht="15.75">
      <c r="A8" s="1">
        <v>30275</v>
      </c>
      <c r="B8">
        <v>5</v>
      </c>
      <c r="C8" s="102" t="s">
        <v>174</v>
      </c>
      <c r="D8" s="102" t="s">
        <v>162</v>
      </c>
      <c r="E8" s="98" t="s">
        <v>175</v>
      </c>
      <c r="F8" s="109" t="s">
        <v>158</v>
      </c>
      <c r="G8" s="101" t="s">
        <v>155</v>
      </c>
      <c r="H8" s="101"/>
      <c r="I8" s="101" t="s">
        <v>155</v>
      </c>
      <c r="J8" s="101" t="s">
        <v>155</v>
      </c>
      <c r="K8" s="101"/>
      <c r="L8" s="101" t="s">
        <v>155</v>
      </c>
      <c r="M8" s="101" t="s">
        <v>155</v>
      </c>
      <c r="N8" s="101"/>
      <c r="O8" s="101"/>
      <c r="P8" s="101"/>
      <c r="Q8" s="73">
        <f t="shared" si="3"/>
        <v>5</v>
      </c>
      <c r="R8" s="73" t="str">
        <f t="shared" si="4"/>
        <v>Prata</v>
      </c>
      <c r="X8" t="s">
        <v>176</v>
      </c>
      <c r="Y8" s="1">
        <f t="shared" si="1"/>
        <v>0</v>
      </c>
      <c r="Z8" s="1">
        <f t="shared" si="1"/>
        <v>1</v>
      </c>
      <c r="AA8" s="1">
        <f>SUM(Y8:Z8)</f>
        <v>1</v>
      </c>
      <c r="AF8" s="176" t="s">
        <v>177</v>
      </c>
      <c r="AG8" s="176" t="s">
        <v>178</v>
      </c>
      <c r="AH8" s="176" t="s">
        <v>179</v>
      </c>
    </row>
    <row r="9" spans="1:34" ht="15.75">
      <c r="A9" s="1">
        <v>54660</v>
      </c>
      <c r="B9">
        <v>1</v>
      </c>
      <c r="C9" s="102" t="s">
        <v>180</v>
      </c>
      <c r="D9" s="102" t="s">
        <v>162</v>
      </c>
      <c r="E9" s="98" t="s">
        <v>181</v>
      </c>
      <c r="F9" s="109" t="s">
        <v>158</v>
      </c>
      <c r="G9" s="101" t="s">
        <v>155</v>
      </c>
      <c r="H9" s="101" t="s">
        <v>155</v>
      </c>
      <c r="I9" s="101" t="s">
        <v>155</v>
      </c>
      <c r="J9" s="101" t="s">
        <v>155</v>
      </c>
      <c r="K9" s="101"/>
      <c r="L9" s="101" t="s">
        <v>155</v>
      </c>
      <c r="M9" s="101" t="s">
        <v>155</v>
      </c>
      <c r="N9" s="101"/>
      <c r="O9" s="101"/>
      <c r="P9" s="101"/>
      <c r="Q9" s="73">
        <f t="shared" si="3"/>
        <v>6</v>
      </c>
      <c r="R9" s="73" t="str">
        <f t="shared" si="4"/>
        <v>Ouro</v>
      </c>
      <c r="AF9" s="176" t="s">
        <v>182</v>
      </c>
      <c r="AG9" s="176" t="s">
        <v>183</v>
      </c>
      <c r="AH9" s="176" t="s">
        <v>184</v>
      </c>
    </row>
    <row r="10" spans="1:34" ht="15.75">
      <c r="A10" s="1">
        <v>30960</v>
      </c>
      <c r="B10">
        <v>1</v>
      </c>
      <c r="C10" s="102" t="s">
        <v>185</v>
      </c>
      <c r="D10" s="102" t="s">
        <v>162</v>
      </c>
      <c r="E10" s="98" t="s">
        <v>186</v>
      </c>
      <c r="F10" s="109" t="s">
        <v>158</v>
      </c>
      <c r="G10" s="101" t="s">
        <v>155</v>
      </c>
      <c r="H10" s="101"/>
      <c r="I10" s="101" t="s">
        <v>155</v>
      </c>
      <c r="J10" s="101" t="s">
        <v>155</v>
      </c>
      <c r="K10" s="101"/>
      <c r="L10" s="101" t="s">
        <v>155</v>
      </c>
      <c r="M10" s="101" t="s">
        <v>155</v>
      </c>
      <c r="N10" s="101"/>
      <c r="O10" s="101"/>
      <c r="P10" s="101"/>
      <c r="Q10" s="73">
        <f t="shared" si="3"/>
        <v>5</v>
      </c>
      <c r="R10" s="73" t="str">
        <f t="shared" si="4"/>
        <v>Prata</v>
      </c>
      <c r="AF10" s="176" t="s">
        <v>187</v>
      </c>
      <c r="AG10" s="176" t="s">
        <v>188</v>
      </c>
      <c r="AH10" s="176" t="s">
        <v>189</v>
      </c>
    </row>
    <row r="11" spans="1:34" ht="15.75">
      <c r="A11" s="1">
        <v>44852</v>
      </c>
      <c r="B11">
        <v>1</v>
      </c>
      <c r="C11" s="102" t="s">
        <v>190</v>
      </c>
      <c r="D11" s="102" t="s">
        <v>162</v>
      </c>
      <c r="E11" s="98" t="s">
        <v>191</v>
      </c>
      <c r="F11" s="109" t="s">
        <v>158</v>
      </c>
      <c r="G11" s="101" t="s">
        <v>155</v>
      </c>
      <c r="H11" s="101" t="s">
        <v>155</v>
      </c>
      <c r="I11" s="101" t="s">
        <v>155</v>
      </c>
      <c r="J11" s="101" t="s">
        <v>155</v>
      </c>
      <c r="K11" s="101" t="s">
        <v>155</v>
      </c>
      <c r="L11" s="101" t="s">
        <v>155</v>
      </c>
      <c r="M11" s="101" t="s">
        <v>155</v>
      </c>
      <c r="N11" s="101"/>
      <c r="O11" s="101"/>
      <c r="P11" s="101"/>
      <c r="Q11" s="73">
        <f t="shared" si="3"/>
        <v>7</v>
      </c>
      <c r="R11" s="73" t="str">
        <f t="shared" si="4"/>
        <v>Ouro</v>
      </c>
      <c r="AF11" s="176" t="s">
        <v>192</v>
      </c>
      <c r="AG11" s="176" t="s">
        <v>193</v>
      </c>
      <c r="AH11" s="176" t="s">
        <v>194</v>
      </c>
    </row>
    <row r="12" spans="1:34" ht="30.75">
      <c r="A12" s="1">
        <v>49397</v>
      </c>
      <c r="B12">
        <v>1</v>
      </c>
      <c r="C12" s="102" t="s">
        <v>195</v>
      </c>
      <c r="D12" s="102" t="s">
        <v>162</v>
      </c>
      <c r="E12" s="98" t="s">
        <v>196</v>
      </c>
      <c r="F12" s="109" t="s">
        <v>158</v>
      </c>
      <c r="G12" s="101" t="s">
        <v>155</v>
      </c>
      <c r="H12" s="101"/>
      <c r="I12" s="101" t="s">
        <v>155</v>
      </c>
      <c r="J12" s="101" t="s">
        <v>155</v>
      </c>
      <c r="K12" s="101"/>
      <c r="L12" s="101" t="s">
        <v>155</v>
      </c>
      <c r="M12" s="101" t="s">
        <v>155</v>
      </c>
      <c r="N12" s="101"/>
      <c r="O12" s="101"/>
      <c r="P12" s="101"/>
      <c r="Q12" s="73">
        <f t="shared" ref="Q12:Q65" si="5">IF(N12="S",0,COUNTA(G12:M12)-COUNTA(O12:P12))</f>
        <v>5</v>
      </c>
      <c r="R12" s="73" t="str">
        <f t="shared" si="4"/>
        <v>Prata</v>
      </c>
      <c r="AF12" s="176" t="s">
        <v>197</v>
      </c>
      <c r="AG12" s="177" t="s">
        <v>198</v>
      </c>
      <c r="AH12" s="176" t="s">
        <v>199</v>
      </c>
    </row>
    <row r="13" spans="1:34" ht="15.75">
      <c r="A13" s="1">
        <v>29139</v>
      </c>
      <c r="B13">
        <v>1</v>
      </c>
      <c r="C13" s="102" t="s">
        <v>200</v>
      </c>
      <c r="D13" s="102" t="s">
        <v>162</v>
      </c>
      <c r="E13" s="98" t="s">
        <v>201</v>
      </c>
      <c r="F13" s="109" t="s">
        <v>158</v>
      </c>
      <c r="G13" s="101" t="s">
        <v>155</v>
      </c>
      <c r="H13" s="101"/>
      <c r="I13" s="101" t="s">
        <v>155</v>
      </c>
      <c r="J13" s="101" t="s">
        <v>155</v>
      </c>
      <c r="K13" s="101"/>
      <c r="L13" s="101" t="s">
        <v>155</v>
      </c>
      <c r="M13" s="101" t="s">
        <v>155</v>
      </c>
      <c r="N13" s="101"/>
      <c r="O13" s="101"/>
      <c r="P13" s="101"/>
      <c r="Q13" s="73">
        <f t="shared" si="5"/>
        <v>5</v>
      </c>
      <c r="R13" s="73" t="str">
        <f t="shared" si="4"/>
        <v>Prata</v>
      </c>
      <c r="AF13" s="176" t="s">
        <v>202</v>
      </c>
      <c r="AG13" s="176" t="s">
        <v>203</v>
      </c>
      <c r="AH13" s="176" t="s">
        <v>204</v>
      </c>
    </row>
    <row r="14" spans="1:34" ht="15.75">
      <c r="A14" s="1">
        <v>31023</v>
      </c>
      <c r="B14">
        <v>1</v>
      </c>
      <c r="C14" s="99" t="s">
        <v>205</v>
      </c>
      <c r="D14" s="99" t="s">
        <v>206</v>
      </c>
      <c r="E14" s="100" t="s">
        <v>207</v>
      </c>
      <c r="F14" s="107" t="s">
        <v>154</v>
      </c>
      <c r="G14" s="101" t="s">
        <v>155</v>
      </c>
      <c r="H14" s="101" t="s">
        <v>155</v>
      </c>
      <c r="I14" s="101" t="s">
        <v>155</v>
      </c>
      <c r="J14" s="101" t="s">
        <v>155</v>
      </c>
      <c r="K14" s="101"/>
      <c r="L14" s="101" t="s">
        <v>155</v>
      </c>
      <c r="M14" s="101" t="s">
        <v>155</v>
      </c>
      <c r="N14" s="101"/>
      <c r="O14" s="101"/>
      <c r="P14" s="101"/>
      <c r="Q14" s="73">
        <f t="shared" si="5"/>
        <v>6</v>
      </c>
      <c r="R14" s="73" t="str">
        <f t="shared" ref="R14:R16" si="6">IF(Q14&gt;=$T$4,$U$4,IF(Q14&gt;=$T$3,$U$3,"Não Aplica"))</f>
        <v>Ouro</v>
      </c>
      <c r="AD14" s="165" t="s">
        <v>208</v>
      </c>
      <c r="AE14" t="s">
        <v>209</v>
      </c>
      <c r="AF14" s="176" t="s">
        <v>210</v>
      </c>
      <c r="AG14" s="176" t="s">
        <v>211</v>
      </c>
      <c r="AH14" s="165" t="s">
        <v>208</v>
      </c>
    </row>
    <row r="15" spans="1:34" ht="15.75">
      <c r="A15" s="1">
        <v>25963</v>
      </c>
      <c r="B15">
        <v>7</v>
      </c>
      <c r="C15" s="99" t="s">
        <v>212</v>
      </c>
      <c r="D15" s="99" t="s">
        <v>206</v>
      </c>
      <c r="E15" s="100" t="s">
        <v>213</v>
      </c>
      <c r="F15" s="107" t="s">
        <v>154</v>
      </c>
      <c r="G15" s="101" t="s">
        <v>155</v>
      </c>
      <c r="H15" s="101" t="s">
        <v>155</v>
      </c>
      <c r="I15" s="101" t="s">
        <v>155</v>
      </c>
      <c r="J15" s="101" t="s">
        <v>155</v>
      </c>
      <c r="K15" s="101" t="s">
        <v>155</v>
      </c>
      <c r="L15" s="101" t="s">
        <v>155</v>
      </c>
      <c r="M15" s="101" t="s">
        <v>155</v>
      </c>
      <c r="N15" s="101"/>
      <c r="O15" s="101"/>
      <c r="P15" s="101"/>
      <c r="Q15" s="73">
        <f t="shared" si="5"/>
        <v>7</v>
      </c>
      <c r="R15" s="73" t="str">
        <f t="shared" si="6"/>
        <v>Ouro</v>
      </c>
      <c r="AF15" s="176" t="s">
        <v>214</v>
      </c>
      <c r="AG15" s="176" t="s">
        <v>215</v>
      </c>
      <c r="AH15" s="176" t="s">
        <v>216</v>
      </c>
    </row>
    <row r="16" spans="1:34" ht="15.75">
      <c r="A16" s="1">
        <v>36095</v>
      </c>
      <c r="B16">
        <v>1</v>
      </c>
      <c r="C16" s="99" t="s">
        <v>217</v>
      </c>
      <c r="D16" s="99" t="s">
        <v>206</v>
      </c>
      <c r="E16" s="100" t="s">
        <v>207</v>
      </c>
      <c r="F16" s="107" t="s">
        <v>154</v>
      </c>
      <c r="G16" s="101" t="s">
        <v>155</v>
      </c>
      <c r="H16" s="101" t="s">
        <v>155</v>
      </c>
      <c r="I16" s="101" t="s">
        <v>155</v>
      </c>
      <c r="J16" s="101" t="s">
        <v>155</v>
      </c>
      <c r="K16" s="101"/>
      <c r="L16" s="101" t="s">
        <v>155</v>
      </c>
      <c r="M16" s="101"/>
      <c r="N16" s="101"/>
      <c r="O16" s="101"/>
      <c r="P16" s="101" t="s">
        <v>155</v>
      </c>
      <c r="Q16" s="73">
        <f t="shared" si="5"/>
        <v>4</v>
      </c>
      <c r="R16" s="73" t="str">
        <f t="shared" si="6"/>
        <v>Não Aplica</v>
      </c>
      <c r="AF16" s="176" t="s">
        <v>218</v>
      </c>
      <c r="AG16" s="176" t="s">
        <v>219</v>
      </c>
      <c r="AH16" s="165" t="s">
        <v>220</v>
      </c>
    </row>
    <row r="17" spans="1:34" ht="15.75">
      <c r="A17" s="1">
        <v>31603</v>
      </c>
      <c r="B17">
        <v>1</v>
      </c>
      <c r="C17" s="103" t="s">
        <v>221</v>
      </c>
      <c r="D17" s="99" t="s">
        <v>206</v>
      </c>
      <c r="E17" s="104" t="s">
        <v>222</v>
      </c>
      <c r="F17" s="110" t="s">
        <v>154</v>
      </c>
      <c r="G17" s="101" t="s">
        <v>155</v>
      </c>
      <c r="H17" s="101"/>
      <c r="I17" s="101" t="s">
        <v>155</v>
      </c>
      <c r="J17" s="101" t="s">
        <v>155</v>
      </c>
      <c r="K17" s="101" t="s">
        <v>223</v>
      </c>
      <c r="L17" s="101" t="s">
        <v>155</v>
      </c>
      <c r="M17" s="101" t="s">
        <v>155</v>
      </c>
      <c r="N17" s="101"/>
      <c r="O17" s="101"/>
      <c r="P17" s="101" t="s">
        <v>155</v>
      </c>
      <c r="Q17" s="73">
        <f t="shared" si="5"/>
        <v>5</v>
      </c>
      <c r="R17" s="73" t="str">
        <f t="shared" ref="R17:R39" si="7">IF(Q17&gt;=$T$4,$U$4,IF(Q17&gt;=$T$3,$U$3,"Não Aplica"))</f>
        <v>Prata</v>
      </c>
      <c r="AD17" t="s">
        <v>224</v>
      </c>
      <c r="AE17" t="s">
        <v>225</v>
      </c>
      <c r="AF17" s="176" t="s">
        <v>226</v>
      </c>
      <c r="AG17" s="176" t="s">
        <v>227</v>
      </c>
      <c r="AH17" s="165" t="s">
        <v>224</v>
      </c>
    </row>
    <row r="18" spans="1:34" ht="15.75">
      <c r="A18" s="1">
        <v>37990</v>
      </c>
      <c r="B18">
        <v>1</v>
      </c>
      <c r="C18" s="99" t="s">
        <v>228</v>
      </c>
      <c r="D18" s="99" t="s">
        <v>206</v>
      </c>
      <c r="E18" s="100" t="s">
        <v>222</v>
      </c>
      <c r="F18" s="107" t="s">
        <v>154</v>
      </c>
      <c r="G18" s="101" t="s">
        <v>155</v>
      </c>
      <c r="H18" s="101" t="s">
        <v>155</v>
      </c>
      <c r="I18" s="101" t="s">
        <v>155</v>
      </c>
      <c r="J18" s="101" t="s">
        <v>155</v>
      </c>
      <c r="K18" s="101" t="s">
        <v>223</v>
      </c>
      <c r="L18" s="101" t="s">
        <v>155</v>
      </c>
      <c r="M18" s="101" t="s">
        <v>155</v>
      </c>
      <c r="N18" s="101"/>
      <c r="O18" s="101"/>
      <c r="P18" s="101"/>
      <c r="Q18" s="73">
        <f t="shared" si="5"/>
        <v>7</v>
      </c>
      <c r="R18" s="73" t="str">
        <f t="shared" si="7"/>
        <v>Ouro</v>
      </c>
      <c r="AD18" t="s">
        <v>229</v>
      </c>
      <c r="AE18" t="s">
        <v>230</v>
      </c>
      <c r="AF18" s="176" t="s">
        <v>231</v>
      </c>
      <c r="AG18" s="176" t="s">
        <v>232</v>
      </c>
      <c r="AH18" s="165" t="s">
        <v>229</v>
      </c>
    </row>
    <row r="19" spans="1:34" ht="15.75">
      <c r="A19" s="1">
        <v>32052</v>
      </c>
      <c r="B19">
        <v>1</v>
      </c>
      <c r="C19" s="103" t="s">
        <v>233</v>
      </c>
      <c r="D19" s="99" t="s">
        <v>206</v>
      </c>
      <c r="E19" s="104" t="s">
        <v>234</v>
      </c>
      <c r="F19" s="110" t="s">
        <v>154</v>
      </c>
      <c r="G19" s="101" t="s">
        <v>155</v>
      </c>
      <c r="H19" s="101" t="s">
        <v>155</v>
      </c>
      <c r="I19" s="101" t="s">
        <v>155</v>
      </c>
      <c r="J19" s="101" t="s">
        <v>155</v>
      </c>
      <c r="K19" s="101" t="s">
        <v>223</v>
      </c>
      <c r="L19" s="101" t="s">
        <v>155</v>
      </c>
      <c r="M19" s="101"/>
      <c r="N19" s="101"/>
      <c r="O19" s="101"/>
      <c r="P19" s="101"/>
      <c r="Q19" s="73">
        <f t="shared" si="5"/>
        <v>6</v>
      </c>
      <c r="R19" s="73" t="str">
        <f t="shared" si="7"/>
        <v>Ouro</v>
      </c>
      <c r="AD19" t="s">
        <v>235</v>
      </c>
      <c r="AE19" t="s">
        <v>236</v>
      </c>
      <c r="AF19" s="176" t="s">
        <v>237</v>
      </c>
      <c r="AG19" s="176" t="s">
        <v>238</v>
      </c>
      <c r="AH19" s="165" t="s">
        <v>235</v>
      </c>
    </row>
    <row r="20" spans="1:34" ht="15.75">
      <c r="A20" s="74">
        <v>31396</v>
      </c>
      <c r="B20">
        <v>1</v>
      </c>
      <c r="C20" s="99" t="s">
        <v>239</v>
      </c>
      <c r="D20" s="99" t="s">
        <v>206</v>
      </c>
      <c r="E20" s="100" t="s">
        <v>234</v>
      </c>
      <c r="F20" s="107" t="s">
        <v>154</v>
      </c>
      <c r="G20" s="101" t="s">
        <v>155</v>
      </c>
      <c r="H20" s="101" t="s">
        <v>155</v>
      </c>
      <c r="I20" s="101" t="s">
        <v>155</v>
      </c>
      <c r="J20" s="101" t="s">
        <v>155</v>
      </c>
      <c r="K20" s="101" t="s">
        <v>223</v>
      </c>
      <c r="L20" s="101" t="s">
        <v>155</v>
      </c>
      <c r="M20" s="101" t="s">
        <v>155</v>
      </c>
      <c r="N20" s="101"/>
      <c r="O20" s="101"/>
      <c r="P20" s="101"/>
      <c r="Q20" s="73">
        <f t="shared" si="5"/>
        <v>7</v>
      </c>
      <c r="R20" s="73" t="str">
        <f t="shared" si="7"/>
        <v>Ouro</v>
      </c>
      <c r="AD20" t="s">
        <v>240</v>
      </c>
      <c r="AE20" t="s">
        <v>241</v>
      </c>
      <c r="AF20" s="176" t="s">
        <v>242</v>
      </c>
      <c r="AG20" s="176" t="s">
        <v>243</v>
      </c>
      <c r="AH20" s="176" t="s">
        <v>240</v>
      </c>
    </row>
    <row r="21" spans="1:34" ht="15.75">
      <c r="A21" s="1">
        <v>28742</v>
      </c>
      <c r="B21">
        <v>1</v>
      </c>
      <c r="C21" s="99" t="s">
        <v>244</v>
      </c>
      <c r="D21" s="99" t="s">
        <v>206</v>
      </c>
      <c r="E21" s="100" t="s">
        <v>245</v>
      </c>
      <c r="F21" s="107" t="s">
        <v>154</v>
      </c>
      <c r="G21" s="101" t="s">
        <v>155</v>
      </c>
      <c r="H21" s="101" t="s">
        <v>155</v>
      </c>
      <c r="I21" s="101" t="s">
        <v>155</v>
      </c>
      <c r="J21" s="101" t="s">
        <v>155</v>
      </c>
      <c r="K21" s="101"/>
      <c r="L21" s="101" t="s">
        <v>155</v>
      </c>
      <c r="M21" s="101" t="s">
        <v>155</v>
      </c>
      <c r="N21" s="101"/>
      <c r="O21" s="101"/>
      <c r="P21" s="101"/>
      <c r="Q21" s="73">
        <f t="shared" ref="Q21:Q26" si="8">COUNTA(G21:M21)-COUNTA(O21:P21)</f>
        <v>6</v>
      </c>
      <c r="R21" s="73" t="str">
        <f t="shared" ref="R21:R26" si="9">IF(Q21&gt;=$T$4,$U$4,IF(Q21&gt;=$T$3,$U$3,"Não Aplica"))</f>
        <v>Ouro</v>
      </c>
      <c r="AF21" s="175" t="s">
        <v>246</v>
      </c>
      <c r="AG21" s="175" t="s">
        <v>247</v>
      </c>
      <c r="AH21" s="176" t="s">
        <v>248</v>
      </c>
    </row>
    <row r="22" spans="1:34" ht="15.75">
      <c r="A22" s="1">
        <v>47374</v>
      </c>
      <c r="B22">
        <v>1</v>
      </c>
      <c r="C22" s="99" t="s">
        <v>249</v>
      </c>
      <c r="D22" s="99" t="s">
        <v>206</v>
      </c>
      <c r="E22" s="100" t="s">
        <v>250</v>
      </c>
      <c r="F22" s="107" t="s">
        <v>154</v>
      </c>
      <c r="G22" s="101" t="s">
        <v>155</v>
      </c>
      <c r="H22" s="101" t="s">
        <v>155</v>
      </c>
      <c r="I22" s="101" t="s">
        <v>155</v>
      </c>
      <c r="J22" s="101" t="s">
        <v>155</v>
      </c>
      <c r="K22" s="101" t="s">
        <v>155</v>
      </c>
      <c r="L22" s="101" t="s">
        <v>155</v>
      </c>
      <c r="M22" s="101" t="s">
        <v>155</v>
      </c>
      <c r="N22" s="101"/>
      <c r="O22" s="101"/>
      <c r="P22" s="101"/>
      <c r="Q22" s="73">
        <f t="shared" si="8"/>
        <v>7</v>
      </c>
      <c r="R22" s="73" t="str">
        <f t="shared" si="9"/>
        <v>Ouro</v>
      </c>
      <c r="AF22" s="176" t="s">
        <v>251</v>
      </c>
      <c r="AG22" s="176" t="s">
        <v>252</v>
      </c>
      <c r="AH22" s="165" t="s">
        <v>253</v>
      </c>
    </row>
    <row r="23" spans="1:34" ht="15.75">
      <c r="A23" s="1">
        <v>37662</v>
      </c>
      <c r="B23">
        <v>1</v>
      </c>
      <c r="C23" s="99" t="s">
        <v>254</v>
      </c>
      <c r="D23" s="99" t="s">
        <v>206</v>
      </c>
      <c r="E23" s="100" t="s">
        <v>255</v>
      </c>
      <c r="F23" s="107" t="s">
        <v>154</v>
      </c>
      <c r="G23" s="101" t="s">
        <v>155</v>
      </c>
      <c r="H23" s="101" t="s">
        <v>155</v>
      </c>
      <c r="I23" s="101" t="s">
        <v>155</v>
      </c>
      <c r="J23" s="101" t="s">
        <v>155</v>
      </c>
      <c r="K23" s="101" t="s">
        <v>155</v>
      </c>
      <c r="L23" s="101" t="s">
        <v>155</v>
      </c>
      <c r="M23" s="101" t="s">
        <v>155</v>
      </c>
      <c r="N23" s="101"/>
      <c r="O23" s="101"/>
      <c r="P23" s="101"/>
      <c r="Q23" s="73">
        <f t="shared" si="8"/>
        <v>7</v>
      </c>
      <c r="R23" s="73" t="str">
        <f t="shared" si="9"/>
        <v>Ouro</v>
      </c>
      <c r="AF23" s="176" t="s">
        <v>256</v>
      </c>
      <c r="AG23" s="176" t="s">
        <v>257</v>
      </c>
      <c r="AH23" s="176" t="s">
        <v>258</v>
      </c>
    </row>
    <row r="24" spans="1:34" ht="15.75">
      <c r="A24" s="1">
        <v>28966</v>
      </c>
      <c r="B24">
        <v>1</v>
      </c>
      <c r="C24" s="99" t="s">
        <v>259</v>
      </c>
      <c r="D24" s="99" t="s">
        <v>206</v>
      </c>
      <c r="E24" s="100" t="s">
        <v>260</v>
      </c>
      <c r="F24" s="107" t="s">
        <v>154</v>
      </c>
      <c r="G24" s="101" t="s">
        <v>155</v>
      </c>
      <c r="H24" s="101" t="s">
        <v>155</v>
      </c>
      <c r="I24" s="101" t="s">
        <v>155</v>
      </c>
      <c r="J24" s="101" t="s">
        <v>155</v>
      </c>
      <c r="K24" s="101"/>
      <c r="L24" s="101" t="s">
        <v>155</v>
      </c>
      <c r="M24" s="101" t="s">
        <v>155</v>
      </c>
      <c r="N24" s="101"/>
      <c r="O24" s="101"/>
      <c r="P24" s="101" t="s">
        <v>155</v>
      </c>
      <c r="Q24" s="73">
        <f t="shared" si="8"/>
        <v>5</v>
      </c>
      <c r="R24" s="73" t="str">
        <f t="shared" si="9"/>
        <v>Prata</v>
      </c>
      <c r="AF24" s="176" t="s">
        <v>261</v>
      </c>
      <c r="AG24" s="176" t="s">
        <v>262</v>
      </c>
      <c r="AH24" s="176" t="s">
        <v>263</v>
      </c>
    </row>
    <row r="25" spans="1:34" ht="15.75">
      <c r="A25" s="1">
        <v>28948</v>
      </c>
      <c r="B25">
        <v>1</v>
      </c>
      <c r="C25" s="99" t="s">
        <v>264</v>
      </c>
      <c r="D25" s="99" t="s">
        <v>206</v>
      </c>
      <c r="E25" s="100" t="s">
        <v>265</v>
      </c>
      <c r="F25" s="107" t="s">
        <v>154</v>
      </c>
      <c r="G25" s="101" t="s">
        <v>155</v>
      </c>
      <c r="H25" s="101" t="s">
        <v>155</v>
      </c>
      <c r="I25" s="101" t="s">
        <v>155</v>
      </c>
      <c r="J25" s="101" t="s">
        <v>155</v>
      </c>
      <c r="K25" s="101"/>
      <c r="L25" s="101" t="s">
        <v>155</v>
      </c>
      <c r="M25" s="101" t="s">
        <v>155</v>
      </c>
      <c r="N25" s="101"/>
      <c r="O25" s="101"/>
      <c r="P25" s="101" t="s">
        <v>155</v>
      </c>
      <c r="Q25" s="73">
        <f t="shared" si="8"/>
        <v>5</v>
      </c>
      <c r="R25" s="73" t="str">
        <f t="shared" si="9"/>
        <v>Prata</v>
      </c>
      <c r="AF25" s="176" t="s">
        <v>266</v>
      </c>
      <c r="AG25" s="176" t="s">
        <v>267</v>
      </c>
      <c r="AH25" s="176" t="s">
        <v>268</v>
      </c>
    </row>
    <row r="26" spans="1:34" ht="15.75">
      <c r="A26" s="1">
        <v>45298</v>
      </c>
      <c r="B26">
        <v>1</v>
      </c>
      <c r="C26" s="106" t="s">
        <v>269</v>
      </c>
      <c r="D26" s="99" t="s">
        <v>206</v>
      </c>
      <c r="E26" s="105" t="s">
        <v>250</v>
      </c>
      <c r="F26" s="107" t="s">
        <v>154</v>
      </c>
      <c r="G26" s="1" t="s">
        <v>155</v>
      </c>
      <c r="H26" s="1" t="s">
        <v>155</v>
      </c>
      <c r="I26" s="1" t="s">
        <v>155</v>
      </c>
      <c r="K26" s="1" t="s">
        <v>155</v>
      </c>
      <c r="L26" s="1" t="s">
        <v>155</v>
      </c>
      <c r="M26" s="1" t="s">
        <v>155</v>
      </c>
      <c r="O26" s="101"/>
      <c r="P26" s="101" t="s">
        <v>155</v>
      </c>
      <c r="Q26" s="73">
        <f t="shared" si="8"/>
        <v>5</v>
      </c>
      <c r="R26" s="73" t="str">
        <f t="shared" si="9"/>
        <v>Prata</v>
      </c>
      <c r="AF26" s="176" t="s">
        <v>270</v>
      </c>
      <c r="AG26" s="176" t="s">
        <v>271</v>
      </c>
      <c r="AH26" s="176" t="s">
        <v>272</v>
      </c>
    </row>
    <row r="27" spans="1:34" ht="15.75">
      <c r="A27" s="1">
        <v>37018</v>
      </c>
      <c r="B27">
        <v>1</v>
      </c>
      <c r="C27" s="118" t="s">
        <v>273</v>
      </c>
      <c r="D27" s="118" t="s">
        <v>274</v>
      </c>
      <c r="E27" s="11" t="s">
        <v>275</v>
      </c>
      <c r="F27" s="72" t="s">
        <v>164</v>
      </c>
      <c r="G27" s="1" t="s">
        <v>155</v>
      </c>
      <c r="H27" s="1" t="s">
        <v>155</v>
      </c>
      <c r="I27" s="1" t="s">
        <v>155</v>
      </c>
      <c r="J27" s="1" t="s">
        <v>155</v>
      </c>
      <c r="K27" s="1" t="s">
        <v>155</v>
      </c>
      <c r="M27" s="1" t="s">
        <v>155</v>
      </c>
      <c r="Q27" s="73">
        <f t="shared" si="5"/>
        <v>6</v>
      </c>
      <c r="R27" s="73" t="str">
        <f t="shared" si="7"/>
        <v>Ouro</v>
      </c>
      <c r="AF27" s="176" t="s">
        <v>276</v>
      </c>
      <c r="AG27" s="176" t="s">
        <v>277</v>
      </c>
      <c r="AH27" s="165" t="s">
        <v>278</v>
      </c>
    </row>
    <row r="28" spans="1:34" ht="15.75">
      <c r="A28" s="74">
        <v>49308</v>
      </c>
      <c r="B28">
        <v>2</v>
      </c>
      <c r="C28" s="118" t="s">
        <v>279</v>
      </c>
      <c r="D28" s="118" t="s">
        <v>274</v>
      </c>
      <c r="E28" s="11" t="s">
        <v>280</v>
      </c>
      <c r="F28" s="72" t="s">
        <v>164</v>
      </c>
      <c r="G28" s="1" t="s">
        <v>155</v>
      </c>
      <c r="H28" s="1" t="s">
        <v>155</v>
      </c>
      <c r="I28" s="1" t="s">
        <v>155</v>
      </c>
      <c r="J28" s="1" t="s">
        <v>155</v>
      </c>
      <c r="Q28" s="73">
        <f t="shared" si="5"/>
        <v>4</v>
      </c>
      <c r="R28" s="73" t="str">
        <f t="shared" si="7"/>
        <v>Não Aplica</v>
      </c>
      <c r="AF28" s="176" t="s">
        <v>281</v>
      </c>
      <c r="AG28" s="176" t="s">
        <v>282</v>
      </c>
      <c r="AH28" s="165" t="s">
        <v>283</v>
      </c>
    </row>
    <row r="29" spans="1:34" ht="15.75">
      <c r="A29" s="74">
        <v>27087</v>
      </c>
      <c r="B29">
        <v>2</v>
      </c>
      <c r="C29" s="121" t="s">
        <v>284</v>
      </c>
      <c r="D29" s="121" t="s">
        <v>285</v>
      </c>
      <c r="E29" s="119" t="s">
        <v>286</v>
      </c>
      <c r="F29" s="120" t="s">
        <v>154</v>
      </c>
      <c r="G29" s="1" t="s">
        <v>155</v>
      </c>
      <c r="H29" s="1" t="s">
        <v>155</v>
      </c>
      <c r="I29" s="1" t="s">
        <v>155</v>
      </c>
      <c r="J29" s="1" t="s">
        <v>155</v>
      </c>
      <c r="K29" s="1" t="s">
        <v>155</v>
      </c>
      <c r="M29" s="1" t="s">
        <v>155</v>
      </c>
      <c r="P29" s="1" t="s">
        <v>155</v>
      </c>
      <c r="Q29" s="73">
        <f t="shared" si="5"/>
        <v>5</v>
      </c>
      <c r="R29" s="73" t="str">
        <f t="shared" si="7"/>
        <v>Prata</v>
      </c>
      <c r="AD29" s="165" t="s">
        <v>287</v>
      </c>
      <c r="AE29" t="s">
        <v>288</v>
      </c>
      <c r="AF29" s="176" t="s">
        <v>289</v>
      </c>
      <c r="AG29" s="176" t="s">
        <v>290</v>
      </c>
      <c r="AH29" s="165" t="s">
        <v>287</v>
      </c>
    </row>
    <row r="30" spans="1:34" ht="15.75">
      <c r="A30" s="1">
        <v>30601</v>
      </c>
      <c r="B30">
        <v>1</v>
      </c>
      <c r="C30" s="121" t="s">
        <v>291</v>
      </c>
      <c r="D30" s="121" t="s">
        <v>285</v>
      </c>
      <c r="E30" s="119" t="s">
        <v>292</v>
      </c>
      <c r="F30" s="120" t="s">
        <v>154</v>
      </c>
      <c r="G30" s="1" t="s">
        <v>155</v>
      </c>
      <c r="H30" s="1" t="s">
        <v>155</v>
      </c>
      <c r="I30" s="1" t="s">
        <v>155</v>
      </c>
      <c r="J30" s="1" t="s">
        <v>155</v>
      </c>
      <c r="K30" s="1" t="s">
        <v>155</v>
      </c>
      <c r="L30" s="1" t="s">
        <v>155</v>
      </c>
      <c r="M30" s="1" t="s">
        <v>155</v>
      </c>
      <c r="Q30" s="73">
        <f t="shared" si="5"/>
        <v>7</v>
      </c>
      <c r="R30" s="73" t="str">
        <f t="shared" si="7"/>
        <v>Ouro</v>
      </c>
      <c r="AD30" s="165" t="s">
        <v>293</v>
      </c>
      <c r="AE30" t="s">
        <v>294</v>
      </c>
      <c r="AF30" s="176" t="s">
        <v>295</v>
      </c>
      <c r="AG30" s="176" t="s">
        <v>296</v>
      </c>
      <c r="AH30" s="165" t="s">
        <v>293</v>
      </c>
    </row>
    <row r="31" spans="1:34" ht="15.75">
      <c r="A31" s="1">
        <v>25918</v>
      </c>
      <c r="B31">
        <v>5</v>
      </c>
      <c r="C31" s="121" t="s">
        <v>297</v>
      </c>
      <c r="D31" s="121" t="s">
        <v>285</v>
      </c>
      <c r="E31" s="119" t="s">
        <v>298</v>
      </c>
      <c r="F31" s="120" t="s">
        <v>154</v>
      </c>
      <c r="G31" s="1" t="s">
        <v>155</v>
      </c>
      <c r="H31" s="1" t="s">
        <v>155</v>
      </c>
      <c r="I31" s="1" t="s">
        <v>155</v>
      </c>
      <c r="J31" s="1" t="s">
        <v>155</v>
      </c>
      <c r="L31" s="1" t="s">
        <v>155</v>
      </c>
      <c r="M31" s="1" t="s">
        <v>155</v>
      </c>
      <c r="P31" s="1" t="s">
        <v>155</v>
      </c>
      <c r="Q31" s="73">
        <f t="shared" si="5"/>
        <v>5</v>
      </c>
      <c r="R31" s="73" t="str">
        <f t="shared" si="7"/>
        <v>Prata</v>
      </c>
      <c r="AD31" s="165" t="s">
        <v>299</v>
      </c>
      <c r="AE31" t="s">
        <v>300</v>
      </c>
      <c r="AF31" s="176" t="s">
        <v>301</v>
      </c>
      <c r="AG31" s="176" t="s">
        <v>302</v>
      </c>
      <c r="AH31" s="165" t="s">
        <v>299</v>
      </c>
    </row>
    <row r="32" spans="1:34" ht="15.75">
      <c r="A32" s="1">
        <v>36172</v>
      </c>
      <c r="B32">
        <v>1</v>
      </c>
      <c r="C32" s="121" t="s">
        <v>303</v>
      </c>
      <c r="D32" s="121" t="s">
        <v>285</v>
      </c>
      <c r="E32" s="119" t="s">
        <v>304</v>
      </c>
      <c r="F32" s="120" t="s">
        <v>154</v>
      </c>
      <c r="G32" s="1" t="s">
        <v>155</v>
      </c>
      <c r="H32" s="1" t="s">
        <v>155</v>
      </c>
      <c r="I32" s="1" t="s">
        <v>155</v>
      </c>
      <c r="J32" s="1" t="s">
        <v>155</v>
      </c>
      <c r="K32" s="1" t="s">
        <v>155</v>
      </c>
      <c r="L32" s="1" t="s">
        <v>155</v>
      </c>
      <c r="M32" s="1" t="s">
        <v>155</v>
      </c>
      <c r="Q32" s="73">
        <f t="shared" si="5"/>
        <v>7</v>
      </c>
      <c r="R32" s="73" t="str">
        <f t="shared" si="7"/>
        <v>Ouro</v>
      </c>
      <c r="AF32" s="176" t="s">
        <v>305</v>
      </c>
      <c r="AG32" s="176" t="s">
        <v>306</v>
      </c>
      <c r="AH32" s="176" t="s">
        <v>307</v>
      </c>
    </row>
    <row r="33" spans="1:34" ht="15.75">
      <c r="A33" s="1">
        <v>42863</v>
      </c>
      <c r="B33">
        <v>3</v>
      </c>
      <c r="C33" s="121" t="s">
        <v>308</v>
      </c>
      <c r="D33" s="121" t="s">
        <v>285</v>
      </c>
      <c r="E33" s="119" t="s">
        <v>309</v>
      </c>
      <c r="F33" s="120" t="s">
        <v>164</v>
      </c>
      <c r="G33" s="1" t="s">
        <v>155</v>
      </c>
      <c r="H33" s="1" t="s">
        <v>155</v>
      </c>
      <c r="I33" s="1" t="s">
        <v>155</v>
      </c>
      <c r="J33" s="1" t="s">
        <v>155</v>
      </c>
      <c r="L33" s="1" t="s">
        <v>155</v>
      </c>
      <c r="M33" s="1" t="s">
        <v>155</v>
      </c>
      <c r="Q33" s="73">
        <f t="shared" si="5"/>
        <v>6</v>
      </c>
      <c r="R33" s="73" t="str">
        <f t="shared" si="7"/>
        <v>Ouro</v>
      </c>
      <c r="AF33" s="176" t="s">
        <v>310</v>
      </c>
      <c r="AG33" s="176" t="s">
        <v>311</v>
      </c>
      <c r="AH33" s="176" t="s">
        <v>312</v>
      </c>
    </row>
    <row r="34" spans="1:34" ht="15.75">
      <c r="A34" s="74">
        <v>53082</v>
      </c>
      <c r="B34">
        <v>1</v>
      </c>
      <c r="C34" s="121" t="s">
        <v>313</v>
      </c>
      <c r="D34" s="121" t="s">
        <v>285</v>
      </c>
      <c r="E34" s="119" t="s">
        <v>314</v>
      </c>
      <c r="F34" s="120" t="s">
        <v>164</v>
      </c>
      <c r="G34" s="1" t="s">
        <v>155</v>
      </c>
      <c r="I34" s="1" t="s">
        <v>155</v>
      </c>
      <c r="J34" s="1" t="s">
        <v>155</v>
      </c>
      <c r="K34" s="1" t="s">
        <v>155</v>
      </c>
      <c r="L34" s="1" t="s">
        <v>155</v>
      </c>
      <c r="M34" s="1" t="s">
        <v>155</v>
      </c>
      <c r="Q34" s="73">
        <f t="shared" si="5"/>
        <v>6</v>
      </c>
      <c r="R34" s="73" t="str">
        <f t="shared" si="7"/>
        <v>Ouro</v>
      </c>
      <c r="AF34" s="176" t="s">
        <v>315</v>
      </c>
      <c r="AG34" s="176" t="s">
        <v>316</v>
      </c>
      <c r="AH34" s="176" t="s">
        <v>317</v>
      </c>
    </row>
    <row r="35" spans="1:34" ht="15.75">
      <c r="A35" s="1">
        <v>25834</v>
      </c>
      <c r="B35">
        <v>1</v>
      </c>
      <c r="C35" s="122" t="s">
        <v>318</v>
      </c>
      <c r="D35" s="121" t="s">
        <v>285</v>
      </c>
      <c r="E35" s="119" t="s">
        <v>319</v>
      </c>
      <c r="F35" s="120" t="s">
        <v>154</v>
      </c>
      <c r="G35" s="1" t="s">
        <v>155</v>
      </c>
      <c r="I35" s="1" t="s">
        <v>155</v>
      </c>
      <c r="K35" s="1" t="s">
        <v>155</v>
      </c>
      <c r="Q35" s="73">
        <f t="shared" si="5"/>
        <v>3</v>
      </c>
      <c r="R35" s="73" t="str">
        <f t="shared" si="7"/>
        <v>Não Aplica</v>
      </c>
      <c r="AF35" s="176" t="s">
        <v>320</v>
      </c>
      <c r="AG35" s="176" t="s">
        <v>321</v>
      </c>
      <c r="AH35" s="176" t="s">
        <v>322</v>
      </c>
    </row>
    <row r="36" spans="1:34" ht="15.75">
      <c r="A36" s="74">
        <v>38585</v>
      </c>
      <c r="B36">
        <v>1</v>
      </c>
      <c r="C36" s="121" t="s">
        <v>323</v>
      </c>
      <c r="D36" s="121" t="s">
        <v>285</v>
      </c>
      <c r="E36" s="119" t="s">
        <v>324</v>
      </c>
      <c r="F36" s="120" t="s">
        <v>164</v>
      </c>
      <c r="G36" s="1" t="s">
        <v>155</v>
      </c>
      <c r="I36" s="1" t="s">
        <v>155</v>
      </c>
      <c r="J36" s="1" t="s">
        <v>155</v>
      </c>
      <c r="L36" s="1" t="s">
        <v>155</v>
      </c>
      <c r="M36" s="1" t="s">
        <v>155</v>
      </c>
      <c r="Q36" s="73">
        <f t="shared" si="5"/>
        <v>5</v>
      </c>
      <c r="R36" s="73" t="str">
        <f t="shared" si="7"/>
        <v>Prata</v>
      </c>
      <c r="AF36" s="176" t="s">
        <v>325</v>
      </c>
      <c r="AG36" s="176" t="s">
        <v>326</v>
      </c>
      <c r="AH36" s="176" t="s">
        <v>327</v>
      </c>
    </row>
    <row r="37" spans="1:34" ht="15.75">
      <c r="A37" s="74">
        <v>48756</v>
      </c>
      <c r="B37">
        <v>1</v>
      </c>
      <c r="C37" s="121" t="s">
        <v>328</v>
      </c>
      <c r="D37" s="121" t="s">
        <v>285</v>
      </c>
      <c r="E37" s="119" t="s">
        <v>329</v>
      </c>
      <c r="F37" s="120" t="s">
        <v>154</v>
      </c>
      <c r="G37" s="1" t="s">
        <v>155</v>
      </c>
      <c r="I37" s="1" t="s">
        <v>155</v>
      </c>
      <c r="J37" s="1" t="s">
        <v>155</v>
      </c>
      <c r="L37" s="1" t="s">
        <v>155</v>
      </c>
      <c r="M37" s="1" t="s">
        <v>155</v>
      </c>
      <c r="Q37" s="73">
        <f t="shared" si="5"/>
        <v>5</v>
      </c>
      <c r="R37" s="73" t="str">
        <f t="shared" si="7"/>
        <v>Prata</v>
      </c>
      <c r="AF37" s="176" t="s">
        <v>330</v>
      </c>
      <c r="AG37" s="176" t="s">
        <v>331</v>
      </c>
      <c r="AH37" s="165" t="s">
        <v>332</v>
      </c>
    </row>
    <row r="38" spans="1:34" ht="15.75">
      <c r="A38" s="1">
        <v>29065</v>
      </c>
      <c r="B38">
        <v>1</v>
      </c>
      <c r="C38" s="121" t="s">
        <v>333</v>
      </c>
      <c r="D38" s="121" t="s">
        <v>285</v>
      </c>
      <c r="E38" s="119" t="s">
        <v>334</v>
      </c>
      <c r="F38" s="120" t="s">
        <v>154</v>
      </c>
      <c r="G38" s="1" t="s">
        <v>155</v>
      </c>
      <c r="H38" s="1" t="s">
        <v>155</v>
      </c>
      <c r="I38" s="1" t="s">
        <v>155</v>
      </c>
      <c r="J38" s="1" t="s">
        <v>155</v>
      </c>
      <c r="K38" s="1" t="s">
        <v>155</v>
      </c>
      <c r="P38" s="1" t="s">
        <v>155</v>
      </c>
      <c r="Q38" s="73">
        <f t="shared" si="5"/>
        <v>4</v>
      </c>
      <c r="R38" s="73" t="str">
        <f t="shared" si="7"/>
        <v>Não Aplica</v>
      </c>
      <c r="AF38" s="176" t="s">
        <v>335</v>
      </c>
      <c r="AG38" s="176" t="s">
        <v>336</v>
      </c>
      <c r="AH38" s="176" t="s">
        <v>337</v>
      </c>
    </row>
    <row r="39" spans="1:34" ht="15.75">
      <c r="A39" s="1">
        <v>30111</v>
      </c>
      <c r="B39">
        <v>1</v>
      </c>
      <c r="C39" s="123" t="s">
        <v>338</v>
      </c>
      <c r="D39" s="121" t="s">
        <v>285</v>
      </c>
      <c r="E39" s="123" t="s">
        <v>339</v>
      </c>
      <c r="F39" s="120" t="s">
        <v>154</v>
      </c>
      <c r="G39" s="1" t="s">
        <v>155</v>
      </c>
      <c r="I39" s="1" t="s">
        <v>155</v>
      </c>
      <c r="J39" s="1" t="s">
        <v>155</v>
      </c>
      <c r="K39" s="1" t="s">
        <v>155</v>
      </c>
      <c r="M39" s="1" t="s">
        <v>155</v>
      </c>
      <c r="Q39" s="73">
        <f t="shared" si="5"/>
        <v>5</v>
      </c>
      <c r="R39" s="73" t="str">
        <f t="shared" si="7"/>
        <v>Prata</v>
      </c>
      <c r="AF39" s="176" t="s">
        <v>340</v>
      </c>
      <c r="AG39" s="176" t="s">
        <v>341</v>
      </c>
      <c r="AH39" s="176" t="s">
        <v>342</v>
      </c>
    </row>
    <row r="40" spans="1:34" ht="15.75">
      <c r="A40" s="1">
        <v>28231</v>
      </c>
      <c r="B40">
        <v>1</v>
      </c>
      <c r="C40" s="99" t="s">
        <v>343</v>
      </c>
      <c r="D40" s="121" t="s">
        <v>285</v>
      </c>
      <c r="E40" s="100" t="s">
        <v>344</v>
      </c>
      <c r="F40" s="107" t="s">
        <v>154</v>
      </c>
      <c r="G40" s="101" t="s">
        <v>155</v>
      </c>
      <c r="H40" s="101" t="s">
        <v>155</v>
      </c>
      <c r="I40" s="101" t="s">
        <v>155</v>
      </c>
      <c r="J40" s="101" t="s">
        <v>155</v>
      </c>
      <c r="K40" s="101"/>
      <c r="L40" s="101"/>
      <c r="M40" s="101" t="s">
        <v>155</v>
      </c>
      <c r="N40" s="101"/>
      <c r="O40" s="101"/>
      <c r="P40" s="101"/>
      <c r="Q40" s="73">
        <f>COUNTA(G40:M40)-COUNTA(O40:P40)</f>
        <v>5</v>
      </c>
      <c r="R40" s="73" t="str">
        <f>IF(Q40&gt;=$T$4,$U$4,IF(Q40&gt;=$T$3,$U$3,"Não Aplica"))</f>
        <v>Prata</v>
      </c>
      <c r="X40" t="s">
        <v>170</v>
      </c>
      <c r="Y40" s="1">
        <f>COUNTIFS($R:$R,Y$2,$F:$F,$X40)</f>
        <v>0</v>
      </c>
      <c r="Z40" s="1">
        <f>COUNTIFS($R:$R,Z$2,$F:$F,$X40)</f>
        <v>4</v>
      </c>
      <c r="AA40" s="1">
        <f t="shared" ref="AA40" si="10">SUM(Y40:Z40)</f>
        <v>4</v>
      </c>
      <c r="AF40" s="176" t="s">
        <v>345</v>
      </c>
      <c r="AG40" s="176" t="s">
        <v>346</v>
      </c>
      <c r="AH40" s="176" t="s">
        <v>347</v>
      </c>
    </row>
    <row r="41" spans="1:34" ht="15.75">
      <c r="A41" s="1">
        <v>28977</v>
      </c>
      <c r="B41">
        <v>1</v>
      </c>
      <c r="C41" s="99" t="s">
        <v>348</v>
      </c>
      <c r="D41" s="121" t="s">
        <v>285</v>
      </c>
      <c r="E41" s="100" t="s">
        <v>344</v>
      </c>
      <c r="F41" s="107" t="s">
        <v>154</v>
      </c>
      <c r="G41" s="101" t="s">
        <v>155</v>
      </c>
      <c r="H41" s="101" t="s">
        <v>155</v>
      </c>
      <c r="I41" s="101" t="s">
        <v>155</v>
      </c>
      <c r="J41" s="101" t="s">
        <v>155</v>
      </c>
      <c r="K41" s="101" t="s">
        <v>155</v>
      </c>
      <c r="L41" s="101"/>
      <c r="M41" s="101" t="s">
        <v>155</v>
      </c>
      <c r="N41" s="101"/>
      <c r="O41" s="101"/>
      <c r="P41" s="101"/>
      <c r="Q41" s="73">
        <f>COUNTA(G41:M41)-COUNTA(O41:P41)</f>
        <v>6</v>
      </c>
      <c r="R41" s="73" t="str">
        <f>IF(Q41&gt;=$T$4,$U$4,IF(Q41&gt;=$T$3,$U$3,"Não Aplica"))</f>
        <v>Ouro</v>
      </c>
      <c r="AF41" s="176" t="s">
        <v>349</v>
      </c>
      <c r="AG41" s="176" t="s">
        <v>350</v>
      </c>
      <c r="AH41" s="165" t="s">
        <v>351</v>
      </c>
    </row>
    <row r="42" spans="1:34" ht="15.75">
      <c r="A42" s="1">
        <v>57857</v>
      </c>
      <c r="B42">
        <v>1</v>
      </c>
      <c r="C42" s="99" t="s">
        <v>352</v>
      </c>
      <c r="D42" s="121" t="s">
        <v>285</v>
      </c>
      <c r="E42" s="100" t="s">
        <v>344</v>
      </c>
      <c r="F42" s="107" t="s">
        <v>154</v>
      </c>
      <c r="G42" s="101" t="s">
        <v>155</v>
      </c>
      <c r="H42" s="101" t="s">
        <v>155</v>
      </c>
      <c r="I42" s="101" t="s">
        <v>155</v>
      </c>
      <c r="J42" s="101" t="s">
        <v>155</v>
      </c>
      <c r="K42" s="101" t="s">
        <v>155</v>
      </c>
      <c r="L42" s="101"/>
      <c r="M42" s="101" t="s">
        <v>155</v>
      </c>
      <c r="N42" s="101"/>
      <c r="O42" s="101"/>
      <c r="P42" s="101" t="s">
        <v>155</v>
      </c>
      <c r="Q42" s="73">
        <f t="shared" ref="Q42" si="11">COUNTA(G42:M42)-COUNTA(O42:P42)</f>
        <v>5</v>
      </c>
      <c r="R42" s="73" t="str">
        <f t="shared" ref="R42" si="12">IF(Q42&gt;=$T$4,$U$4,IF(Q42&gt;=$T$3,$U$3,"Não Aplica"))</f>
        <v>Prata</v>
      </c>
      <c r="AF42" s="176" t="s">
        <v>353</v>
      </c>
      <c r="AG42" s="176" t="s">
        <v>354</v>
      </c>
      <c r="AH42" s="176" t="s">
        <v>355</v>
      </c>
    </row>
    <row r="43" spans="1:34" ht="15.75">
      <c r="A43" s="1">
        <v>30204</v>
      </c>
      <c r="B43">
        <v>1</v>
      </c>
      <c r="C43" s="106" t="s">
        <v>356</v>
      </c>
      <c r="D43" s="121" t="s">
        <v>285</v>
      </c>
      <c r="E43" s="105" t="s">
        <v>357</v>
      </c>
      <c r="F43" s="108" t="s">
        <v>154</v>
      </c>
      <c r="G43" s="1" t="s">
        <v>155</v>
      </c>
      <c r="H43" s="1" t="s">
        <v>155</v>
      </c>
      <c r="I43" s="1" t="s">
        <v>155</v>
      </c>
      <c r="J43" s="1" t="s">
        <v>155</v>
      </c>
      <c r="L43" s="1" t="s">
        <v>155</v>
      </c>
      <c r="M43" s="1" t="s">
        <v>155</v>
      </c>
      <c r="O43" s="101"/>
      <c r="P43" s="101"/>
      <c r="Q43" s="73">
        <f>COUNTA(G43:M43)-COUNTA(O43:P43)</f>
        <v>6</v>
      </c>
      <c r="R43" s="73" t="str">
        <f>IF(Q43&gt;=$T$4,$U$4,IF(Q43&gt;=$T$3,$U$3,"Não Aplica"))</f>
        <v>Ouro</v>
      </c>
      <c r="AF43" s="176" t="s">
        <v>358</v>
      </c>
      <c r="AG43" s="176" t="s">
        <v>359</v>
      </c>
      <c r="AH43" s="176" t="s">
        <v>360</v>
      </c>
    </row>
    <row r="44" spans="1:34" ht="15.75">
      <c r="A44" s="1">
        <v>32545</v>
      </c>
      <c r="B44">
        <v>1</v>
      </c>
      <c r="C44" s="124" t="s">
        <v>361</v>
      </c>
      <c r="D44" s="125" t="s">
        <v>362</v>
      </c>
      <c r="E44" s="70" t="s">
        <v>363</v>
      </c>
      <c r="F44" s="126" t="s">
        <v>160</v>
      </c>
      <c r="G44" s="1" t="s">
        <v>155</v>
      </c>
      <c r="H44" s="1" t="s">
        <v>155</v>
      </c>
      <c r="I44" s="1" t="s">
        <v>155</v>
      </c>
      <c r="J44" s="1" t="s">
        <v>155</v>
      </c>
      <c r="K44" s="1" t="s">
        <v>155</v>
      </c>
      <c r="L44" s="1" t="s">
        <v>155</v>
      </c>
      <c r="M44" s="1" t="s">
        <v>155</v>
      </c>
      <c r="P44" s="1" t="s">
        <v>155</v>
      </c>
      <c r="Q44" s="73">
        <f t="shared" si="5"/>
        <v>6</v>
      </c>
      <c r="R44" s="73" t="str">
        <f t="shared" ref="R44:R70" si="13">IF(Q44&gt;=$T$4,$U$4,IF(Q44&gt;=$T$3,$U$3,"Não Aplica"))</f>
        <v>Ouro</v>
      </c>
      <c r="AF44" s="176" t="s">
        <v>364</v>
      </c>
      <c r="AG44" s="176" t="s">
        <v>365</v>
      </c>
      <c r="AH44" s="176" t="s">
        <v>366</v>
      </c>
    </row>
    <row r="45" spans="1:34" ht="15.75">
      <c r="A45" s="1">
        <v>31003</v>
      </c>
      <c r="B45">
        <v>1</v>
      </c>
      <c r="C45" s="124" t="s">
        <v>367</v>
      </c>
      <c r="D45" s="125" t="s">
        <v>362</v>
      </c>
      <c r="E45" s="70" t="s">
        <v>368</v>
      </c>
      <c r="F45" s="127" t="s">
        <v>160</v>
      </c>
      <c r="G45" s="1" t="s">
        <v>155</v>
      </c>
      <c r="H45" s="1" t="s">
        <v>155</v>
      </c>
      <c r="I45" s="1" t="s">
        <v>155</v>
      </c>
      <c r="J45" s="1" t="s">
        <v>155</v>
      </c>
      <c r="K45" s="1" t="s">
        <v>155</v>
      </c>
      <c r="P45" s="1" t="s">
        <v>155</v>
      </c>
      <c r="Q45" s="73">
        <f t="shared" si="5"/>
        <v>4</v>
      </c>
      <c r="R45" s="73" t="str">
        <f t="shared" si="13"/>
        <v>Não Aplica</v>
      </c>
      <c r="AF45" s="176" t="s">
        <v>369</v>
      </c>
      <c r="AG45" s="176" t="s">
        <v>370</v>
      </c>
      <c r="AH45" s="176" t="s">
        <v>371</v>
      </c>
    </row>
    <row r="46" spans="1:34" ht="15.75">
      <c r="A46" s="1">
        <v>28600</v>
      </c>
      <c r="B46">
        <v>1</v>
      </c>
      <c r="C46" s="184" t="s">
        <v>372</v>
      </c>
      <c r="D46" s="125" t="s">
        <v>362</v>
      </c>
      <c r="E46" s="70" t="s">
        <v>373</v>
      </c>
      <c r="F46" s="126" t="s">
        <v>160</v>
      </c>
      <c r="G46" s="1" t="s">
        <v>155</v>
      </c>
      <c r="H46" s="1" t="s">
        <v>155</v>
      </c>
      <c r="I46" s="1" t="s">
        <v>155</v>
      </c>
      <c r="J46" s="1" t="s">
        <v>155</v>
      </c>
      <c r="K46" s="1" t="s">
        <v>155</v>
      </c>
      <c r="Q46" s="73">
        <f t="shared" si="5"/>
        <v>5</v>
      </c>
      <c r="R46" s="73" t="str">
        <f t="shared" si="13"/>
        <v>Prata</v>
      </c>
      <c r="AF46" s="176" t="s">
        <v>374</v>
      </c>
      <c r="AG46" s="176" t="s">
        <v>375</v>
      </c>
      <c r="AH46" s="176" t="s">
        <v>376</v>
      </c>
    </row>
    <row r="47" spans="1:34" ht="15.75">
      <c r="A47" s="1">
        <v>28321</v>
      </c>
      <c r="B47">
        <v>1</v>
      </c>
      <c r="C47" s="125" t="s">
        <v>377</v>
      </c>
      <c r="D47" s="125" t="s">
        <v>362</v>
      </c>
      <c r="E47" s="70" t="s">
        <v>378</v>
      </c>
      <c r="F47" s="126" t="s">
        <v>160</v>
      </c>
      <c r="G47" s="1" t="s">
        <v>155</v>
      </c>
      <c r="H47" s="1" t="s">
        <v>155</v>
      </c>
      <c r="I47" s="1" t="s">
        <v>155</v>
      </c>
      <c r="J47" s="1" t="s">
        <v>155</v>
      </c>
      <c r="K47" s="1" t="s">
        <v>155</v>
      </c>
      <c r="M47" s="1" t="s">
        <v>155</v>
      </c>
      <c r="P47" s="1" t="s">
        <v>155</v>
      </c>
      <c r="Q47" s="73">
        <f t="shared" si="5"/>
        <v>5</v>
      </c>
      <c r="R47" s="73" t="str">
        <f t="shared" si="13"/>
        <v>Prata</v>
      </c>
      <c r="AF47" s="176" t="s">
        <v>379</v>
      </c>
      <c r="AG47" s="176" t="s">
        <v>380</v>
      </c>
      <c r="AH47" s="176" t="s">
        <v>381</v>
      </c>
    </row>
    <row r="48" spans="1:34" ht="15.75">
      <c r="A48" s="1">
        <v>28236</v>
      </c>
      <c r="B48">
        <v>1</v>
      </c>
      <c r="C48" s="118" t="s">
        <v>382</v>
      </c>
      <c r="D48" s="118" t="s">
        <v>362</v>
      </c>
      <c r="E48" s="11" t="s">
        <v>378</v>
      </c>
      <c r="F48" s="127" t="s">
        <v>160</v>
      </c>
      <c r="G48" s="1" t="s">
        <v>155</v>
      </c>
      <c r="H48" s="1" t="s">
        <v>155</v>
      </c>
      <c r="I48" s="1" t="s">
        <v>155</v>
      </c>
      <c r="J48" s="1" t="s">
        <v>155</v>
      </c>
      <c r="K48" s="1" t="s">
        <v>155</v>
      </c>
      <c r="L48" s="1" t="s">
        <v>155</v>
      </c>
      <c r="M48" s="1" t="s">
        <v>155</v>
      </c>
      <c r="Q48" s="73">
        <f t="shared" si="5"/>
        <v>7</v>
      </c>
      <c r="R48" s="73" t="str">
        <f t="shared" si="13"/>
        <v>Ouro</v>
      </c>
      <c r="AF48" s="176" t="s">
        <v>383</v>
      </c>
      <c r="AG48" s="176" t="s">
        <v>384</v>
      </c>
      <c r="AH48" s="176" t="s">
        <v>385</v>
      </c>
    </row>
    <row r="49" spans="1:34" ht="15.75">
      <c r="A49" s="1">
        <v>37341</v>
      </c>
      <c r="B49">
        <v>1</v>
      </c>
      <c r="C49" s="118" t="s">
        <v>386</v>
      </c>
      <c r="D49" s="125" t="s">
        <v>362</v>
      </c>
      <c r="E49" s="11" t="s">
        <v>387</v>
      </c>
      <c r="F49" s="126" t="s">
        <v>160</v>
      </c>
      <c r="G49" s="1" t="s">
        <v>155</v>
      </c>
      <c r="H49" s="1" t="s">
        <v>155</v>
      </c>
      <c r="I49" s="1" t="s">
        <v>155</v>
      </c>
      <c r="J49" s="1" t="s">
        <v>155</v>
      </c>
      <c r="K49" s="1" t="s">
        <v>155</v>
      </c>
      <c r="L49" s="1" t="s">
        <v>155</v>
      </c>
      <c r="M49" s="1" t="s">
        <v>155</v>
      </c>
      <c r="Q49" s="73">
        <f t="shared" si="5"/>
        <v>7</v>
      </c>
      <c r="R49" s="73" t="str">
        <f t="shared" si="13"/>
        <v>Ouro</v>
      </c>
      <c r="AF49" s="176" t="s">
        <v>388</v>
      </c>
      <c r="AG49" s="176" t="s">
        <v>389</v>
      </c>
      <c r="AH49" s="176" t="s">
        <v>390</v>
      </c>
    </row>
    <row r="50" spans="1:34" ht="15.75">
      <c r="A50" s="1">
        <v>40669</v>
      </c>
      <c r="B50">
        <v>1</v>
      </c>
      <c r="C50" s="118" t="s">
        <v>391</v>
      </c>
      <c r="D50" s="125" t="s">
        <v>362</v>
      </c>
      <c r="E50" s="11" t="s">
        <v>392</v>
      </c>
      <c r="F50" s="126" t="s">
        <v>160</v>
      </c>
      <c r="G50" s="1" t="s">
        <v>155</v>
      </c>
      <c r="H50" s="1" t="s">
        <v>155</v>
      </c>
      <c r="I50" s="1" t="s">
        <v>155</v>
      </c>
      <c r="J50" s="1" t="s">
        <v>155</v>
      </c>
      <c r="K50" s="1" t="s">
        <v>155</v>
      </c>
      <c r="M50" s="1" t="s">
        <v>155</v>
      </c>
      <c r="Q50" s="73">
        <f t="shared" si="5"/>
        <v>6</v>
      </c>
      <c r="R50" s="73" t="str">
        <f t="shared" si="13"/>
        <v>Ouro</v>
      </c>
      <c r="AF50" s="176" t="s">
        <v>393</v>
      </c>
      <c r="AG50" s="176" t="s">
        <v>394</v>
      </c>
      <c r="AH50" s="176" t="s">
        <v>395</v>
      </c>
    </row>
    <row r="51" spans="1:34" ht="15.75">
      <c r="A51" s="1">
        <v>28228</v>
      </c>
      <c r="B51">
        <v>1</v>
      </c>
      <c r="C51" s="118" t="s">
        <v>396</v>
      </c>
      <c r="D51" s="125" t="s">
        <v>362</v>
      </c>
      <c r="E51" s="11" t="s">
        <v>397</v>
      </c>
      <c r="F51" s="127" t="s">
        <v>160</v>
      </c>
      <c r="G51" s="1" t="s">
        <v>155</v>
      </c>
      <c r="H51" s="1" t="s">
        <v>155</v>
      </c>
      <c r="I51" s="1" t="s">
        <v>155</v>
      </c>
      <c r="J51" s="1" t="s">
        <v>155</v>
      </c>
      <c r="K51" s="1" t="s">
        <v>155</v>
      </c>
      <c r="L51" s="1" t="s">
        <v>155</v>
      </c>
      <c r="M51" s="1" t="s">
        <v>155</v>
      </c>
      <c r="Q51" s="73">
        <f t="shared" si="5"/>
        <v>7</v>
      </c>
      <c r="R51" s="73" t="str">
        <f t="shared" si="13"/>
        <v>Ouro</v>
      </c>
      <c r="AF51" s="176" t="s">
        <v>398</v>
      </c>
      <c r="AG51" s="176" t="s">
        <v>399</v>
      </c>
      <c r="AH51" s="176" t="s">
        <v>400</v>
      </c>
    </row>
    <row r="52" spans="1:34" ht="15.75">
      <c r="A52" s="1">
        <v>39748</v>
      </c>
      <c r="B52">
        <v>1</v>
      </c>
      <c r="C52" s="125" t="s">
        <v>401</v>
      </c>
      <c r="D52" s="125" t="s">
        <v>362</v>
      </c>
      <c r="E52" s="70" t="s">
        <v>402</v>
      </c>
      <c r="F52" s="73" t="s">
        <v>160</v>
      </c>
      <c r="G52" s="1" t="s">
        <v>155</v>
      </c>
      <c r="H52" s="1" t="s">
        <v>155</v>
      </c>
      <c r="I52" s="1" t="s">
        <v>155</v>
      </c>
      <c r="J52" s="1" t="s">
        <v>155</v>
      </c>
      <c r="K52" s="1" t="s">
        <v>155</v>
      </c>
      <c r="L52" s="1" t="s">
        <v>155</v>
      </c>
      <c r="M52" s="1" t="s">
        <v>155</v>
      </c>
      <c r="Q52" s="73">
        <f t="shared" si="5"/>
        <v>7</v>
      </c>
      <c r="R52" s="73" t="str">
        <f t="shared" si="13"/>
        <v>Ouro</v>
      </c>
      <c r="AF52" s="176" t="s">
        <v>403</v>
      </c>
      <c r="AG52" s="176" t="s">
        <v>404</v>
      </c>
      <c r="AH52" s="176" t="s">
        <v>405</v>
      </c>
    </row>
    <row r="53" spans="1:34" ht="15.75">
      <c r="A53" s="1">
        <v>28263</v>
      </c>
      <c r="B53">
        <v>1</v>
      </c>
      <c r="C53" s="118" t="s">
        <v>406</v>
      </c>
      <c r="D53" s="118" t="s">
        <v>407</v>
      </c>
      <c r="E53" s="11" t="s">
        <v>408</v>
      </c>
      <c r="F53" s="72" t="s">
        <v>160</v>
      </c>
      <c r="G53" s="1" t="s">
        <v>155</v>
      </c>
      <c r="H53" s="1" t="s">
        <v>155</v>
      </c>
      <c r="I53" s="1" t="s">
        <v>155</v>
      </c>
      <c r="K53" s="1" t="s">
        <v>155</v>
      </c>
      <c r="M53" s="1" t="s">
        <v>155</v>
      </c>
      <c r="Q53" s="73">
        <f t="shared" si="5"/>
        <v>5</v>
      </c>
      <c r="R53" s="73" t="str">
        <f t="shared" si="13"/>
        <v>Prata</v>
      </c>
      <c r="AF53" s="176" t="s">
        <v>409</v>
      </c>
      <c r="AG53" s="176" t="s">
        <v>410</v>
      </c>
      <c r="AH53" s="176" t="s">
        <v>411</v>
      </c>
    </row>
    <row r="54" spans="1:34" ht="15" customHeight="1">
      <c r="A54" s="1">
        <v>40504</v>
      </c>
      <c r="B54">
        <v>1</v>
      </c>
      <c r="C54" s="162" t="s">
        <v>412</v>
      </c>
      <c r="D54" s="118" t="s">
        <v>407</v>
      </c>
      <c r="E54" s="11" t="s">
        <v>413</v>
      </c>
      <c r="F54" s="72" t="s">
        <v>160</v>
      </c>
      <c r="G54" s="1" t="s">
        <v>155</v>
      </c>
      <c r="H54" s="1" t="s">
        <v>155</v>
      </c>
      <c r="I54" s="1" t="s">
        <v>155</v>
      </c>
      <c r="J54" s="1" t="s">
        <v>155</v>
      </c>
      <c r="K54" s="1" t="s">
        <v>155</v>
      </c>
      <c r="L54" s="1" t="s">
        <v>155</v>
      </c>
      <c r="M54" s="1" t="s">
        <v>155</v>
      </c>
      <c r="Q54" s="73">
        <f t="shared" si="5"/>
        <v>7</v>
      </c>
      <c r="R54" s="73" t="str">
        <f t="shared" si="13"/>
        <v>Ouro</v>
      </c>
      <c r="AF54" s="176" t="s">
        <v>414</v>
      </c>
      <c r="AG54" s="176" t="s">
        <v>415</v>
      </c>
      <c r="AH54" s="176" t="s">
        <v>416</v>
      </c>
    </row>
    <row r="55" spans="1:34" ht="15.75">
      <c r="A55" s="1">
        <v>37567</v>
      </c>
      <c r="B55">
        <v>1</v>
      </c>
      <c r="C55" s="118" t="s">
        <v>417</v>
      </c>
      <c r="D55" s="118" t="s">
        <v>407</v>
      </c>
      <c r="E55" s="11" t="s">
        <v>418</v>
      </c>
      <c r="F55" s="72" t="s">
        <v>160</v>
      </c>
      <c r="G55" s="1" t="s">
        <v>155</v>
      </c>
      <c r="H55" s="1" t="s">
        <v>155</v>
      </c>
      <c r="I55" s="1" t="s">
        <v>155</v>
      </c>
      <c r="J55" s="1" t="s">
        <v>155</v>
      </c>
      <c r="K55" s="1" t="s">
        <v>155</v>
      </c>
      <c r="M55" s="1" t="s">
        <v>155</v>
      </c>
      <c r="Q55" s="73">
        <f t="shared" si="5"/>
        <v>6</v>
      </c>
      <c r="R55" s="73" t="str">
        <f t="shared" si="13"/>
        <v>Ouro</v>
      </c>
      <c r="AF55" s="176" t="s">
        <v>419</v>
      </c>
      <c r="AG55" s="176" t="s">
        <v>420</v>
      </c>
      <c r="AH55" s="176" t="s">
        <v>421</v>
      </c>
    </row>
    <row r="56" spans="1:34" ht="15.75">
      <c r="A56" s="1">
        <v>46854</v>
      </c>
      <c r="B56">
        <v>1</v>
      </c>
      <c r="C56" s="118" t="s">
        <v>422</v>
      </c>
      <c r="D56" s="125" t="s">
        <v>362</v>
      </c>
      <c r="E56" s="11" t="s">
        <v>423</v>
      </c>
      <c r="F56" s="73" t="s">
        <v>160</v>
      </c>
      <c r="G56" s="1" t="s">
        <v>155</v>
      </c>
      <c r="H56" s="1" t="s">
        <v>155</v>
      </c>
      <c r="I56" s="1" t="s">
        <v>155</v>
      </c>
      <c r="J56" s="1" t="s">
        <v>155</v>
      </c>
      <c r="K56" s="1" t="s">
        <v>155</v>
      </c>
      <c r="P56" s="1" t="s">
        <v>155</v>
      </c>
      <c r="Q56" s="73">
        <f t="shared" si="5"/>
        <v>4</v>
      </c>
      <c r="R56" s="73" t="str">
        <f t="shared" si="13"/>
        <v>Não Aplica</v>
      </c>
      <c r="AF56" s="176" t="s">
        <v>424</v>
      </c>
      <c r="AG56" s="176" t="s">
        <v>425</v>
      </c>
      <c r="AH56" s="176" t="s">
        <v>426</v>
      </c>
    </row>
    <row r="57" spans="1:34" ht="15.75">
      <c r="A57" s="1">
        <v>38291</v>
      </c>
      <c r="B57">
        <v>1</v>
      </c>
      <c r="C57" s="118" t="s">
        <v>427</v>
      </c>
      <c r="D57" s="118" t="s">
        <v>407</v>
      </c>
      <c r="E57" s="11" t="s">
        <v>428</v>
      </c>
      <c r="F57" s="73" t="s">
        <v>160</v>
      </c>
      <c r="G57" s="1" t="s">
        <v>155</v>
      </c>
      <c r="H57" s="1" t="s">
        <v>155</v>
      </c>
      <c r="I57" s="1" t="s">
        <v>155</v>
      </c>
      <c r="J57" s="1" t="s">
        <v>155</v>
      </c>
      <c r="K57" s="1" t="s">
        <v>155</v>
      </c>
      <c r="M57" s="1" t="s">
        <v>155</v>
      </c>
      <c r="Q57" s="73">
        <f t="shared" si="5"/>
        <v>6</v>
      </c>
      <c r="R57" s="73" t="str">
        <f t="shared" si="13"/>
        <v>Ouro</v>
      </c>
      <c r="AF57" s="176" t="s">
        <v>429</v>
      </c>
      <c r="AG57" s="176" t="s">
        <v>430</v>
      </c>
      <c r="AH57" s="176" t="s">
        <v>431</v>
      </c>
    </row>
    <row r="58" spans="1:34" ht="15.75">
      <c r="A58" s="1">
        <v>28229</v>
      </c>
      <c r="B58">
        <v>1</v>
      </c>
      <c r="C58" s="118" t="s">
        <v>432</v>
      </c>
      <c r="D58" s="118" t="s">
        <v>407</v>
      </c>
      <c r="E58" s="11" t="s">
        <v>433</v>
      </c>
      <c r="F58" s="72" t="s">
        <v>160</v>
      </c>
      <c r="G58" s="1" t="s">
        <v>155</v>
      </c>
      <c r="H58" s="1" t="s">
        <v>155</v>
      </c>
      <c r="I58" s="1" t="s">
        <v>155</v>
      </c>
      <c r="J58" s="1" t="s">
        <v>155</v>
      </c>
      <c r="K58" s="1" t="s">
        <v>155</v>
      </c>
      <c r="L58" s="1" t="s">
        <v>155</v>
      </c>
      <c r="M58" s="1" t="s">
        <v>155</v>
      </c>
      <c r="Q58" s="73">
        <f t="shared" si="5"/>
        <v>7</v>
      </c>
      <c r="R58" s="73" t="str">
        <f t="shared" si="13"/>
        <v>Ouro</v>
      </c>
      <c r="AF58" s="176" t="s">
        <v>434</v>
      </c>
      <c r="AG58" s="176" t="s">
        <v>435</v>
      </c>
      <c r="AH58" s="176" t="s">
        <v>436</v>
      </c>
    </row>
    <row r="59" spans="1:34" ht="15.75">
      <c r="A59" s="1">
        <v>35093</v>
      </c>
      <c r="B59">
        <v>1</v>
      </c>
      <c r="C59" s="118" t="s">
        <v>437</v>
      </c>
      <c r="D59" s="125" t="s">
        <v>362</v>
      </c>
      <c r="E59" s="11" t="s">
        <v>438</v>
      </c>
      <c r="F59" s="72" t="s">
        <v>160</v>
      </c>
      <c r="G59" s="1" t="s">
        <v>155</v>
      </c>
      <c r="H59" s="1" t="s">
        <v>155</v>
      </c>
      <c r="I59" s="1" t="s">
        <v>155</v>
      </c>
      <c r="J59" s="1" t="s">
        <v>155</v>
      </c>
      <c r="K59" s="1" t="s">
        <v>155</v>
      </c>
      <c r="L59" s="1" t="s">
        <v>155</v>
      </c>
      <c r="M59" s="1" t="s">
        <v>155</v>
      </c>
      <c r="Q59" s="73">
        <f t="shared" si="5"/>
        <v>7</v>
      </c>
      <c r="R59" s="73" t="str">
        <f t="shared" si="13"/>
        <v>Ouro</v>
      </c>
      <c r="AF59" s="176" t="s">
        <v>439</v>
      </c>
      <c r="AG59" s="176" t="s">
        <v>440</v>
      </c>
      <c r="AH59" s="176" t="s">
        <v>441</v>
      </c>
    </row>
    <row r="60" spans="1:34" ht="15.75">
      <c r="A60" s="1">
        <v>40652</v>
      </c>
      <c r="B60">
        <v>1</v>
      </c>
      <c r="C60" s="118" t="s">
        <v>442</v>
      </c>
      <c r="D60" s="125" t="s">
        <v>362</v>
      </c>
      <c r="E60" s="11" t="s">
        <v>443</v>
      </c>
      <c r="F60" s="73" t="s">
        <v>160</v>
      </c>
      <c r="G60" s="1" t="s">
        <v>155</v>
      </c>
      <c r="H60" s="1" t="s">
        <v>155</v>
      </c>
      <c r="I60" s="1" t="s">
        <v>155</v>
      </c>
      <c r="J60" s="1" t="s">
        <v>155</v>
      </c>
      <c r="K60" s="1" t="s">
        <v>155</v>
      </c>
      <c r="L60" s="1" t="s">
        <v>155</v>
      </c>
      <c r="M60" s="1" t="s">
        <v>155</v>
      </c>
      <c r="Q60" s="73">
        <f t="shared" si="5"/>
        <v>7</v>
      </c>
      <c r="R60" s="73" t="str">
        <f t="shared" si="13"/>
        <v>Ouro</v>
      </c>
      <c r="AF60" s="176" t="s">
        <v>444</v>
      </c>
      <c r="AG60" s="176" t="s">
        <v>445</v>
      </c>
      <c r="AH60" s="176" t="s">
        <v>446</v>
      </c>
    </row>
    <row r="61" spans="1:34" ht="15.75">
      <c r="A61" s="1">
        <v>28128</v>
      </c>
      <c r="B61">
        <v>1</v>
      </c>
      <c r="C61" s="118" t="s">
        <v>447</v>
      </c>
      <c r="D61" s="125" t="s">
        <v>362</v>
      </c>
      <c r="E61" s="11" t="s">
        <v>443</v>
      </c>
      <c r="F61" s="73" t="s">
        <v>160</v>
      </c>
      <c r="G61" s="1" t="s">
        <v>155</v>
      </c>
      <c r="H61" s="1" t="s">
        <v>155</v>
      </c>
      <c r="I61" s="1" t="s">
        <v>155</v>
      </c>
      <c r="J61" s="1" t="s">
        <v>155</v>
      </c>
      <c r="K61" s="1" t="s">
        <v>155</v>
      </c>
      <c r="L61" s="1" t="s">
        <v>155</v>
      </c>
      <c r="M61" s="1" t="s">
        <v>155</v>
      </c>
      <c r="Q61" s="73">
        <f t="shared" si="5"/>
        <v>7</v>
      </c>
      <c r="R61" s="73" t="str">
        <f>IF(Q61&gt;=$T$4,$U$4,IF(Q61&gt;=$T$3,$U$3,"Não Aplica"))</f>
        <v>Ouro</v>
      </c>
      <c r="AF61" s="176" t="s">
        <v>448</v>
      </c>
      <c r="AG61" s="176" t="s">
        <v>445</v>
      </c>
      <c r="AH61" s="176" t="s">
        <v>449</v>
      </c>
    </row>
    <row r="62" spans="1:34" ht="15.75">
      <c r="A62" s="1">
        <v>27578</v>
      </c>
      <c r="B62">
        <v>1</v>
      </c>
      <c r="C62" s="118" t="s">
        <v>450</v>
      </c>
      <c r="D62" s="125" t="s">
        <v>362</v>
      </c>
      <c r="E62" s="11" t="s">
        <v>451</v>
      </c>
      <c r="F62" s="73" t="s">
        <v>160</v>
      </c>
      <c r="G62" s="1" t="s">
        <v>155</v>
      </c>
      <c r="H62" s="1" t="s">
        <v>155</v>
      </c>
      <c r="I62" s="1" t="s">
        <v>155</v>
      </c>
      <c r="J62" s="1" t="s">
        <v>155</v>
      </c>
      <c r="K62" s="1" t="s">
        <v>155</v>
      </c>
      <c r="L62" s="1" t="s">
        <v>155</v>
      </c>
      <c r="M62" s="1" t="s">
        <v>155</v>
      </c>
      <c r="Q62" s="73">
        <f t="shared" si="5"/>
        <v>7</v>
      </c>
      <c r="R62" s="73" t="str">
        <f t="shared" si="13"/>
        <v>Ouro</v>
      </c>
      <c r="AF62" s="176" t="s">
        <v>452</v>
      </c>
      <c r="AG62" s="176" t="s">
        <v>453</v>
      </c>
      <c r="AH62" s="176" t="s">
        <v>454</v>
      </c>
    </row>
    <row r="63" spans="1:34" ht="15.75">
      <c r="A63" s="1">
        <v>46813</v>
      </c>
      <c r="B63">
        <v>1</v>
      </c>
      <c r="C63" s="118" t="s">
        <v>455</v>
      </c>
      <c r="D63" s="118" t="s">
        <v>362</v>
      </c>
      <c r="E63" s="11" t="s">
        <v>456</v>
      </c>
      <c r="F63" s="72" t="s">
        <v>160</v>
      </c>
      <c r="G63" s="1" t="s">
        <v>155</v>
      </c>
      <c r="H63" s="1" t="s">
        <v>155</v>
      </c>
      <c r="I63" s="1" t="s">
        <v>155</v>
      </c>
      <c r="J63" s="1" t="s">
        <v>155</v>
      </c>
      <c r="K63" s="1" t="s">
        <v>155</v>
      </c>
      <c r="L63" s="1" t="s">
        <v>155</v>
      </c>
      <c r="M63" s="1" t="s">
        <v>155</v>
      </c>
      <c r="Q63" s="73">
        <f t="shared" si="5"/>
        <v>7</v>
      </c>
      <c r="R63" s="73" t="str">
        <f t="shared" si="13"/>
        <v>Ouro</v>
      </c>
      <c r="AF63" s="176" t="s">
        <v>457</v>
      </c>
      <c r="AG63" s="176" t="s">
        <v>458</v>
      </c>
      <c r="AH63" s="176" t="s">
        <v>459</v>
      </c>
    </row>
    <row r="64" spans="1:34" ht="15.75">
      <c r="A64" s="1">
        <v>49356</v>
      </c>
      <c r="B64">
        <v>1</v>
      </c>
      <c r="C64" s="118" t="s">
        <v>460</v>
      </c>
      <c r="D64" s="125" t="s">
        <v>362</v>
      </c>
      <c r="E64" s="11" t="s">
        <v>378</v>
      </c>
      <c r="F64" s="72" t="s">
        <v>160</v>
      </c>
      <c r="G64" s="1" t="s">
        <v>155</v>
      </c>
      <c r="H64" s="1" t="s">
        <v>155</v>
      </c>
      <c r="I64" s="1" t="s">
        <v>155</v>
      </c>
      <c r="J64" s="1" t="s">
        <v>155</v>
      </c>
      <c r="K64" s="1" t="s">
        <v>155</v>
      </c>
      <c r="L64" s="1" t="s">
        <v>155</v>
      </c>
      <c r="M64" s="1" t="s">
        <v>155</v>
      </c>
      <c r="Q64" s="73">
        <f t="shared" si="5"/>
        <v>7</v>
      </c>
      <c r="R64" s="73" t="str">
        <f t="shared" si="13"/>
        <v>Ouro</v>
      </c>
      <c r="AF64" s="176" t="s">
        <v>461</v>
      </c>
      <c r="AG64" s="176" t="s">
        <v>462</v>
      </c>
      <c r="AH64" s="176" t="s">
        <v>463</v>
      </c>
    </row>
    <row r="65" spans="1:34" ht="15.75">
      <c r="A65" s="1">
        <v>43867</v>
      </c>
      <c r="B65">
        <v>1</v>
      </c>
      <c r="C65" s="118" t="s">
        <v>464</v>
      </c>
      <c r="D65" s="125" t="s">
        <v>362</v>
      </c>
      <c r="E65" s="11" t="s">
        <v>465</v>
      </c>
      <c r="F65" s="72" t="s">
        <v>160</v>
      </c>
      <c r="G65" s="1" t="s">
        <v>155</v>
      </c>
      <c r="H65" s="1" t="s">
        <v>155</v>
      </c>
      <c r="I65" s="1" t="s">
        <v>155</v>
      </c>
      <c r="J65" s="1" t="s">
        <v>155</v>
      </c>
      <c r="K65" s="1" t="s">
        <v>155</v>
      </c>
      <c r="L65" s="1" t="s">
        <v>155</v>
      </c>
      <c r="M65" s="1" t="s">
        <v>155</v>
      </c>
      <c r="Q65" s="73">
        <f t="shared" si="5"/>
        <v>7</v>
      </c>
      <c r="R65" s="73" t="str">
        <f t="shared" si="13"/>
        <v>Ouro</v>
      </c>
      <c r="AF65" s="176" t="s">
        <v>466</v>
      </c>
      <c r="AG65" s="176" t="s">
        <v>467</v>
      </c>
      <c r="AH65" s="176" t="s">
        <v>468</v>
      </c>
    </row>
    <row r="66" spans="1:34" ht="15.75">
      <c r="A66" s="1">
        <v>38159</v>
      </c>
      <c r="B66">
        <v>1</v>
      </c>
      <c r="C66" s="129" t="s">
        <v>469</v>
      </c>
      <c r="D66" s="169" t="s">
        <v>362</v>
      </c>
      <c r="E66" s="170" t="s">
        <v>387</v>
      </c>
      <c r="F66" s="171" t="s">
        <v>160</v>
      </c>
      <c r="G66" s="172" t="s">
        <v>155</v>
      </c>
      <c r="H66" s="172" t="s">
        <v>155</v>
      </c>
      <c r="I66" s="172" t="s">
        <v>155</v>
      </c>
      <c r="J66" s="172" t="s">
        <v>155</v>
      </c>
      <c r="K66" s="172" t="s">
        <v>155</v>
      </c>
      <c r="L66" s="172"/>
      <c r="M66" s="172"/>
      <c r="N66" s="172" t="s">
        <v>155</v>
      </c>
      <c r="O66" s="172"/>
      <c r="P66" s="172"/>
      <c r="Q66" s="73">
        <f>IF(N66="S",0,COUNTA(G66:M66)-COUNTA(O66:P66))</f>
        <v>0</v>
      </c>
      <c r="R66" s="73" t="str">
        <f>IF(Q66&gt;=$T$4,$U$4,IF(Q66&gt;=$T$3,$U$3,"Não Aplica"))</f>
        <v>Não Aplica</v>
      </c>
      <c r="AF66" s="176" t="s">
        <v>470</v>
      </c>
      <c r="AG66" s="176" t="s">
        <v>471</v>
      </c>
      <c r="AH66" s="176" t="s">
        <v>472</v>
      </c>
    </row>
    <row r="67" spans="1:34" ht="15.75">
      <c r="A67" s="1">
        <v>44121</v>
      </c>
      <c r="B67">
        <v>1</v>
      </c>
      <c r="C67" s="129" t="s">
        <v>473</v>
      </c>
      <c r="D67" s="173" t="s">
        <v>407</v>
      </c>
      <c r="E67" s="170" t="s">
        <v>428</v>
      </c>
      <c r="F67" s="174" t="s">
        <v>160</v>
      </c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73">
        <f t="shared" ref="Q67:Q70" si="14">IF(N67="S",0,COUNTA(G67:M67)-COUNTA(O67:P67))</f>
        <v>0</v>
      </c>
      <c r="R67" s="73" t="str">
        <f t="shared" si="13"/>
        <v>Não Aplica</v>
      </c>
      <c r="AF67" s="176" t="s">
        <v>474</v>
      </c>
      <c r="AG67" s="176" t="s">
        <v>475</v>
      </c>
      <c r="AH67" s="176" t="s">
        <v>476</v>
      </c>
    </row>
    <row r="68" spans="1:34" ht="15.75">
      <c r="A68" s="1">
        <v>39332</v>
      </c>
      <c r="B68">
        <v>1</v>
      </c>
      <c r="C68" s="129" t="s">
        <v>477</v>
      </c>
      <c r="D68" s="169" t="s">
        <v>362</v>
      </c>
      <c r="E68" s="170" t="s">
        <v>478</v>
      </c>
      <c r="F68" s="174" t="s">
        <v>160</v>
      </c>
      <c r="G68" s="172" t="s">
        <v>155</v>
      </c>
      <c r="H68" s="172" t="s">
        <v>155</v>
      </c>
      <c r="I68" s="172"/>
      <c r="J68" s="172"/>
      <c r="K68" s="172"/>
      <c r="L68" s="172"/>
      <c r="M68" s="172" t="s">
        <v>155</v>
      </c>
      <c r="N68" s="172"/>
      <c r="O68" s="172"/>
      <c r="P68" s="172"/>
      <c r="Q68" s="73">
        <f t="shared" si="14"/>
        <v>3</v>
      </c>
      <c r="R68" s="73" t="str">
        <f t="shared" si="13"/>
        <v>Não Aplica</v>
      </c>
      <c r="AF68" s="176" t="s">
        <v>479</v>
      </c>
      <c r="AG68" s="176" t="s">
        <v>480</v>
      </c>
      <c r="AH68" s="176" t="s">
        <v>481</v>
      </c>
    </row>
    <row r="69" spans="1:34" ht="15.75">
      <c r="A69" s="1">
        <v>54194</v>
      </c>
      <c r="B69">
        <v>1</v>
      </c>
      <c r="C69" s="129" t="s">
        <v>482</v>
      </c>
      <c r="D69" s="169" t="s">
        <v>362</v>
      </c>
      <c r="E69" s="170" t="s">
        <v>387</v>
      </c>
      <c r="F69" s="174" t="s">
        <v>160</v>
      </c>
      <c r="G69" s="172"/>
      <c r="H69" s="172"/>
      <c r="I69" s="172"/>
      <c r="J69" s="172"/>
      <c r="K69" s="172"/>
      <c r="L69" s="172"/>
      <c r="M69" s="172"/>
      <c r="N69" s="172"/>
      <c r="O69" s="172"/>
      <c r="P69" s="172" t="s">
        <v>155</v>
      </c>
      <c r="Q69" s="73">
        <f t="shared" si="14"/>
        <v>-1</v>
      </c>
      <c r="R69" s="73" t="str">
        <f t="shared" si="13"/>
        <v>Não Aplica</v>
      </c>
      <c r="AF69" s="176" t="s">
        <v>483</v>
      </c>
      <c r="AG69" s="176" t="s">
        <v>484</v>
      </c>
      <c r="AH69" s="176" t="s">
        <v>485</v>
      </c>
    </row>
    <row r="70" spans="1:34" ht="15.75">
      <c r="A70" s="1">
        <v>29760</v>
      </c>
      <c r="B70">
        <v>1</v>
      </c>
      <c r="C70" s="129" t="s">
        <v>486</v>
      </c>
      <c r="D70" s="169" t="s">
        <v>362</v>
      </c>
      <c r="E70" s="170" t="s">
        <v>428</v>
      </c>
      <c r="F70" s="174" t="s">
        <v>160</v>
      </c>
      <c r="G70" s="172"/>
      <c r="H70" s="172"/>
      <c r="I70" s="172"/>
      <c r="J70" s="172"/>
      <c r="K70" s="172"/>
      <c r="L70" s="172"/>
      <c r="M70" s="172" t="s">
        <v>155</v>
      </c>
      <c r="N70" s="172"/>
      <c r="O70" s="172"/>
      <c r="P70" s="172" t="s">
        <v>155</v>
      </c>
      <c r="Q70" s="73">
        <f t="shared" si="14"/>
        <v>0</v>
      </c>
      <c r="R70" s="73" t="str">
        <f t="shared" si="13"/>
        <v>Não Aplica</v>
      </c>
      <c r="AF70" s="176" t="s">
        <v>487</v>
      </c>
      <c r="AG70" s="176" t="s">
        <v>488</v>
      </c>
      <c r="AH70" s="176" t="s">
        <v>489</v>
      </c>
    </row>
    <row r="71" spans="1:34" ht="15.75">
      <c r="A71" s="1">
        <v>27571</v>
      </c>
      <c r="B71">
        <v>2</v>
      </c>
      <c r="C71" s="11" t="s">
        <v>490</v>
      </c>
      <c r="D71" s="72" t="s">
        <v>491</v>
      </c>
      <c r="E71" s="72" t="s">
        <v>334</v>
      </c>
      <c r="F71" s="72" t="s">
        <v>154</v>
      </c>
      <c r="G71" s="1" t="s">
        <v>155</v>
      </c>
      <c r="H71" s="1" t="s">
        <v>155</v>
      </c>
      <c r="I71" s="1" t="s">
        <v>155</v>
      </c>
      <c r="J71" s="1" t="s">
        <v>155</v>
      </c>
      <c r="L71" s="1" t="s">
        <v>155</v>
      </c>
      <c r="P71" s="128" t="s">
        <v>155</v>
      </c>
      <c r="Q71" s="73">
        <f t="shared" ref="Q71:Q83" si="15">IF(N71="S",0,COUNTA(G71:M71)-COUNTA(O71:P71))</f>
        <v>4</v>
      </c>
      <c r="R71" s="73" t="str">
        <f t="shared" ref="R71:R83" si="16">IF(Q71&gt;=$T$4,$U$4,IF(Q71&gt;=$T$3,$U$3,"Não Aplica"))</f>
        <v>Não Aplica</v>
      </c>
      <c r="AF71" s="176" t="s">
        <v>492</v>
      </c>
      <c r="AG71" s="176" t="s">
        <v>493</v>
      </c>
      <c r="AH71" s="176" t="s">
        <v>494</v>
      </c>
    </row>
    <row r="72" spans="1:34" ht="15.75">
      <c r="A72" s="1">
        <v>39396</v>
      </c>
      <c r="B72">
        <v>1</v>
      </c>
      <c r="C72" s="11" t="s">
        <v>495</v>
      </c>
      <c r="D72" s="11" t="s">
        <v>496</v>
      </c>
      <c r="E72" s="11" t="s">
        <v>497</v>
      </c>
      <c r="F72" s="72" t="s">
        <v>170</v>
      </c>
      <c r="G72" s="1" t="s">
        <v>155</v>
      </c>
      <c r="H72" s="1" t="s">
        <v>155</v>
      </c>
      <c r="I72" s="1" t="s">
        <v>155</v>
      </c>
      <c r="J72" s="1" t="s">
        <v>155</v>
      </c>
      <c r="K72" s="1" t="s">
        <v>155</v>
      </c>
      <c r="L72" s="1" t="s">
        <v>155</v>
      </c>
      <c r="M72" s="1" t="s">
        <v>155</v>
      </c>
      <c r="Q72" s="73">
        <f t="shared" si="15"/>
        <v>7</v>
      </c>
      <c r="R72" s="73" t="str">
        <f t="shared" si="16"/>
        <v>Ouro</v>
      </c>
      <c r="AF72" s="176" t="s">
        <v>498</v>
      </c>
      <c r="AG72" s="176" t="s">
        <v>499</v>
      </c>
      <c r="AH72" s="176" t="s">
        <v>500</v>
      </c>
    </row>
    <row r="73" spans="1:34" ht="15.75">
      <c r="A73" s="1">
        <v>33432</v>
      </c>
      <c r="B73">
        <v>2</v>
      </c>
      <c r="C73" s="11" t="s">
        <v>501</v>
      </c>
      <c r="D73" s="11" t="s">
        <v>496</v>
      </c>
      <c r="E73" s="11" t="s">
        <v>502</v>
      </c>
      <c r="F73" s="72" t="s">
        <v>170</v>
      </c>
      <c r="G73" s="1" t="s">
        <v>155</v>
      </c>
      <c r="H73" s="1" t="s">
        <v>155</v>
      </c>
      <c r="I73" s="1" t="s">
        <v>155</v>
      </c>
      <c r="J73" s="1" t="s">
        <v>155</v>
      </c>
      <c r="K73" s="1" t="s">
        <v>155</v>
      </c>
      <c r="M73" s="1" t="s">
        <v>155</v>
      </c>
      <c r="Q73" s="73">
        <f t="shared" si="15"/>
        <v>6</v>
      </c>
      <c r="R73" s="73" t="str">
        <f t="shared" si="16"/>
        <v>Ouro</v>
      </c>
      <c r="AF73" s="176" t="s">
        <v>503</v>
      </c>
      <c r="AG73" s="176" t="s">
        <v>504</v>
      </c>
      <c r="AH73" s="176" t="s">
        <v>505</v>
      </c>
    </row>
    <row r="74" spans="1:34" ht="15.75">
      <c r="A74" s="1">
        <v>48644</v>
      </c>
      <c r="B74">
        <v>1</v>
      </c>
      <c r="C74" s="168" t="s">
        <v>506</v>
      </c>
      <c r="D74" s="11" t="s">
        <v>496</v>
      </c>
      <c r="E74" s="11" t="s">
        <v>507</v>
      </c>
      <c r="F74" s="72" t="s">
        <v>170</v>
      </c>
      <c r="G74" s="1" t="s">
        <v>155</v>
      </c>
      <c r="H74" s="1" t="s">
        <v>155</v>
      </c>
      <c r="I74" s="1" t="s">
        <v>155</v>
      </c>
      <c r="J74" s="1" t="s">
        <v>155</v>
      </c>
      <c r="K74" s="1" t="s">
        <v>155</v>
      </c>
      <c r="L74" s="1" t="s">
        <v>155</v>
      </c>
      <c r="M74" s="1" t="s">
        <v>155</v>
      </c>
      <c r="Q74" s="73">
        <f t="shared" si="15"/>
        <v>7</v>
      </c>
      <c r="R74" s="73" t="str">
        <f t="shared" si="16"/>
        <v>Ouro</v>
      </c>
      <c r="AF74" s="176" t="s">
        <v>508</v>
      </c>
      <c r="AG74" s="176" t="s">
        <v>509</v>
      </c>
      <c r="AH74" s="178" t="s">
        <v>510</v>
      </c>
    </row>
    <row r="75" spans="1:34" ht="15.75">
      <c r="A75" s="74">
        <v>28579</v>
      </c>
      <c r="B75">
        <v>1</v>
      </c>
      <c r="C75" s="11" t="s">
        <v>511</v>
      </c>
      <c r="D75" s="11" t="s">
        <v>496</v>
      </c>
      <c r="E75" s="11" t="s">
        <v>512</v>
      </c>
      <c r="F75" s="72" t="s">
        <v>170</v>
      </c>
      <c r="G75" s="1" t="s">
        <v>155</v>
      </c>
      <c r="H75" s="1" t="s">
        <v>155</v>
      </c>
      <c r="I75" s="1" t="s">
        <v>155</v>
      </c>
      <c r="J75" s="1" t="s">
        <v>155</v>
      </c>
      <c r="K75" s="1" t="s">
        <v>155</v>
      </c>
      <c r="L75" s="1" t="s">
        <v>155</v>
      </c>
      <c r="M75" s="1" t="s">
        <v>155</v>
      </c>
      <c r="Q75" s="73">
        <f t="shared" si="15"/>
        <v>7</v>
      </c>
      <c r="R75" s="73" t="str">
        <f t="shared" si="16"/>
        <v>Ouro</v>
      </c>
      <c r="AF75" s="176" t="s">
        <v>513</v>
      </c>
      <c r="AG75" s="176" t="s">
        <v>514</v>
      </c>
      <c r="AH75" s="176" t="s">
        <v>515</v>
      </c>
    </row>
    <row r="76" spans="1:34" ht="15.75">
      <c r="A76" s="1">
        <v>48514</v>
      </c>
      <c r="B76">
        <v>1</v>
      </c>
      <c r="C76" s="167" t="s">
        <v>516</v>
      </c>
      <c r="D76" s="11" t="s">
        <v>496</v>
      </c>
      <c r="E76" s="11" t="s">
        <v>517</v>
      </c>
      <c r="F76" s="72" t="s">
        <v>176</v>
      </c>
      <c r="G76" s="1" t="s">
        <v>155</v>
      </c>
      <c r="H76" s="1" t="s">
        <v>155</v>
      </c>
      <c r="I76" s="1" t="s">
        <v>155</v>
      </c>
      <c r="J76" s="1" t="s">
        <v>155</v>
      </c>
      <c r="K76" s="1" t="s">
        <v>155</v>
      </c>
      <c r="M76" s="1" t="s">
        <v>155</v>
      </c>
      <c r="Q76" s="73">
        <f t="shared" si="15"/>
        <v>6</v>
      </c>
      <c r="R76" s="73" t="str">
        <f t="shared" si="16"/>
        <v>Ouro</v>
      </c>
      <c r="AF76" s="176" t="s">
        <v>518</v>
      </c>
      <c r="AG76" s="176" t="s">
        <v>519</v>
      </c>
      <c r="AH76" s="176" t="s">
        <v>520</v>
      </c>
    </row>
    <row r="77" spans="1:34" ht="15.75">
      <c r="A77" s="74">
        <v>41472</v>
      </c>
      <c r="B77">
        <v>2</v>
      </c>
      <c r="C77" s="11" t="s">
        <v>521</v>
      </c>
      <c r="D77" s="11" t="s">
        <v>496</v>
      </c>
      <c r="E77" s="11" t="s">
        <v>502</v>
      </c>
      <c r="F77" s="72" t="s">
        <v>170</v>
      </c>
      <c r="G77" s="1" t="s">
        <v>155</v>
      </c>
      <c r="J77" s="1" t="s">
        <v>155</v>
      </c>
      <c r="K77" s="1" t="s">
        <v>155</v>
      </c>
      <c r="Q77" s="73">
        <f t="shared" si="15"/>
        <v>3</v>
      </c>
      <c r="R77" s="73" t="str">
        <f t="shared" si="16"/>
        <v>Não Aplica</v>
      </c>
      <c r="AF77" s="176" t="s">
        <v>522</v>
      </c>
      <c r="AG77" s="176" t="s">
        <v>523</v>
      </c>
      <c r="AH77" s="176" t="s">
        <v>524</v>
      </c>
    </row>
    <row r="78" spans="1:34" ht="15.75">
      <c r="A78" s="1">
        <v>25985</v>
      </c>
      <c r="B78">
        <v>1</v>
      </c>
      <c r="C78" s="167" t="s">
        <v>525</v>
      </c>
      <c r="D78" s="11" t="s">
        <v>526</v>
      </c>
      <c r="E78" s="11" t="s">
        <v>527</v>
      </c>
      <c r="F78" s="72" t="s">
        <v>154</v>
      </c>
      <c r="G78" s="1" t="s">
        <v>155</v>
      </c>
      <c r="H78" s="1" t="s">
        <v>155</v>
      </c>
      <c r="I78" s="1" t="s">
        <v>155</v>
      </c>
      <c r="J78" s="1" t="s">
        <v>155</v>
      </c>
      <c r="M78" s="1" t="s">
        <v>155</v>
      </c>
      <c r="O78" s="1" t="s">
        <v>155</v>
      </c>
      <c r="Q78" s="73">
        <f t="shared" si="15"/>
        <v>4</v>
      </c>
      <c r="R78" s="73" t="str">
        <f t="shared" si="16"/>
        <v>Não Aplica</v>
      </c>
      <c r="AF78" s="176" t="s">
        <v>528</v>
      </c>
      <c r="AG78" s="176" t="s">
        <v>529</v>
      </c>
      <c r="AH78" s="176" t="s">
        <v>530</v>
      </c>
    </row>
    <row r="79" spans="1:34" ht="15.75">
      <c r="A79" s="1">
        <v>48066</v>
      </c>
      <c r="B79">
        <v>1</v>
      </c>
      <c r="C79" s="166" t="s">
        <v>531</v>
      </c>
      <c r="D79" s="11" t="s">
        <v>526</v>
      </c>
      <c r="E79" s="11" t="s">
        <v>532</v>
      </c>
      <c r="F79" s="72" t="s">
        <v>154</v>
      </c>
      <c r="G79" s="1" t="s">
        <v>155</v>
      </c>
      <c r="H79" s="1" t="s">
        <v>155</v>
      </c>
      <c r="I79" s="1" t="s">
        <v>155</v>
      </c>
      <c r="J79" s="1" t="s">
        <v>155</v>
      </c>
      <c r="L79" s="1" t="s">
        <v>155</v>
      </c>
      <c r="M79" s="1" t="s">
        <v>155</v>
      </c>
      <c r="Q79" s="73">
        <f t="shared" si="15"/>
        <v>6</v>
      </c>
      <c r="R79" s="73" t="str">
        <f t="shared" si="16"/>
        <v>Ouro</v>
      </c>
      <c r="AF79" s="176" t="s">
        <v>533</v>
      </c>
      <c r="AG79" s="176" t="s">
        <v>534</v>
      </c>
      <c r="AH79" s="176" t="s">
        <v>535</v>
      </c>
    </row>
    <row r="80" spans="1:34" ht="15.75">
      <c r="A80" s="1">
        <v>25932</v>
      </c>
      <c r="B80">
        <v>1</v>
      </c>
      <c r="C80" s="166" t="s">
        <v>536</v>
      </c>
      <c r="D80" s="11" t="s">
        <v>526</v>
      </c>
      <c r="E80" s="11" t="s">
        <v>537</v>
      </c>
      <c r="F80" s="72" t="s">
        <v>154</v>
      </c>
      <c r="G80" s="1" t="s">
        <v>155</v>
      </c>
      <c r="H80" s="1" t="s">
        <v>155</v>
      </c>
      <c r="I80" s="1" t="s">
        <v>155</v>
      </c>
      <c r="J80" s="1" t="s">
        <v>155</v>
      </c>
      <c r="K80" s="1" t="s">
        <v>155</v>
      </c>
      <c r="M80" s="1" t="s">
        <v>155</v>
      </c>
      <c r="P80" s="1" t="s">
        <v>155</v>
      </c>
      <c r="Q80" s="73">
        <f t="shared" si="15"/>
        <v>5</v>
      </c>
      <c r="R80" s="73" t="str">
        <f t="shared" si="16"/>
        <v>Prata</v>
      </c>
      <c r="AF80" s="176" t="s">
        <v>538</v>
      </c>
      <c r="AG80" s="176" t="s">
        <v>539</v>
      </c>
      <c r="AH80" s="165" t="s">
        <v>540</v>
      </c>
    </row>
    <row r="81" spans="1:34" ht="15" customHeight="1">
      <c r="A81" s="1">
        <v>34804</v>
      </c>
      <c r="B81">
        <v>1</v>
      </c>
      <c r="C81" s="166" t="s">
        <v>541</v>
      </c>
      <c r="D81" s="11" t="s">
        <v>526</v>
      </c>
      <c r="E81" s="11" t="s">
        <v>542</v>
      </c>
      <c r="F81" s="72" t="s">
        <v>154</v>
      </c>
      <c r="G81" s="1" t="s">
        <v>155</v>
      </c>
      <c r="H81" s="1" t="s">
        <v>155</v>
      </c>
      <c r="I81" s="1" t="s">
        <v>155</v>
      </c>
      <c r="J81" s="1" t="s">
        <v>155</v>
      </c>
      <c r="K81" s="1" t="s">
        <v>155</v>
      </c>
      <c r="L81" s="1" t="s">
        <v>155</v>
      </c>
      <c r="M81" s="1" t="s">
        <v>155</v>
      </c>
      <c r="Q81" s="73">
        <f t="shared" si="15"/>
        <v>7</v>
      </c>
      <c r="R81" s="73" t="str">
        <f t="shared" si="16"/>
        <v>Ouro</v>
      </c>
      <c r="AF81" s="176" t="s">
        <v>543</v>
      </c>
      <c r="AG81" s="176" t="s">
        <v>544</v>
      </c>
      <c r="AH81" s="176" t="s">
        <v>545</v>
      </c>
    </row>
    <row r="82" spans="1:34" ht="15" customHeight="1">
      <c r="A82" s="1">
        <v>42122</v>
      </c>
      <c r="B82">
        <v>1</v>
      </c>
      <c r="C82" s="166" t="s">
        <v>546</v>
      </c>
      <c r="D82" s="11" t="s">
        <v>526</v>
      </c>
      <c r="E82" s="11" t="s">
        <v>547</v>
      </c>
      <c r="F82" s="72" t="s">
        <v>154</v>
      </c>
      <c r="G82" s="1" t="s">
        <v>155</v>
      </c>
      <c r="H82" s="1" t="s">
        <v>155</v>
      </c>
      <c r="I82" s="1" t="s">
        <v>155</v>
      </c>
      <c r="J82" s="1" t="s">
        <v>155</v>
      </c>
      <c r="L82" s="1" t="s">
        <v>155</v>
      </c>
      <c r="M82" s="1" t="s">
        <v>155</v>
      </c>
      <c r="Q82" s="73">
        <f t="shared" si="15"/>
        <v>6</v>
      </c>
      <c r="R82" s="73" t="str">
        <f t="shared" si="16"/>
        <v>Ouro</v>
      </c>
      <c r="AF82" s="176" t="s">
        <v>548</v>
      </c>
      <c r="AG82" t="s">
        <v>549</v>
      </c>
      <c r="AH82" s="176" t="s">
        <v>550</v>
      </c>
    </row>
    <row r="83" spans="1:34" ht="15" customHeight="1">
      <c r="A83" s="1">
        <v>38506</v>
      </c>
      <c r="B83">
        <v>1</v>
      </c>
      <c r="C83" s="166" t="s">
        <v>551</v>
      </c>
      <c r="D83" s="11" t="s">
        <v>526</v>
      </c>
      <c r="E83" s="11" t="s">
        <v>532</v>
      </c>
      <c r="F83" s="72" t="s">
        <v>154</v>
      </c>
      <c r="G83" s="1" t="s">
        <v>155</v>
      </c>
      <c r="H83" s="1" t="s">
        <v>155</v>
      </c>
      <c r="I83" s="1" t="s">
        <v>155</v>
      </c>
      <c r="J83" s="1" t="s">
        <v>155</v>
      </c>
      <c r="L83" s="1" t="s">
        <v>155</v>
      </c>
      <c r="M83" s="1" t="s">
        <v>155</v>
      </c>
      <c r="Q83" s="73">
        <f t="shared" si="15"/>
        <v>6</v>
      </c>
      <c r="R83" s="73" t="str">
        <f t="shared" si="16"/>
        <v>Ouro</v>
      </c>
      <c r="AF83" s="176" t="s">
        <v>552</v>
      </c>
      <c r="AG83" s="176" t="s">
        <v>553</v>
      </c>
      <c r="AH83" s="176" t="s">
        <v>554</v>
      </c>
    </row>
    <row r="87" spans="1:34" ht="15" customHeight="1">
      <c r="M87" s="1" t="s">
        <v>555</v>
      </c>
    </row>
  </sheetData>
  <autoFilter ref="C2:AA83" xr:uid="{04B3DEB9-D9D6-463B-BD73-4E0A5D711E32}"/>
  <conditionalFormatting sqref="C45 E45">
    <cfRule type="expression" dxfId="17" priority="77">
      <formula>#REF!="Prata"</formula>
    </cfRule>
    <cfRule type="expression" dxfId="16" priority="78">
      <formula>#REF!="Ouro"</formula>
    </cfRule>
  </conditionalFormatting>
  <conditionalFormatting sqref="C3:F5 Q3:R83 D69:D70">
    <cfRule type="expression" dxfId="15" priority="37">
      <formula>$R3="Prata"</formula>
    </cfRule>
    <cfRule type="expression" dxfId="14" priority="38">
      <formula>$R3="Ouro"</formula>
    </cfRule>
  </conditionalFormatting>
  <conditionalFormatting sqref="C29:F38 D39:D51 F39:F51 D56 F56:F57 D59:D62 F60:F62 F66 D68:D70 F69:F70">
    <cfRule type="expression" dxfId="13" priority="42">
      <formula>#REF!="Ouro"</formula>
    </cfRule>
  </conditionalFormatting>
  <conditionalFormatting sqref="C44:F44 C47:E47">
    <cfRule type="expression" dxfId="12" priority="95">
      <formula>#REF!="Prata"</formula>
    </cfRule>
    <cfRule type="expression" dxfId="11" priority="96">
      <formula>#REF!="Ouro"</formula>
    </cfRule>
  </conditionalFormatting>
  <conditionalFormatting sqref="C46:F46">
    <cfRule type="expression" dxfId="10" priority="73">
      <formula>#REF!="Prata"</formula>
    </cfRule>
    <cfRule type="expression" dxfId="9" priority="74">
      <formula>#REF!="Ouro"</formula>
    </cfRule>
  </conditionalFormatting>
  <conditionalFormatting sqref="C52:F52">
    <cfRule type="expression" dxfId="8" priority="69">
      <formula>#REF!="Prata"</formula>
    </cfRule>
    <cfRule type="expression" dxfId="7" priority="70">
      <formula>#REF!="Ouro"</formula>
    </cfRule>
  </conditionalFormatting>
  <conditionalFormatting sqref="D40:D43">
    <cfRule type="expression" dxfId="6" priority="1">
      <formula>#REF!="Prata"</formula>
    </cfRule>
    <cfRule type="expression" dxfId="5" priority="2">
      <formula>#REF!="Ouro"</formula>
    </cfRule>
  </conditionalFormatting>
  <conditionalFormatting sqref="D64:D66">
    <cfRule type="expression" dxfId="4" priority="11">
      <formula>#REF!="Prata"</formula>
    </cfRule>
    <cfRule type="expression" dxfId="3" priority="12">
      <formula>#REF!="Ouro"</formula>
    </cfRule>
  </conditionalFormatting>
  <conditionalFormatting sqref="D68:D70 F39:F51 D39:D51 C29:F38 D56 F56:F57 D59:D62 F60:F62 F66 F69:F70">
    <cfRule type="expression" dxfId="2" priority="41">
      <formula>#REF!="Prata"</formula>
    </cfRule>
  </conditionalFormatting>
  <conditionalFormatting sqref="F47">
    <cfRule type="expression" dxfId="1" priority="15">
      <formula>#REF!="Prata"</formula>
    </cfRule>
    <cfRule type="expression" dxfId="0" priority="16">
      <formula>#REF!="Ouro"</formula>
    </cfRule>
  </conditionalFormatting>
  <hyperlinks>
    <hyperlink ref="AD30" r:id="rId1" xr:uid="{8AEC1FB9-2C04-489F-A083-2AC56B534467}"/>
    <hyperlink ref="AD29" r:id="rId2" xr:uid="{BB6BBA73-6148-40E3-92AB-1FCB226CF659}"/>
    <hyperlink ref="AD31" r:id="rId3" xr:uid="{24532618-512B-4F14-9B57-2DAED5AC7BF7}"/>
    <hyperlink ref="AD14" r:id="rId4" xr:uid="{35129325-F0DE-4DEE-BF4E-6912047C3438}"/>
    <hyperlink ref="AH41" r:id="rId5" xr:uid="{5AB77AED-450D-4F89-A098-11A8F17ABD7D}"/>
    <hyperlink ref="AH22" r:id="rId6" xr:uid="{7AB66CCE-17DB-431B-828D-C808CDC49732}"/>
    <hyperlink ref="AH14" r:id="rId7" xr:uid="{C536D5B8-B030-4B23-9D76-1539E5C5AB5B}"/>
    <hyperlink ref="AH30" r:id="rId8" xr:uid="{FC99DA17-B5DB-4934-9B9C-1DC38444EAB6}"/>
    <hyperlink ref="AH29" r:id="rId9" xr:uid="{F3CBF9C0-B5AA-446A-96E9-BBBBF8DFBEA0}"/>
    <hyperlink ref="AH31" r:id="rId10" xr:uid="{0B5F8311-DE79-4093-B377-71FF9C3C1D9E}"/>
    <hyperlink ref="AH16" r:id="rId11" xr:uid="{54AB05CA-B228-405E-BBE5-6C0F37517642}"/>
    <hyperlink ref="AH17" r:id="rId12" xr:uid="{D69E4B1F-2133-42D2-AE86-5351BEDFF2D1}"/>
    <hyperlink ref="AH18" r:id="rId13" xr:uid="{B1078ABD-A067-42AE-A5A4-3A6F9E97CBF8}"/>
    <hyperlink ref="AH19" r:id="rId14" xr:uid="{EB8BB145-D503-48B3-8C96-F4492304A843}"/>
    <hyperlink ref="AH27" r:id="rId15" xr:uid="{5A3C40F8-FAFB-4049-A26D-6AB106B2A5EC}"/>
    <hyperlink ref="AH28" r:id="rId16" xr:uid="{00A5A34A-4874-4B0E-9878-7FFE8900E7DD}"/>
    <hyperlink ref="AH37" r:id="rId17" xr:uid="{99A5047A-B74C-4898-A46E-8359D3CD093C}"/>
    <hyperlink ref="AH74" r:id="rId18" xr:uid="{50853D04-FCA1-4F34-94EB-83D37B3A9244}"/>
    <hyperlink ref="AH80" r:id="rId19" xr:uid="{7A40DE21-40C3-407A-9D20-C22A0E4FA2D5}"/>
  </hyperlinks>
  <pageMargins left="0.511811024" right="0.511811024" top="0.78740157499999996" bottom="0.78740157499999996" header="0.31496062000000002" footer="0.31496062000000002"/>
  <legacy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04FE-F1E0-4729-B2F9-52CE792C3286}">
  <dimension ref="A1:B7"/>
  <sheetViews>
    <sheetView zoomScale="145" zoomScaleNormal="145" workbookViewId="0"/>
  </sheetViews>
  <sheetFormatPr defaultRowHeight="15"/>
  <cols>
    <col min="1" max="1" width="64.5703125" bestFit="1" customWidth="1"/>
    <col min="2" max="2" width="33.5703125" bestFit="1" customWidth="1"/>
  </cols>
  <sheetData>
    <row r="1" spans="1:2">
      <c r="A1" t="s">
        <v>556</v>
      </c>
    </row>
    <row r="2" spans="1:2">
      <c r="A2" t="s">
        <v>557</v>
      </c>
      <c r="B2" t="s">
        <v>558</v>
      </c>
    </row>
    <row r="3" spans="1:2">
      <c r="A3" t="s">
        <v>559</v>
      </c>
    </row>
    <row r="4" spans="1:2">
      <c r="A4" t="s">
        <v>560</v>
      </c>
    </row>
    <row r="5" spans="1:2">
      <c r="A5" t="s">
        <v>561</v>
      </c>
    </row>
    <row r="6" spans="1:2">
      <c r="A6" t="s">
        <v>562</v>
      </c>
    </row>
    <row r="7" spans="1:2">
      <c r="A7" t="s">
        <v>563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D043-72D3-4649-9715-1FD03E089043}">
  <dimension ref="A2:L18"/>
  <sheetViews>
    <sheetView workbookViewId="0">
      <selection activeCell="F6" sqref="F6"/>
    </sheetView>
  </sheetViews>
  <sheetFormatPr defaultRowHeight="15"/>
  <cols>
    <col min="1" max="1" width="22.140625" bestFit="1" customWidth="1"/>
    <col min="2" max="2" width="10.7109375" bestFit="1" customWidth="1"/>
    <col min="3" max="3" width="15.42578125" bestFit="1" customWidth="1"/>
    <col min="7" max="7" width="22.42578125" customWidth="1"/>
    <col min="8" max="8" width="14.85546875" customWidth="1"/>
    <col min="11" max="11" width="22.42578125" customWidth="1"/>
    <col min="12" max="12" width="14.85546875" customWidth="1"/>
  </cols>
  <sheetData>
    <row r="2" spans="1:12">
      <c r="A2">
        <v>63</v>
      </c>
      <c r="E2" s="117" t="s">
        <v>564</v>
      </c>
      <c r="J2" t="s">
        <v>565</v>
      </c>
    </row>
    <row r="3" spans="1:12">
      <c r="A3" s="111" t="s">
        <v>566</v>
      </c>
      <c r="B3" s="112" t="s">
        <v>567</v>
      </c>
      <c r="C3" s="3" t="s">
        <v>568</v>
      </c>
      <c r="E3" s="114" t="s">
        <v>569</v>
      </c>
      <c r="F3" s="114" t="s">
        <v>570</v>
      </c>
      <c r="G3" s="114" t="s">
        <v>571</v>
      </c>
      <c r="H3" s="114" t="s">
        <v>572</v>
      </c>
      <c r="J3" s="114" t="s">
        <v>570</v>
      </c>
      <c r="K3" s="114" t="s">
        <v>571</v>
      </c>
      <c r="L3" s="114" t="s">
        <v>572</v>
      </c>
    </row>
    <row r="4" spans="1:12">
      <c r="A4" t="s">
        <v>573</v>
      </c>
      <c r="B4" s="113">
        <f>H8</f>
        <v>36050</v>
      </c>
      <c r="C4" s="113">
        <f>B4/$A$2</f>
        <v>572.22222222222217</v>
      </c>
      <c r="E4" s="77" t="s">
        <v>164</v>
      </c>
      <c r="F4" s="77">
        <v>4</v>
      </c>
      <c r="G4" s="116">
        <v>850</v>
      </c>
      <c r="H4" s="115">
        <f>G4*F4</f>
        <v>3400</v>
      </c>
      <c r="J4" s="77">
        <v>3</v>
      </c>
      <c r="K4" s="116">
        <v>850</v>
      </c>
      <c r="L4" s="115">
        <f>K4*J4</f>
        <v>2550</v>
      </c>
    </row>
    <row r="5" spans="1:12">
      <c r="A5" t="s">
        <v>574</v>
      </c>
      <c r="B5" s="113">
        <f>C5*$A$2</f>
        <v>3150</v>
      </c>
      <c r="C5" s="113">
        <v>50</v>
      </c>
      <c r="E5" s="77" t="s">
        <v>158</v>
      </c>
      <c r="F5" s="77">
        <v>8</v>
      </c>
      <c r="G5" s="116">
        <v>900</v>
      </c>
      <c r="H5" s="115">
        <f t="shared" ref="H5:H7" si="0">G5*F5</f>
        <v>7200</v>
      </c>
      <c r="J5" s="77">
        <v>3</v>
      </c>
      <c r="K5" s="116">
        <v>900</v>
      </c>
      <c r="L5" s="115">
        <f t="shared" ref="L5:L7" si="1">K5*J5</f>
        <v>2700</v>
      </c>
    </row>
    <row r="6" spans="1:12">
      <c r="A6" t="s">
        <v>575</v>
      </c>
      <c r="B6" s="113">
        <f t="shared" ref="B6:B9" si="2">C6*$A$2</f>
        <v>15750</v>
      </c>
      <c r="C6" s="113">
        <v>250</v>
      </c>
      <c r="E6" s="77" t="s">
        <v>160</v>
      </c>
      <c r="F6" s="77">
        <v>19</v>
      </c>
      <c r="G6" s="116">
        <v>1050</v>
      </c>
      <c r="H6" s="115">
        <f t="shared" si="0"/>
        <v>19950</v>
      </c>
      <c r="J6" s="77">
        <v>17</v>
      </c>
      <c r="K6" s="116">
        <v>1050</v>
      </c>
      <c r="L6" s="115">
        <f t="shared" si="1"/>
        <v>17850</v>
      </c>
    </row>
    <row r="7" spans="1:12">
      <c r="A7" t="s">
        <v>576</v>
      </c>
      <c r="B7" s="113">
        <f t="shared" si="2"/>
        <v>3780</v>
      </c>
      <c r="C7" s="113">
        <v>60</v>
      </c>
      <c r="E7" s="77" t="s">
        <v>170</v>
      </c>
      <c r="F7" s="77">
        <v>5</v>
      </c>
      <c r="G7" s="116">
        <v>1100</v>
      </c>
      <c r="H7" s="115">
        <f t="shared" si="0"/>
        <v>5500</v>
      </c>
      <c r="J7" s="77">
        <v>5</v>
      </c>
      <c r="K7" s="116">
        <v>1100</v>
      </c>
      <c r="L7" s="115">
        <f t="shared" si="1"/>
        <v>5500</v>
      </c>
    </row>
    <row r="8" spans="1:12">
      <c r="A8" t="s">
        <v>577</v>
      </c>
      <c r="B8" s="113">
        <f t="shared" si="2"/>
        <v>1890</v>
      </c>
      <c r="C8" s="113">
        <v>30</v>
      </c>
      <c r="F8" s="160">
        <f>SUM(F4:F7)</f>
        <v>36</v>
      </c>
      <c r="G8" s="115">
        <f>SUM(G4:G7)</f>
        <v>3900</v>
      </c>
      <c r="H8" s="115">
        <f>SUM(H4:H7)</f>
        <v>36050</v>
      </c>
      <c r="J8" s="160">
        <f>SUM(J4:J7)</f>
        <v>28</v>
      </c>
      <c r="K8" s="115">
        <f>SUM(K4:K7)</f>
        <v>3900</v>
      </c>
      <c r="L8" s="115">
        <f>SUM(L4:L7)</f>
        <v>28600</v>
      </c>
    </row>
    <row r="9" spans="1:12">
      <c r="A9" t="s">
        <v>578</v>
      </c>
      <c r="B9" s="113">
        <f t="shared" si="2"/>
        <v>11340</v>
      </c>
      <c r="C9" s="113">
        <v>180</v>
      </c>
    </row>
    <row r="10" spans="1:12">
      <c r="A10" s="3" t="s">
        <v>146</v>
      </c>
      <c r="B10" s="183">
        <f>SUM(B4:B9)</f>
        <v>71960</v>
      </c>
      <c r="C10" s="183">
        <f>SUM(C4:C9)</f>
        <v>1142.2222222222222</v>
      </c>
      <c r="J10" s="77">
        <v>43</v>
      </c>
    </row>
    <row r="11" spans="1:12">
      <c r="A11" s="3" t="s">
        <v>579</v>
      </c>
      <c r="B11" s="183">
        <f>B10*1.1</f>
        <v>79156</v>
      </c>
      <c r="C11" s="183">
        <f>C10*1.1</f>
        <v>1256.4444444444446</v>
      </c>
    </row>
    <row r="13" spans="1:12">
      <c r="A13" s="155" t="s">
        <v>580</v>
      </c>
      <c r="B13" s="155"/>
      <c r="C13" s="155"/>
      <c r="E13" s="1"/>
      <c r="F13" s="1"/>
    </row>
    <row r="14" spans="1:12">
      <c r="F14" s="1"/>
      <c r="G14" s="116"/>
      <c r="J14" s="77"/>
      <c r="K14" s="116"/>
    </row>
    <row r="15" spans="1:12">
      <c r="F15" s="1"/>
      <c r="G15" s="116"/>
      <c r="J15" s="77"/>
      <c r="K15" s="116"/>
    </row>
    <row r="16" spans="1:12">
      <c r="F16" s="1"/>
      <c r="G16" s="116"/>
      <c r="J16" s="77"/>
      <c r="K16" s="116"/>
    </row>
    <row r="17" spans="6:11">
      <c r="F17" s="1"/>
      <c r="G17" s="116"/>
      <c r="J17" s="77"/>
      <c r="K17" s="116"/>
    </row>
    <row r="18" spans="6:11">
      <c r="F18" s="1"/>
      <c r="G18" s="116"/>
      <c r="J18" s="77"/>
      <c r="K18" s="116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3758-475A-468D-B0C9-D13CD6F596E4}">
  <dimension ref="A2:J28"/>
  <sheetViews>
    <sheetView tabSelected="1" topLeftCell="A13" workbookViewId="0">
      <selection activeCell="J28" sqref="J28"/>
    </sheetView>
  </sheetViews>
  <sheetFormatPr defaultRowHeight="15"/>
  <cols>
    <col min="1" max="1" width="17.85546875" bestFit="1" customWidth="1"/>
    <col min="2" max="2" width="7" style="1" bestFit="1" customWidth="1"/>
    <col min="9" max="9" width="16.7109375" bestFit="1" customWidth="1"/>
  </cols>
  <sheetData>
    <row r="2" spans="1:10">
      <c r="B2" s="1" t="s">
        <v>131</v>
      </c>
      <c r="I2" t="s">
        <v>147</v>
      </c>
      <c r="J2" t="s">
        <v>148</v>
      </c>
    </row>
    <row r="3" spans="1:10">
      <c r="A3" t="s">
        <v>581</v>
      </c>
      <c r="B3" s="1" t="s">
        <v>154</v>
      </c>
      <c r="I3" t="s">
        <v>285</v>
      </c>
      <c r="J3" t="s">
        <v>285</v>
      </c>
    </row>
    <row r="4" spans="1:10">
      <c r="A4" t="s">
        <v>206</v>
      </c>
      <c r="B4" s="1" t="s">
        <v>154</v>
      </c>
      <c r="I4" t="s">
        <v>206</v>
      </c>
      <c r="J4" t="s">
        <v>206</v>
      </c>
    </row>
    <row r="5" spans="1:10">
      <c r="A5" t="s">
        <v>582</v>
      </c>
      <c r="B5" s="1" t="s">
        <v>158</v>
      </c>
      <c r="I5" t="s">
        <v>162</v>
      </c>
      <c r="J5" t="s">
        <v>162</v>
      </c>
    </row>
    <row r="6" spans="1:10">
      <c r="A6" t="s">
        <v>362</v>
      </c>
      <c r="B6" s="1" t="s">
        <v>160</v>
      </c>
      <c r="I6" t="s">
        <v>362</v>
      </c>
      <c r="J6" t="s">
        <v>362</v>
      </c>
    </row>
    <row r="7" spans="1:10">
      <c r="A7" t="s">
        <v>583</v>
      </c>
      <c r="B7" s="1" t="s">
        <v>154</v>
      </c>
      <c r="I7" t="s">
        <v>584</v>
      </c>
      <c r="J7" t="s">
        <v>584</v>
      </c>
    </row>
    <row r="8" spans="1:10">
      <c r="A8" t="s">
        <v>496</v>
      </c>
      <c r="B8" s="1" t="s">
        <v>170</v>
      </c>
      <c r="D8" t="s">
        <v>585</v>
      </c>
      <c r="I8" t="s">
        <v>496</v>
      </c>
      <c r="J8" t="s">
        <v>496</v>
      </c>
    </row>
    <row r="9" spans="1:10">
      <c r="A9" t="s">
        <v>526</v>
      </c>
      <c r="B9" s="1" t="s">
        <v>154</v>
      </c>
      <c r="D9" t="s">
        <v>585</v>
      </c>
      <c r="I9" t="s">
        <v>586</v>
      </c>
      <c r="J9" t="s">
        <v>586</v>
      </c>
    </row>
    <row r="10" spans="1:10">
      <c r="A10" t="s">
        <v>274</v>
      </c>
      <c r="B10" s="1" t="s">
        <v>164</v>
      </c>
      <c r="D10" t="s">
        <v>585</v>
      </c>
    </row>
    <row r="11" spans="1:10">
      <c r="I11" t="s">
        <v>587</v>
      </c>
      <c r="J11" t="s">
        <v>587</v>
      </c>
    </row>
    <row r="12" spans="1:10">
      <c r="I12" t="s">
        <v>588</v>
      </c>
      <c r="J12" t="s">
        <v>588</v>
      </c>
    </row>
    <row r="13" spans="1:10">
      <c r="A13" t="s">
        <v>491</v>
      </c>
    </row>
    <row r="25" spans="1:10">
      <c r="A25" t="s">
        <v>589</v>
      </c>
      <c r="I25" t="s">
        <v>589</v>
      </c>
      <c r="J25" t="s">
        <v>589</v>
      </c>
    </row>
    <row r="26" spans="1:10">
      <c r="A26" t="s">
        <v>590</v>
      </c>
      <c r="I26" t="s">
        <v>590</v>
      </c>
      <c r="J26" t="s">
        <v>590</v>
      </c>
    </row>
    <row r="27" spans="1:10">
      <c r="A27" t="s">
        <v>591</v>
      </c>
      <c r="I27" t="s">
        <v>591</v>
      </c>
      <c r="J27" t="s">
        <v>591</v>
      </c>
    </row>
    <row r="28" spans="1:10">
      <c r="A28" t="s">
        <v>592</v>
      </c>
      <c r="I28" t="s">
        <v>592</v>
      </c>
      <c r="J28" t="s">
        <v>592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386F-CB76-43F2-B159-71204CD670F7}">
  <dimension ref="A1:T148"/>
  <sheetViews>
    <sheetView topLeftCell="A61" workbookViewId="0">
      <selection activeCell="F84" sqref="F84"/>
    </sheetView>
  </sheetViews>
  <sheetFormatPr defaultRowHeight="15" customHeight="1"/>
  <cols>
    <col min="1" max="1" width="21.140625" customWidth="1"/>
    <col min="2" max="2" width="19" customWidth="1"/>
    <col min="3" max="3" width="7.42578125" customWidth="1"/>
    <col min="4" max="4" width="16.85546875" customWidth="1"/>
    <col min="10" max="10" width="47" customWidth="1"/>
    <col min="15" max="15" width="9.28515625" customWidth="1"/>
    <col min="20" max="20" width="27.85546875" customWidth="1"/>
  </cols>
  <sheetData>
    <row r="1" spans="1:20" ht="15" customHeight="1">
      <c r="A1" s="354" t="s">
        <v>593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</row>
    <row r="2" spans="1:20" ht="15" customHeight="1">
      <c r="A2" s="354"/>
      <c r="B2" s="354"/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  <c r="R2" s="354"/>
      <c r="S2" s="354"/>
      <c r="T2" s="354"/>
    </row>
    <row r="4" spans="1:20">
      <c r="B4" t="s">
        <v>594</v>
      </c>
      <c r="C4" t="s">
        <v>595</v>
      </c>
    </row>
    <row r="5" spans="1:20" ht="15" customHeight="1">
      <c r="A5" s="357" t="s">
        <v>47</v>
      </c>
      <c r="B5" s="357" t="s">
        <v>43</v>
      </c>
      <c r="C5" t="s">
        <v>40</v>
      </c>
      <c r="D5" t="s">
        <v>596</v>
      </c>
      <c r="E5" t="s">
        <v>597</v>
      </c>
      <c r="K5" t="s">
        <v>598</v>
      </c>
      <c r="P5" s="356" t="s">
        <v>599</v>
      </c>
      <c r="Q5" s="356"/>
      <c r="R5" s="356"/>
      <c r="S5" s="356"/>
      <c r="T5" s="356"/>
    </row>
    <row r="6" spans="1:20">
      <c r="A6" s="357"/>
      <c r="B6" s="357"/>
      <c r="C6" t="s">
        <v>40</v>
      </c>
      <c r="D6" t="s">
        <v>74</v>
      </c>
      <c r="E6" t="s">
        <v>600</v>
      </c>
      <c r="K6" s="356" t="s">
        <v>601</v>
      </c>
      <c r="L6" s="356"/>
      <c r="M6" s="356"/>
      <c r="N6" s="356"/>
      <c r="O6" s="356"/>
      <c r="P6" s="356"/>
      <c r="Q6" s="356"/>
      <c r="R6" s="356"/>
      <c r="S6" s="356"/>
      <c r="T6" s="356"/>
    </row>
    <row r="7" spans="1:20">
      <c r="A7" s="357"/>
      <c r="B7" s="357"/>
      <c r="K7" s="356"/>
      <c r="L7" s="356"/>
      <c r="M7" s="356"/>
      <c r="N7" s="356"/>
      <c r="O7" s="356"/>
      <c r="P7" s="356"/>
      <c r="Q7" s="356"/>
      <c r="R7" s="356"/>
      <c r="S7" s="356"/>
      <c r="T7" s="356"/>
    </row>
    <row r="8" spans="1:20">
      <c r="A8" s="357"/>
      <c r="B8" s="357"/>
      <c r="C8" t="s">
        <v>40</v>
      </c>
      <c r="D8" s="155" t="s">
        <v>57</v>
      </c>
      <c r="E8" s="154" t="s">
        <v>602</v>
      </c>
      <c r="F8" s="155"/>
      <c r="G8" s="155"/>
      <c r="H8" s="155"/>
      <c r="I8" s="155"/>
      <c r="J8" s="155"/>
      <c r="K8" s="155" t="s">
        <v>603</v>
      </c>
      <c r="L8" s="155"/>
      <c r="M8" s="155"/>
      <c r="N8" s="155"/>
      <c r="O8" s="155"/>
      <c r="P8" s="356"/>
      <c r="Q8" s="356"/>
      <c r="R8" s="356"/>
      <c r="S8" s="356"/>
      <c r="T8" s="356"/>
    </row>
    <row r="9" spans="1:20" ht="14.45" customHeight="1">
      <c r="A9" s="357" t="s">
        <v>54</v>
      </c>
      <c r="B9" s="357"/>
      <c r="C9" s="156" t="s">
        <v>49</v>
      </c>
      <c r="D9" t="s">
        <v>596</v>
      </c>
      <c r="E9" t="s">
        <v>597</v>
      </c>
      <c r="K9" t="s">
        <v>598</v>
      </c>
      <c r="P9" s="356" t="s">
        <v>604</v>
      </c>
      <c r="Q9" s="356"/>
      <c r="R9" s="356"/>
      <c r="S9" s="356"/>
      <c r="T9" s="356"/>
    </row>
    <row r="10" spans="1:20" ht="14.45" customHeight="1">
      <c r="A10" s="357"/>
      <c r="B10" s="357"/>
      <c r="C10" s="156" t="s">
        <v>49</v>
      </c>
      <c r="D10" t="s">
        <v>74</v>
      </c>
      <c r="E10" t="s">
        <v>600</v>
      </c>
      <c r="K10" s="356" t="s">
        <v>601</v>
      </c>
      <c r="L10" s="356"/>
      <c r="M10" s="356"/>
      <c r="N10" s="356"/>
      <c r="O10" s="356"/>
      <c r="P10" s="356"/>
      <c r="Q10" s="356"/>
      <c r="R10" s="356"/>
      <c r="S10" s="356"/>
      <c r="T10" s="356"/>
    </row>
    <row r="11" spans="1:20" ht="14.45" customHeight="1">
      <c r="A11" s="357"/>
      <c r="B11" s="357"/>
      <c r="C11" s="156"/>
      <c r="K11" s="356"/>
      <c r="L11" s="356"/>
      <c r="M11" s="356"/>
      <c r="N11" s="356"/>
      <c r="O11" s="356"/>
      <c r="P11" s="356"/>
      <c r="Q11" s="356"/>
      <c r="R11" s="356"/>
      <c r="S11" s="356"/>
      <c r="T11" s="356"/>
    </row>
    <row r="12" spans="1:20" ht="14.45" customHeight="1">
      <c r="A12" s="357"/>
      <c r="B12" s="357"/>
      <c r="C12" s="156" t="s">
        <v>49</v>
      </c>
      <c r="D12" s="155" t="s">
        <v>57</v>
      </c>
      <c r="E12" s="154" t="s">
        <v>602</v>
      </c>
      <c r="F12" s="155"/>
      <c r="G12" s="155"/>
      <c r="H12" s="155"/>
      <c r="I12" s="155"/>
      <c r="J12" s="155"/>
      <c r="K12" s="155" t="s">
        <v>603</v>
      </c>
      <c r="L12" s="155"/>
      <c r="M12" s="155"/>
      <c r="N12" s="155"/>
      <c r="O12" s="155"/>
      <c r="P12" s="356"/>
      <c r="Q12" s="356"/>
      <c r="R12" s="356"/>
      <c r="S12" s="356"/>
      <c r="T12" s="356"/>
    </row>
    <row r="13" spans="1:20" ht="14.45" customHeight="1">
      <c r="A13" s="357"/>
      <c r="B13" s="357"/>
      <c r="C13" s="10">
        <v>1</v>
      </c>
      <c r="D13" t="s">
        <v>596</v>
      </c>
      <c r="E13" t="s">
        <v>597</v>
      </c>
      <c r="K13" t="s">
        <v>598</v>
      </c>
      <c r="P13" s="356" t="s">
        <v>605</v>
      </c>
      <c r="Q13" s="356"/>
      <c r="R13" s="356"/>
      <c r="S13" s="356"/>
      <c r="T13" s="356"/>
    </row>
    <row r="14" spans="1:20" ht="17.25" customHeight="1">
      <c r="A14" s="357"/>
      <c r="B14" s="357"/>
      <c r="C14" s="10">
        <v>1</v>
      </c>
      <c r="D14" t="s">
        <v>74</v>
      </c>
      <c r="E14" s="355" t="s">
        <v>606</v>
      </c>
      <c r="F14" s="355"/>
      <c r="G14" s="355"/>
      <c r="H14" s="355"/>
      <c r="I14" s="355"/>
      <c r="J14" s="355"/>
      <c r="K14" s="356" t="s">
        <v>598</v>
      </c>
      <c r="L14" s="356"/>
      <c r="M14" s="356"/>
      <c r="N14" s="356"/>
      <c r="O14" s="356"/>
      <c r="P14" s="356"/>
      <c r="Q14" s="356"/>
      <c r="R14" s="356"/>
      <c r="S14" s="356"/>
      <c r="T14" s="356"/>
    </row>
    <row r="15" spans="1:20" ht="14.45" customHeight="1">
      <c r="A15" s="357"/>
      <c r="B15" s="357"/>
      <c r="C15" s="10"/>
      <c r="E15" s="355"/>
      <c r="F15" s="355"/>
      <c r="G15" s="355"/>
      <c r="H15" s="355"/>
      <c r="I15" s="355"/>
      <c r="J15" s="355"/>
      <c r="K15" s="356"/>
      <c r="L15" s="356"/>
      <c r="M15" s="356"/>
      <c r="N15" s="356"/>
      <c r="O15" s="356"/>
      <c r="P15" s="356"/>
      <c r="Q15" s="356"/>
      <c r="R15" s="356"/>
      <c r="S15" s="356"/>
      <c r="T15" s="356"/>
    </row>
    <row r="16" spans="1:20" ht="14.45" customHeight="1">
      <c r="A16" s="357"/>
      <c r="B16" s="357"/>
      <c r="C16" s="10">
        <v>1</v>
      </c>
      <c r="D16" s="155" t="s">
        <v>57</v>
      </c>
      <c r="E16" s="155" t="s">
        <v>607</v>
      </c>
      <c r="F16" s="155"/>
      <c r="G16" s="155"/>
      <c r="H16" s="155"/>
      <c r="I16" s="155"/>
      <c r="J16" s="155"/>
      <c r="K16" s="155" t="s">
        <v>598</v>
      </c>
      <c r="L16" s="155"/>
      <c r="M16" s="155"/>
      <c r="N16" s="155"/>
      <c r="O16" s="155"/>
      <c r="P16" s="356"/>
      <c r="Q16" s="356"/>
      <c r="R16" s="356"/>
      <c r="S16" s="356"/>
      <c r="T16" s="356"/>
    </row>
    <row r="17" spans="1:20" ht="14.45" customHeight="1">
      <c r="A17" s="356" t="s">
        <v>608</v>
      </c>
      <c r="B17" s="357"/>
      <c r="C17" t="s">
        <v>609</v>
      </c>
      <c r="D17" t="s">
        <v>596</v>
      </c>
      <c r="E17" t="s">
        <v>597</v>
      </c>
      <c r="K17" t="s">
        <v>598</v>
      </c>
      <c r="P17" s="355" t="s">
        <v>610</v>
      </c>
      <c r="Q17" s="355"/>
      <c r="R17" s="355"/>
      <c r="S17" s="355"/>
      <c r="T17" s="355"/>
    </row>
    <row r="18" spans="1:20" ht="14.45" customHeight="1">
      <c r="A18" s="356"/>
      <c r="B18" s="357"/>
      <c r="C18" t="s">
        <v>609</v>
      </c>
      <c r="D18" t="s">
        <v>74</v>
      </c>
      <c r="E18" t="s">
        <v>611</v>
      </c>
      <c r="K18" s="356" t="s">
        <v>601</v>
      </c>
      <c r="L18" s="356"/>
      <c r="M18" s="356"/>
      <c r="N18" s="356"/>
      <c r="O18" s="356"/>
      <c r="P18" s="355"/>
      <c r="Q18" s="355"/>
      <c r="R18" s="355"/>
      <c r="S18" s="355"/>
      <c r="T18" s="355"/>
    </row>
    <row r="19" spans="1:20" ht="14.45" customHeight="1">
      <c r="A19" s="356"/>
      <c r="B19" s="357"/>
      <c r="K19" s="356"/>
      <c r="L19" s="356"/>
      <c r="M19" s="356"/>
      <c r="N19" s="356"/>
      <c r="O19" s="356"/>
      <c r="P19" s="355"/>
      <c r="Q19" s="355"/>
      <c r="R19" s="355"/>
      <c r="S19" s="355"/>
      <c r="T19" s="355"/>
    </row>
    <row r="20" spans="1:20" ht="14.45" customHeight="1">
      <c r="A20" s="356"/>
      <c r="B20" s="357"/>
      <c r="C20" t="s">
        <v>609</v>
      </c>
      <c r="D20" s="155" t="s">
        <v>57</v>
      </c>
      <c r="E20" s="155" t="s">
        <v>607</v>
      </c>
      <c r="F20" s="155"/>
      <c r="G20" s="155"/>
      <c r="H20" s="155"/>
      <c r="I20" s="155"/>
      <c r="J20" s="155"/>
      <c r="K20" s="155" t="s">
        <v>598</v>
      </c>
      <c r="L20" s="155"/>
      <c r="M20" s="155"/>
      <c r="N20" s="155"/>
      <c r="O20" s="155"/>
      <c r="P20" s="355"/>
      <c r="Q20" s="355"/>
      <c r="R20" s="355"/>
      <c r="S20" s="355"/>
      <c r="T20" s="355"/>
    </row>
    <row r="21" spans="1:20" ht="14.45" customHeight="1">
      <c r="A21" s="356"/>
      <c r="B21" s="357"/>
      <c r="C21" t="s">
        <v>612</v>
      </c>
      <c r="D21" t="s">
        <v>596</v>
      </c>
      <c r="E21" t="s">
        <v>597</v>
      </c>
      <c r="K21" t="s">
        <v>598</v>
      </c>
      <c r="P21" s="356" t="s">
        <v>613</v>
      </c>
      <c r="Q21" s="356"/>
      <c r="R21" s="356"/>
      <c r="S21" s="356"/>
      <c r="T21" s="356"/>
    </row>
    <row r="22" spans="1:20">
      <c r="A22" s="356"/>
      <c r="B22" s="357"/>
      <c r="C22" t="s">
        <v>612</v>
      </c>
      <c r="D22" t="s">
        <v>74</v>
      </c>
      <c r="E22" t="s">
        <v>614</v>
      </c>
      <c r="K22" t="s">
        <v>598</v>
      </c>
      <c r="P22" s="356"/>
      <c r="Q22" s="356"/>
      <c r="R22" s="356"/>
      <c r="S22" s="356"/>
      <c r="T22" s="356"/>
    </row>
    <row r="23" spans="1:20" ht="14.45" customHeight="1">
      <c r="A23" s="356"/>
      <c r="B23" s="357"/>
      <c r="C23" s="356" t="s">
        <v>612</v>
      </c>
      <c r="D23" s="358" t="s">
        <v>57</v>
      </c>
      <c r="E23" s="359" t="s">
        <v>615</v>
      </c>
      <c r="F23" s="359"/>
      <c r="G23" s="359"/>
      <c r="H23" s="359"/>
      <c r="I23" s="359"/>
      <c r="J23" s="359"/>
      <c r="K23" s="358" t="s">
        <v>598</v>
      </c>
      <c r="L23" s="358"/>
      <c r="M23" s="358"/>
      <c r="N23" s="358"/>
      <c r="O23" s="358"/>
      <c r="P23" s="356"/>
      <c r="Q23" s="356"/>
      <c r="R23" s="356"/>
      <c r="S23" s="356"/>
      <c r="T23" s="356"/>
    </row>
    <row r="24" spans="1:20" ht="14.45" customHeight="1">
      <c r="A24" s="356"/>
      <c r="B24" s="357"/>
      <c r="C24" s="356"/>
      <c r="D24" s="358"/>
      <c r="E24" s="359"/>
      <c r="F24" s="359"/>
      <c r="G24" s="359"/>
      <c r="H24" s="359"/>
      <c r="I24" s="359"/>
      <c r="J24" s="359"/>
      <c r="K24" s="358"/>
      <c r="L24" s="358"/>
      <c r="M24" s="358"/>
      <c r="N24" s="358"/>
      <c r="O24" s="358"/>
      <c r="P24" s="356"/>
      <c r="Q24" s="356"/>
      <c r="R24" s="356"/>
      <c r="S24" s="356"/>
      <c r="T24" s="356"/>
    </row>
    <row r="25" spans="1:20">
      <c r="A25" s="356"/>
      <c r="B25" s="357"/>
      <c r="C25" s="356"/>
      <c r="D25" s="358"/>
      <c r="E25" s="359"/>
      <c r="F25" s="359"/>
      <c r="G25" s="359"/>
      <c r="H25" s="359"/>
      <c r="I25" s="359"/>
      <c r="J25" s="359"/>
      <c r="K25" s="358"/>
      <c r="L25" s="358"/>
      <c r="M25" s="358"/>
      <c r="N25" s="358"/>
      <c r="O25" s="358"/>
      <c r="P25" s="356"/>
      <c r="Q25" s="356"/>
      <c r="R25" s="356"/>
      <c r="S25" s="356"/>
      <c r="T25" s="356"/>
    </row>
    <row r="26" spans="1:20">
      <c r="A26" s="356"/>
      <c r="B26" s="357"/>
      <c r="C26" s="356"/>
      <c r="D26" s="358"/>
      <c r="E26" s="359"/>
      <c r="F26" s="359"/>
      <c r="G26" s="359"/>
      <c r="H26" s="359"/>
      <c r="I26" s="359"/>
      <c r="J26" s="359"/>
      <c r="K26" s="358"/>
      <c r="L26" s="358"/>
      <c r="M26" s="358"/>
      <c r="N26" s="358"/>
      <c r="O26" s="358"/>
      <c r="P26" s="356"/>
      <c r="Q26" s="356"/>
      <c r="R26" s="356"/>
      <c r="S26" s="356"/>
      <c r="T26" s="356"/>
    </row>
    <row r="27" spans="1:20">
      <c r="A27" s="356"/>
      <c r="B27" s="357"/>
      <c r="C27" s="356"/>
      <c r="D27" s="358"/>
      <c r="E27" s="359"/>
      <c r="F27" s="359"/>
      <c r="G27" s="359"/>
      <c r="H27" s="359"/>
      <c r="I27" s="359"/>
      <c r="J27" s="359"/>
      <c r="K27" s="358"/>
      <c r="L27" s="358"/>
      <c r="M27" s="358"/>
      <c r="N27" s="358"/>
      <c r="O27" s="358"/>
      <c r="P27" s="356"/>
      <c r="Q27" s="356"/>
      <c r="R27" s="356"/>
      <c r="S27" s="356"/>
      <c r="T27" s="356"/>
    </row>
    <row r="28" spans="1:20">
      <c r="A28" s="356"/>
      <c r="B28" s="357"/>
      <c r="C28" s="356"/>
      <c r="D28" s="358"/>
      <c r="E28" s="359"/>
      <c r="F28" s="359"/>
      <c r="G28" s="359"/>
      <c r="H28" s="359"/>
      <c r="I28" s="359"/>
      <c r="J28" s="359"/>
      <c r="K28" s="358"/>
      <c r="L28" s="358"/>
      <c r="M28" s="358"/>
      <c r="N28" s="358"/>
      <c r="O28" s="358"/>
      <c r="P28" s="356"/>
      <c r="Q28" s="356"/>
      <c r="R28" s="356"/>
      <c r="S28" s="356"/>
      <c r="T28" s="356"/>
    </row>
    <row r="29" spans="1:20">
      <c r="A29" s="1" t="s">
        <v>87</v>
      </c>
      <c r="B29" s="37" t="s">
        <v>616</v>
      </c>
      <c r="C29" t="s">
        <v>40</v>
      </c>
      <c r="D29" t="s">
        <v>66</v>
      </c>
      <c r="E29" t="s">
        <v>617</v>
      </c>
      <c r="K29" t="s">
        <v>618</v>
      </c>
      <c r="P29" s="356" t="s">
        <v>40</v>
      </c>
      <c r="Q29" s="356"/>
      <c r="R29" s="356"/>
      <c r="S29" s="356"/>
      <c r="T29" s="356"/>
    </row>
    <row r="30" spans="1:20">
      <c r="B30" s="37" t="s">
        <v>619</v>
      </c>
      <c r="C30" t="s">
        <v>40</v>
      </c>
      <c r="D30" t="s">
        <v>596</v>
      </c>
      <c r="E30" t="s">
        <v>597</v>
      </c>
      <c r="K30" t="s">
        <v>598</v>
      </c>
      <c r="P30" s="356" t="s">
        <v>620</v>
      </c>
      <c r="Q30" s="356"/>
      <c r="R30" s="356"/>
      <c r="S30" s="356"/>
      <c r="T30" s="356"/>
    </row>
    <row r="31" spans="1:20">
      <c r="B31" s="46"/>
      <c r="D31" t="s">
        <v>74</v>
      </c>
      <c r="E31" t="s">
        <v>611</v>
      </c>
      <c r="K31" t="s">
        <v>598</v>
      </c>
      <c r="P31" s="356"/>
      <c r="Q31" s="356"/>
      <c r="R31" s="356"/>
      <c r="S31" s="356"/>
      <c r="T31" s="356"/>
    </row>
    <row r="32" spans="1:20">
      <c r="B32" s="46"/>
      <c r="D32" s="155" t="s">
        <v>57</v>
      </c>
      <c r="E32" s="155" t="s">
        <v>607</v>
      </c>
      <c r="F32" s="155"/>
      <c r="G32" s="155"/>
      <c r="H32" s="155"/>
      <c r="I32" s="155"/>
      <c r="J32" s="155"/>
      <c r="K32" s="155" t="s">
        <v>598</v>
      </c>
      <c r="L32" s="155"/>
      <c r="M32" s="155"/>
      <c r="N32" s="155"/>
      <c r="O32" s="155"/>
      <c r="P32" s="356"/>
      <c r="Q32" s="356"/>
      <c r="R32" s="356"/>
      <c r="S32" s="356"/>
      <c r="T32" s="356"/>
    </row>
    <row r="33" spans="1:20">
      <c r="C33" s="157"/>
    </row>
    <row r="34" spans="1:20">
      <c r="A34" t="s">
        <v>621</v>
      </c>
    </row>
    <row r="35" spans="1:20">
      <c r="A35" t="s">
        <v>622</v>
      </c>
    </row>
    <row r="36" spans="1:20">
      <c r="A36" t="s">
        <v>623</v>
      </c>
    </row>
    <row r="37" spans="1:20" ht="15" customHeight="1">
      <c r="A37" s="354" t="s">
        <v>624</v>
      </c>
      <c r="B37" s="354"/>
      <c r="C37" s="354"/>
      <c r="D37" s="354"/>
      <c r="E37" s="354"/>
      <c r="F37" s="354"/>
      <c r="G37" s="354"/>
      <c r="H37" s="354"/>
      <c r="I37" s="354"/>
      <c r="J37" s="354"/>
      <c r="K37" s="354"/>
      <c r="L37" s="354"/>
      <c r="M37" s="354"/>
      <c r="N37" s="354"/>
      <c r="O37" s="354"/>
      <c r="P37" s="354"/>
      <c r="Q37" s="354"/>
      <c r="R37" s="354"/>
      <c r="S37" s="354"/>
      <c r="T37" s="354"/>
    </row>
    <row r="38" spans="1:20" ht="15" customHeight="1">
      <c r="A38" s="354"/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</row>
    <row r="39" spans="1:20" ht="15" customHeight="1">
      <c r="A39" t="s">
        <v>625</v>
      </c>
    </row>
    <row r="40" spans="1:20">
      <c r="A40" t="s">
        <v>626</v>
      </c>
    </row>
    <row r="41" spans="1:20">
      <c r="A41" t="s">
        <v>627</v>
      </c>
    </row>
    <row r="43" spans="1:20">
      <c r="A43" t="s">
        <v>628</v>
      </c>
    </row>
    <row r="45" spans="1:20" ht="15" customHeight="1">
      <c r="A45" s="1" t="s">
        <v>629</v>
      </c>
      <c r="B45" t="s">
        <v>630</v>
      </c>
    </row>
    <row r="46" spans="1:20">
      <c r="B46" s="163" t="s">
        <v>631</v>
      </c>
    </row>
    <row r="47" spans="1:20" ht="15" customHeight="1">
      <c r="B47" s="163" t="s">
        <v>632</v>
      </c>
    </row>
    <row r="48" spans="1:20"/>
    <row r="49" spans="1:2" ht="15" customHeight="1">
      <c r="A49" s="1" t="s">
        <v>633</v>
      </c>
      <c r="B49" t="s">
        <v>634</v>
      </c>
    </row>
    <row r="50" spans="1:2">
      <c r="B50" t="s">
        <v>635</v>
      </c>
    </row>
    <row r="51" spans="1:2" ht="15" customHeight="1">
      <c r="B51" t="s">
        <v>636</v>
      </c>
    </row>
    <row r="52" spans="1:2">
      <c r="B52" t="s">
        <v>637</v>
      </c>
    </row>
    <row r="54" spans="1:2">
      <c r="A54" s="355" t="s">
        <v>608</v>
      </c>
      <c r="B54" t="s">
        <v>638</v>
      </c>
    </row>
    <row r="55" spans="1:2" ht="15" customHeight="1">
      <c r="A55" s="355"/>
      <c r="B55" t="s">
        <v>639</v>
      </c>
    </row>
    <row r="56" spans="1:2" ht="15" customHeight="1">
      <c r="A56" s="161"/>
      <c r="B56" t="s">
        <v>640</v>
      </c>
    </row>
    <row r="57" spans="1:2" ht="15" customHeight="1">
      <c r="A57" s="161"/>
      <c r="B57" t="s">
        <v>641</v>
      </c>
    </row>
    <row r="58" spans="1:2" ht="15" customHeight="1">
      <c r="A58" s="161"/>
    </row>
    <row r="59" spans="1:2" ht="15" customHeight="1">
      <c r="A59" s="161"/>
      <c r="B59" t="s">
        <v>642</v>
      </c>
    </row>
    <row r="60" spans="1:2" ht="15" customHeight="1">
      <c r="A60" s="161"/>
      <c r="B60" t="s">
        <v>643</v>
      </c>
    </row>
    <row r="61" spans="1:2" ht="15" customHeight="1">
      <c r="A61" s="161"/>
      <c r="B61" t="s">
        <v>644</v>
      </c>
    </row>
    <row r="62" spans="1:2" ht="15" customHeight="1">
      <c r="A62" s="161"/>
      <c r="B62" t="s">
        <v>645</v>
      </c>
    </row>
    <row r="63" spans="1:2" ht="15" customHeight="1">
      <c r="A63" s="161"/>
      <c r="B63" t="s">
        <v>646</v>
      </c>
    </row>
    <row r="64" spans="1:2" ht="15" customHeight="1">
      <c r="A64" s="161"/>
      <c r="B64" t="s">
        <v>647</v>
      </c>
    </row>
    <row r="65" spans="1:9" ht="15" customHeight="1">
      <c r="A65" s="161"/>
      <c r="B65" t="s">
        <v>648</v>
      </c>
    </row>
    <row r="66" spans="1:9" ht="15" customHeight="1">
      <c r="A66" s="161"/>
      <c r="B66" t="s">
        <v>649</v>
      </c>
    </row>
    <row r="67" spans="1:9" ht="15" customHeight="1">
      <c r="A67" s="161"/>
    </row>
    <row r="68" spans="1:9" ht="15" customHeight="1">
      <c r="A68" s="161"/>
      <c r="B68" t="s">
        <v>650</v>
      </c>
    </row>
    <row r="69" spans="1:9" ht="15" customHeight="1">
      <c r="A69" s="161"/>
      <c r="B69" t="s">
        <v>651</v>
      </c>
    </row>
    <row r="70" spans="1:9" ht="15" customHeight="1">
      <c r="A70" s="161"/>
      <c r="B70" t="s">
        <v>652</v>
      </c>
    </row>
    <row r="71" spans="1:9" ht="15" customHeight="1">
      <c r="A71" s="161"/>
      <c r="B71" t="s">
        <v>653</v>
      </c>
    </row>
    <row r="72" spans="1:9" ht="15" customHeight="1">
      <c r="A72" s="161"/>
      <c r="B72" t="s">
        <v>654</v>
      </c>
    </row>
    <row r="73" spans="1:9" ht="15" customHeight="1">
      <c r="A73" s="161"/>
      <c r="B73" t="s">
        <v>655</v>
      </c>
    </row>
    <row r="74" spans="1:9" ht="15" customHeight="1">
      <c r="A74" s="161"/>
    </row>
    <row r="75" spans="1:9" ht="15" customHeight="1">
      <c r="A75" s="161"/>
      <c r="B75" t="s">
        <v>656</v>
      </c>
    </row>
    <row r="76" spans="1:9" ht="15" customHeight="1">
      <c r="A76" s="161"/>
      <c r="B76" t="s">
        <v>657</v>
      </c>
    </row>
    <row r="77" spans="1:9" ht="15" customHeight="1">
      <c r="A77" s="161"/>
      <c r="B77" t="s">
        <v>658</v>
      </c>
    </row>
    <row r="78" spans="1:9" ht="15" customHeight="1">
      <c r="A78" s="161"/>
    </row>
    <row r="79" spans="1:9" ht="15" customHeight="1">
      <c r="A79" s="161"/>
    </row>
    <row r="80" spans="1:9" ht="15" customHeight="1">
      <c r="A80" s="355" t="s">
        <v>659</v>
      </c>
      <c r="B80" t="s">
        <v>660</v>
      </c>
      <c r="C80" t="s">
        <v>661</v>
      </c>
      <c r="F80" t="s">
        <v>662</v>
      </c>
      <c r="I80" t="s">
        <v>663</v>
      </c>
    </row>
    <row r="81" spans="1:6" ht="15" customHeight="1">
      <c r="A81" s="355"/>
      <c r="F81" t="s">
        <v>664</v>
      </c>
    </row>
    <row r="82" spans="1:6" ht="15" customHeight="1">
      <c r="A82" s="355"/>
      <c r="F82" t="s">
        <v>665</v>
      </c>
    </row>
    <row r="83" spans="1:6" ht="15" customHeight="1">
      <c r="A83" s="355"/>
      <c r="F83" t="s">
        <v>666</v>
      </c>
    </row>
    <row r="84" spans="1:6" ht="15" customHeight="1">
      <c r="A84" s="161"/>
    </row>
    <row r="85" spans="1:6" ht="15" customHeight="1">
      <c r="A85" s="161"/>
    </row>
    <row r="86" spans="1:6" ht="15" customHeight="1">
      <c r="A86" s="161"/>
    </row>
    <row r="87" spans="1:6" ht="15" customHeight="1">
      <c r="A87" s="161"/>
    </row>
    <row r="88" spans="1:6" ht="15" customHeight="1">
      <c r="A88" s="161"/>
    </row>
    <row r="89" spans="1:6" ht="15" customHeight="1">
      <c r="A89" s="161"/>
    </row>
    <row r="90" spans="1:6" ht="15" customHeight="1">
      <c r="A90" s="161"/>
    </row>
    <row r="91" spans="1:6" ht="15" customHeight="1">
      <c r="A91" s="161"/>
    </row>
    <row r="92" spans="1:6" ht="15" customHeight="1">
      <c r="A92" s="161"/>
    </row>
    <row r="93" spans="1:6" ht="15" customHeight="1">
      <c r="A93" s="161"/>
    </row>
    <row r="94" spans="1:6" ht="15" customHeight="1">
      <c r="A94" s="161"/>
    </row>
    <row r="95" spans="1:6" ht="15" customHeight="1">
      <c r="A95" s="161"/>
    </row>
    <row r="96" spans="1:6" ht="15" customHeight="1">
      <c r="A96" s="161"/>
    </row>
    <row r="97" spans="1:11" ht="15" customHeight="1">
      <c r="A97" s="161"/>
    </row>
    <row r="98" spans="1:11" ht="15" customHeight="1">
      <c r="A98" s="161"/>
    </row>
    <row r="99" spans="1:11" ht="15" customHeight="1">
      <c r="A99" s="161"/>
    </row>
    <row r="100" spans="1:11" ht="15" customHeight="1">
      <c r="A100" s="161"/>
    </row>
    <row r="101" spans="1:11" ht="15" customHeight="1">
      <c r="A101" s="161"/>
    </row>
    <row r="102" spans="1:11" ht="15" customHeight="1">
      <c r="A102" s="161"/>
    </row>
    <row r="103" spans="1:11" ht="15" customHeight="1">
      <c r="A103" s="161"/>
    </row>
    <row r="104" spans="1:11" ht="15" customHeight="1">
      <c r="A104" s="161"/>
    </row>
    <row r="105" spans="1:11"/>
    <row r="108" spans="1:11">
      <c r="A108" t="s">
        <v>667</v>
      </c>
      <c r="K108" t="s">
        <v>668</v>
      </c>
    </row>
    <row r="121"/>
    <row r="122"/>
    <row r="123"/>
    <row r="124"/>
    <row r="125"/>
    <row r="126"/>
    <row r="127"/>
    <row r="129" spans="1:2"/>
    <row r="131" spans="1:2"/>
    <row r="132" spans="1:2"/>
    <row r="136" spans="1:2"/>
    <row r="137" spans="1:2"/>
    <row r="144" spans="1:2" ht="15" customHeight="1">
      <c r="A144" t="s">
        <v>669</v>
      </c>
      <c r="B144" t="s">
        <v>670</v>
      </c>
    </row>
    <row r="145" spans="2:2" ht="15" customHeight="1">
      <c r="B145" t="s">
        <v>671</v>
      </c>
    </row>
    <row r="148" spans="2:2" ht="15" customHeight="1">
      <c r="B148" t="s">
        <v>672</v>
      </c>
    </row>
  </sheetData>
  <mergeCells count="24">
    <mergeCell ref="K14:O15"/>
    <mergeCell ref="P30:T32"/>
    <mergeCell ref="P29:T29"/>
    <mergeCell ref="P5:T8"/>
    <mergeCell ref="P9:T12"/>
    <mergeCell ref="P13:T16"/>
    <mergeCell ref="P17:T20"/>
    <mergeCell ref="P21:T28"/>
    <mergeCell ref="A1:T2"/>
    <mergeCell ref="A54:A55"/>
    <mergeCell ref="A37:T38"/>
    <mergeCell ref="A80:A83"/>
    <mergeCell ref="K6:O7"/>
    <mergeCell ref="A5:A8"/>
    <mergeCell ref="A9:A16"/>
    <mergeCell ref="A17:A28"/>
    <mergeCell ref="D23:D28"/>
    <mergeCell ref="C23:C28"/>
    <mergeCell ref="K23:O28"/>
    <mergeCell ref="K18:O19"/>
    <mergeCell ref="K10:O11"/>
    <mergeCell ref="E14:J15"/>
    <mergeCell ref="E23:J28"/>
    <mergeCell ref="B5:B28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C91F-D7AB-49FF-A22A-098F310F056D}">
  <dimension ref="A1:R45"/>
  <sheetViews>
    <sheetView workbookViewId="0">
      <pane xSplit="2" ySplit="1" topLeftCell="C12" activePane="bottomRight" state="frozen"/>
      <selection pane="bottomRight" activeCell="D22" sqref="D22"/>
      <selection pane="bottomLeft" activeCell="A2" sqref="A2"/>
      <selection pane="topRight" activeCell="C1" sqref="C1"/>
    </sheetView>
  </sheetViews>
  <sheetFormatPr defaultColWidth="8.7109375" defaultRowHeight="15"/>
  <cols>
    <col min="1" max="1" width="59.5703125" style="77" customWidth="1"/>
    <col min="2" max="2" width="18.140625" style="46" bestFit="1" customWidth="1"/>
    <col min="3" max="3" width="46" style="77" customWidth="1"/>
    <col min="4" max="5" width="43.42578125" style="77" bestFit="1" customWidth="1"/>
    <col min="6" max="6" width="19.140625" style="77" customWidth="1"/>
    <col min="7" max="16384" width="8.7109375" style="37"/>
  </cols>
  <sheetData>
    <row r="1" spans="1:18" s="78" customFormat="1">
      <c r="A1" s="79" t="s">
        <v>673</v>
      </c>
      <c r="B1" s="80" t="s">
        <v>674</v>
      </c>
      <c r="C1" s="79" t="s">
        <v>675</v>
      </c>
      <c r="D1" s="79" t="s">
        <v>676</v>
      </c>
      <c r="E1" s="79" t="s">
        <v>677</v>
      </c>
      <c r="F1" s="79" t="s">
        <v>678</v>
      </c>
    </row>
    <row r="2" spans="1:18" ht="75">
      <c r="A2" s="81" t="s">
        <v>679</v>
      </c>
      <c r="B2" s="41" t="s">
        <v>680</v>
      </c>
      <c r="C2" s="81" t="s">
        <v>681</v>
      </c>
      <c r="D2" s="81" t="s">
        <v>682</v>
      </c>
      <c r="E2" s="93" t="s">
        <v>683</v>
      </c>
      <c r="F2" s="81"/>
      <c r="G2" s="37" t="s">
        <v>684</v>
      </c>
      <c r="R2" s="37" t="s">
        <v>685</v>
      </c>
    </row>
    <row r="3" spans="1:18" ht="45">
      <c r="A3" s="81" t="s">
        <v>686</v>
      </c>
      <c r="B3" s="41" t="s">
        <v>680</v>
      </c>
      <c r="C3" s="81" t="s">
        <v>687</v>
      </c>
      <c r="D3" s="81" t="s">
        <v>688</v>
      </c>
      <c r="E3" s="81"/>
      <c r="F3" s="81"/>
      <c r="G3" s="37" t="s">
        <v>689</v>
      </c>
    </row>
    <row r="4" spans="1:18" ht="60">
      <c r="A4" s="81" t="s">
        <v>690</v>
      </c>
      <c r="B4" s="41" t="s">
        <v>680</v>
      </c>
      <c r="C4" s="81"/>
      <c r="D4" s="81"/>
      <c r="E4" s="81"/>
      <c r="F4" s="81"/>
    </row>
    <row r="5" spans="1:18" ht="30">
      <c r="A5" s="81" t="s">
        <v>691</v>
      </c>
      <c r="B5" s="41" t="s">
        <v>680</v>
      </c>
      <c r="C5" s="81" t="s">
        <v>692</v>
      </c>
      <c r="D5" s="81"/>
      <c r="E5" s="81"/>
      <c r="F5" s="81"/>
    </row>
    <row r="6" spans="1:18" ht="30">
      <c r="A6" s="81" t="s">
        <v>693</v>
      </c>
      <c r="B6" s="41" t="s">
        <v>680</v>
      </c>
      <c r="C6" s="82" t="s">
        <v>694</v>
      </c>
      <c r="D6" s="82" t="s">
        <v>695</v>
      </c>
      <c r="E6" s="82"/>
      <c r="F6" s="82"/>
    </row>
    <row r="7" spans="1:18" ht="90">
      <c r="A7" s="88" t="s">
        <v>696</v>
      </c>
      <c r="B7" s="89" t="s">
        <v>680</v>
      </c>
      <c r="C7" s="88" t="s">
        <v>697</v>
      </c>
      <c r="D7" s="88"/>
      <c r="E7" s="88"/>
      <c r="F7" s="88"/>
      <c r="G7" s="37" t="s">
        <v>698</v>
      </c>
    </row>
    <row r="8" spans="1:18" ht="75">
      <c r="A8" s="90" t="s">
        <v>699</v>
      </c>
      <c r="B8" s="91" t="s">
        <v>700</v>
      </c>
      <c r="C8" s="90" t="s">
        <v>701</v>
      </c>
      <c r="D8" s="90"/>
      <c r="E8" s="90"/>
      <c r="F8" s="90"/>
    </row>
    <row r="9" spans="1:18" ht="75">
      <c r="A9" s="90" t="s">
        <v>702</v>
      </c>
      <c r="B9" s="91" t="s">
        <v>703</v>
      </c>
      <c r="C9" s="90" t="s">
        <v>704</v>
      </c>
      <c r="D9" s="90"/>
      <c r="E9" s="90"/>
      <c r="F9" s="90"/>
    </row>
    <row r="10" spans="1:18" ht="45">
      <c r="A10" s="90" t="s">
        <v>705</v>
      </c>
      <c r="B10" s="91" t="s">
        <v>700</v>
      </c>
      <c r="C10" s="90" t="s">
        <v>706</v>
      </c>
      <c r="D10" s="90" t="s">
        <v>707</v>
      </c>
      <c r="E10" s="90" t="s">
        <v>708</v>
      </c>
      <c r="F10" s="90" t="s">
        <v>38</v>
      </c>
    </row>
    <row r="11" spans="1:18" ht="75">
      <c r="A11" s="86" t="s">
        <v>709</v>
      </c>
      <c r="B11" s="87" t="s">
        <v>710</v>
      </c>
      <c r="C11" s="86" t="s">
        <v>711</v>
      </c>
      <c r="D11" s="86" t="s">
        <v>712</v>
      </c>
      <c r="E11" s="86" t="s">
        <v>713</v>
      </c>
      <c r="F11" s="86"/>
    </row>
    <row r="12" spans="1:18" ht="75">
      <c r="A12" s="86" t="s">
        <v>714</v>
      </c>
      <c r="B12" s="87" t="s">
        <v>715</v>
      </c>
      <c r="C12" s="86" t="s">
        <v>716</v>
      </c>
      <c r="D12" s="86"/>
      <c r="E12" s="86"/>
      <c r="F12" s="86"/>
    </row>
    <row r="13" spans="1:18" ht="45">
      <c r="A13" s="86" t="s">
        <v>717</v>
      </c>
      <c r="B13" s="87" t="s">
        <v>718</v>
      </c>
      <c r="C13" s="86" t="s">
        <v>719</v>
      </c>
      <c r="D13" s="86"/>
      <c r="E13" s="86"/>
      <c r="F13" s="86"/>
    </row>
    <row r="14" spans="1:18" ht="105">
      <c r="A14" s="90" t="s">
        <v>720</v>
      </c>
      <c r="B14" s="91" t="s">
        <v>721</v>
      </c>
      <c r="C14" s="90" t="s">
        <v>722</v>
      </c>
      <c r="D14" s="90"/>
      <c r="E14" s="90"/>
      <c r="F14" s="90"/>
    </row>
    <row r="15" spans="1:18" ht="45">
      <c r="A15" s="86" t="s">
        <v>723</v>
      </c>
      <c r="B15" s="87" t="s">
        <v>590</v>
      </c>
      <c r="C15" s="86" t="s">
        <v>724</v>
      </c>
      <c r="D15" s="86" t="s">
        <v>725</v>
      </c>
      <c r="E15" s="86"/>
      <c r="F15" s="86" t="s">
        <v>37</v>
      </c>
    </row>
    <row r="16" spans="1:18" ht="45">
      <c r="A16" s="77" t="s">
        <v>726</v>
      </c>
      <c r="B16" s="46" t="s">
        <v>727</v>
      </c>
      <c r="C16" s="77" t="s">
        <v>728</v>
      </c>
    </row>
    <row r="17" spans="1:4">
      <c r="A17" s="77" t="s">
        <v>729</v>
      </c>
    </row>
    <row r="18" spans="1:4">
      <c r="A18"/>
    </row>
    <row r="21" spans="1:4">
      <c r="D21" s="77">
        <v>8390</v>
      </c>
    </row>
    <row r="22" spans="1:4">
      <c r="D22" s="77">
        <f>D21*1.5</f>
        <v>12585</v>
      </c>
    </row>
    <row r="23" spans="1:4">
      <c r="A23" s="77" t="s">
        <v>730</v>
      </c>
    </row>
    <row r="25" spans="1:4">
      <c r="A25" s="83" t="s">
        <v>731</v>
      </c>
    </row>
    <row r="26" spans="1:4">
      <c r="A26" s="83" t="s">
        <v>732</v>
      </c>
    </row>
    <row r="27" spans="1:4">
      <c r="A27" s="83" t="s">
        <v>733</v>
      </c>
    </row>
    <row r="28" spans="1:4">
      <c r="A28"/>
    </row>
    <row r="29" spans="1:4">
      <c r="A29" s="83" t="s">
        <v>734</v>
      </c>
    </row>
    <row r="37" spans="1:1" ht="45">
      <c r="A37" s="77" t="s">
        <v>735</v>
      </c>
    </row>
    <row r="38" spans="1:1" ht="30">
      <c r="A38" s="77" t="s">
        <v>736</v>
      </c>
    </row>
    <row r="42" spans="1:1" ht="90">
      <c r="A42" s="77" t="s">
        <v>737</v>
      </c>
    </row>
    <row r="45" spans="1:1">
      <c r="A45" s="77" t="s">
        <v>738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642B-E148-4187-802B-626E94A1CDEB}">
  <dimension ref="A1:L9"/>
  <sheetViews>
    <sheetView workbookViewId="0">
      <selection activeCell="B10" sqref="B10"/>
    </sheetView>
  </sheetViews>
  <sheetFormatPr defaultRowHeight="15"/>
  <sheetData>
    <row r="1" spans="1:12">
      <c r="A1" t="s">
        <v>739</v>
      </c>
      <c r="B1" t="s">
        <v>740</v>
      </c>
    </row>
    <row r="2" spans="1:12">
      <c r="A2" t="s">
        <v>741</v>
      </c>
      <c r="B2" t="s">
        <v>742</v>
      </c>
    </row>
    <row r="3" spans="1:12">
      <c r="A3" t="s">
        <v>743</v>
      </c>
      <c r="B3" t="s">
        <v>744</v>
      </c>
    </row>
    <row r="4" spans="1:12">
      <c r="A4" t="s">
        <v>745</v>
      </c>
      <c r="B4" t="s">
        <v>746</v>
      </c>
    </row>
    <row r="5" spans="1:12">
      <c r="A5" t="s">
        <v>747</v>
      </c>
      <c r="B5" t="s">
        <v>748</v>
      </c>
    </row>
    <row r="6" spans="1:12">
      <c r="A6" t="s">
        <v>749</v>
      </c>
      <c r="B6" t="s">
        <v>750</v>
      </c>
    </row>
    <row r="7" spans="1:12">
      <c r="A7" t="s">
        <v>751</v>
      </c>
      <c r="B7" t="s">
        <v>752</v>
      </c>
    </row>
    <row r="8" spans="1:12">
      <c r="A8" t="s">
        <v>753</v>
      </c>
      <c r="B8" s="75" t="s">
        <v>754</v>
      </c>
      <c r="C8" s="75"/>
      <c r="D8" s="75"/>
      <c r="E8" s="75"/>
      <c r="F8" s="75"/>
      <c r="G8" s="75"/>
      <c r="H8" s="75"/>
      <c r="I8" s="75"/>
      <c r="J8" s="75"/>
      <c r="K8" s="75"/>
      <c r="L8" s="75"/>
    </row>
    <row r="9" spans="1:12">
      <c r="B9" t="s">
        <v>755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78002-B9FD-40FB-A1A7-FCCFB6655B77}">
  <dimension ref="A2:A19"/>
  <sheetViews>
    <sheetView workbookViewId="0">
      <selection activeCell="A20" sqref="A20"/>
    </sheetView>
  </sheetViews>
  <sheetFormatPr defaultRowHeight="15"/>
  <sheetData>
    <row r="2" spans="1:1">
      <c r="A2" s="130"/>
    </row>
    <row r="11" spans="1:1">
      <c r="A11" t="s">
        <v>756</v>
      </c>
    </row>
    <row r="12" spans="1:1">
      <c r="A12" t="s">
        <v>223</v>
      </c>
    </row>
    <row r="13" spans="1:1">
      <c r="A13" t="s">
        <v>757</v>
      </c>
    </row>
    <row r="14" spans="1:1">
      <c r="A14" t="s">
        <v>223</v>
      </c>
    </row>
    <row r="15" spans="1:1">
      <c r="A15" t="s">
        <v>758</v>
      </c>
    </row>
    <row r="16" spans="1:1">
      <c r="A16" t="s">
        <v>223</v>
      </c>
    </row>
    <row r="17" spans="1:1">
      <c r="A17" t="s">
        <v>759</v>
      </c>
    </row>
    <row r="18" spans="1:1">
      <c r="A18" t="s">
        <v>760</v>
      </c>
    </row>
    <row r="19" spans="1:1">
      <c r="A19" t="s">
        <v>761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EF90-8711-4854-BA66-60F1C7AE8368}">
  <dimension ref="A1:A2"/>
  <sheetViews>
    <sheetView workbookViewId="0">
      <selection activeCell="L16" sqref="L16"/>
    </sheetView>
  </sheetViews>
  <sheetFormatPr defaultRowHeight="15"/>
  <sheetData>
    <row r="1" spans="1:1">
      <c r="A1" t="s">
        <v>762</v>
      </c>
    </row>
    <row r="2" spans="1:1">
      <c r="A2" t="s">
        <v>763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0DC75AC880204E940A83445D78A433" ma:contentTypeVersion="13" ma:contentTypeDescription="Crie um novo documento." ma:contentTypeScope="" ma:versionID="a81d93775684c5eb7ea4f52d305c47c2">
  <xsd:schema xmlns:xsd="http://www.w3.org/2001/XMLSchema" xmlns:xs="http://www.w3.org/2001/XMLSchema" xmlns:p="http://schemas.microsoft.com/office/2006/metadata/properties" xmlns:ns2="3bbbdcb8-5ab1-4d03-948d-fe2fe2e64a43" xmlns:ns3="2f0406ec-7473-4ce3-abf1-03faf44a1375" targetNamespace="http://schemas.microsoft.com/office/2006/metadata/properties" ma:root="true" ma:fieldsID="17260296a1f733bdb3f3d4a38fb21bec" ns2:_="" ns3:_="">
    <xsd:import namespace="3bbbdcb8-5ab1-4d03-948d-fe2fe2e64a43"/>
    <xsd:import namespace="2f0406ec-7473-4ce3-abf1-03faf44a1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bdcb8-5ab1-4d03-948d-fe2fe2e64a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295c729-56d0-41ed-8165-91cf1a08fe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0406ec-7473-4ce3-abf1-03faf44a1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acc89c-5931-4550-82a7-38d670f4518c}" ma:internalName="TaxCatchAll" ma:showField="CatchAllData" ma:web="2f0406ec-7473-4ce3-abf1-03faf44a1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bbdcb8-5ab1-4d03-948d-fe2fe2e64a43">
      <Terms xmlns="http://schemas.microsoft.com/office/infopath/2007/PartnerControls"/>
    </lcf76f155ced4ddcb4097134ff3c332f>
    <TaxCatchAll xmlns="2f0406ec-7473-4ce3-abf1-03faf44a1375" xsi:nil="true"/>
  </documentManagement>
</p:properties>
</file>

<file path=customXml/itemProps1.xml><?xml version="1.0" encoding="utf-8"?>
<ds:datastoreItem xmlns:ds="http://schemas.openxmlformats.org/officeDocument/2006/customXml" ds:itemID="{AC8376AA-098C-4137-95AE-7732CEF5067F}"/>
</file>

<file path=customXml/itemProps2.xml><?xml version="1.0" encoding="utf-8"?>
<ds:datastoreItem xmlns:ds="http://schemas.openxmlformats.org/officeDocument/2006/customXml" ds:itemID="{0BE331E5-D541-499C-BD19-7DEB07D98AE6}"/>
</file>

<file path=customXml/itemProps3.xml><?xml version="1.0" encoding="utf-8"?>
<ds:datastoreItem xmlns:ds="http://schemas.openxmlformats.org/officeDocument/2006/customXml" ds:itemID="{FD106F02-48FA-442D-9F07-99FCB6294E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 Coelho</dc:creator>
  <cp:keywords/>
  <dc:description/>
  <cp:lastModifiedBy>Adriel Costa</cp:lastModifiedBy>
  <cp:revision/>
  <dcterms:created xsi:type="dcterms:W3CDTF">2026-03-18T17:58:39Z</dcterms:created>
  <dcterms:modified xsi:type="dcterms:W3CDTF">2026-08-06T12:22:56Z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0x010100D30DC75AC880204E940A83445D78A433</vt:lpwstr>
  </property>
  <property fmtid="{D5CDD505-2E9C-101B-9397-08002B2CF9AE}" pid="3" name="MediaServiceImageTags">
    <vt:lpwstr/>
  </property>
</Properties>
</file>